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MColosso\Dropbox\GyG Recibos\"/>
    </mc:Choice>
  </mc:AlternateContent>
  <bookViews>
    <workbookView xWindow="0" yWindow="0" windowWidth="18930" windowHeight="7485"/>
  </bookViews>
  <sheets>
    <sheet name="Vigilancia" sheetId="1" r:id="rId1"/>
    <sheet name="RESUMEN VIGILANCIA" sheetId="9" r:id="rId2"/>
    <sheet name="CUOTAS" sheetId="12" r:id="rId3"/>
    <sheet name="Saldos" sheetId="4" r:id="rId4"/>
    <sheet name="R.VIGILANCIA (reordenado)" sheetId="5" r:id="rId5"/>
    <sheet name="RESUMEN OTROS" sheetId="8" r:id="rId6"/>
    <sheet name="Proyectos" sheetId="11" r:id="rId7"/>
    <sheet name="Vecinos" sheetId="2" r:id="rId8"/>
    <sheet name="Hoja1" sheetId="10" r:id="rId9"/>
  </sheets>
  <functionGroups builtInGroupCount="18"/>
  <definedNames>
    <definedName name="_xlnm._FilterDatabase" localSheetId="4" hidden="1">'R.VIGILANCIA (reordenado)'!$A$1:$AC$134</definedName>
    <definedName name="_xlnm._FilterDatabase" localSheetId="5" hidden="1">'RESUMEN OTROS'!$A$1:$I$140</definedName>
    <definedName name="_xlnm._FilterDatabase" localSheetId="7" hidden="1">Vecinos!$A$1:$I$127</definedName>
    <definedName name="_xlnm._FilterDatabase" localSheetId="0" hidden="1">Vigilancia!$A$1:$Q$1380</definedName>
  </definedNames>
  <calcPr calcId="152511"/>
  <pivotCaches>
    <pivotCache cacheId="2" r:id="rId10"/>
    <pivotCache cacheId="3"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W4" i="4" l="1"/>
  <c r="AR4" i="4"/>
  <c r="AM4" i="4"/>
  <c r="AC4" i="4"/>
  <c r="X4" i="4"/>
  <c r="S4" i="4"/>
  <c r="Q1380" i="1" l="1"/>
  <c r="Q1379" i="1"/>
  <c r="Q1378" i="1"/>
  <c r="Q1377" i="1"/>
  <c r="Q1376" i="1"/>
  <c r="Q1375" i="1"/>
  <c r="Q1374" i="1"/>
  <c r="Q1373" i="1"/>
  <c r="Q1372" i="1"/>
  <c r="Q1371" i="1"/>
  <c r="Q1370" i="1"/>
  <c r="Q1369" i="1"/>
  <c r="Q1368" i="1"/>
  <c r="Q1367" i="1"/>
  <c r="Q1366" i="1"/>
  <c r="Q1365" i="1"/>
  <c r="Q1364" i="1"/>
  <c r="Q1363" i="1"/>
  <c r="Q1362" i="1"/>
  <c r="Q1361" i="1"/>
  <c r="Q1360" i="1"/>
  <c r="Q1359" i="1"/>
  <c r="Q1358" i="1"/>
  <c r="Q1357" i="1"/>
  <c r="Q1356" i="1"/>
  <c r="Q1355" i="1"/>
  <c r="Q1354" i="1"/>
  <c r="Q1353" i="1"/>
  <c r="Q1352" i="1"/>
  <c r="Q1351" i="1"/>
  <c r="Q1350" i="1"/>
  <c r="Q1349" i="1"/>
  <c r="Q1348" i="1"/>
  <c r="Q1347" i="1"/>
  <c r="Q1346" i="1"/>
  <c r="Q1345" i="1"/>
  <c r="Q1344" i="1"/>
  <c r="Q1343" i="1"/>
  <c r="Q1342" i="1"/>
  <c r="Q1341" i="1"/>
  <c r="Q1340" i="1"/>
  <c r="Q1339" i="1"/>
  <c r="Q1338" i="1"/>
  <c r="Q1337" i="1"/>
  <c r="Q1336" i="1"/>
  <c r="Q1335" i="1"/>
  <c r="Q1334" i="1"/>
  <c r="Q1333" i="1"/>
  <c r="Q1332" i="1"/>
  <c r="Q1331" i="1"/>
  <c r="Q1330" i="1"/>
  <c r="Q1329" i="1"/>
  <c r="Q1328" i="1"/>
  <c r="Q1327" i="1"/>
  <c r="Q1326" i="1"/>
  <c r="Q1325" i="1"/>
  <c r="Q1324" i="1"/>
  <c r="Q1323" i="1"/>
  <c r="Q1322" i="1"/>
  <c r="Q1321" i="1"/>
  <c r="Q1320" i="1"/>
  <c r="Q1319" i="1"/>
  <c r="Q1318" i="1"/>
  <c r="Q1317" i="1"/>
  <c r="Q1316" i="1"/>
  <c r="Q1315" i="1"/>
  <c r="Q1314" i="1"/>
  <c r="Q1313" i="1"/>
  <c r="Q1312" i="1"/>
  <c r="Q1311" i="1"/>
  <c r="Q1310" i="1"/>
  <c r="Q1309" i="1"/>
  <c r="Q1308" i="1"/>
  <c r="Q1307" i="1"/>
  <c r="Q1306" i="1"/>
  <c r="Q1305" i="1"/>
  <c r="Q1304" i="1"/>
  <c r="Q1303" i="1"/>
  <c r="Q1302" i="1"/>
  <c r="Q1301" i="1"/>
  <c r="Q1300" i="1"/>
  <c r="Q1299" i="1"/>
  <c r="Q1298" i="1"/>
  <c r="Q1297" i="1"/>
  <c r="Q1296" i="1"/>
  <c r="Q1295" i="1"/>
  <c r="Q1294" i="1"/>
  <c r="Q1293" i="1"/>
  <c r="Q1292" i="1"/>
  <c r="Q1291" i="1"/>
  <c r="Q1290" i="1"/>
  <c r="Q1289" i="1"/>
  <c r="Q1288" i="1"/>
  <c r="Q1287" i="1"/>
  <c r="Q1286" i="1"/>
  <c r="Q1285" i="1"/>
  <c r="Q1284" i="1"/>
  <c r="Q1283" i="1"/>
  <c r="Q1282" i="1"/>
  <c r="Q1281" i="1"/>
  <c r="Q1280" i="1"/>
  <c r="Q1279" i="1"/>
  <c r="Q1278" i="1"/>
  <c r="Q1277" i="1"/>
  <c r="Q1276" i="1"/>
  <c r="Q1275" i="1"/>
  <c r="Q1274" i="1"/>
  <c r="Q1273" i="1"/>
  <c r="Q1272" i="1"/>
  <c r="Q1271" i="1"/>
  <c r="Q1270" i="1"/>
  <c r="Q1269" i="1"/>
  <c r="Q1268" i="1"/>
  <c r="Q1267" i="1"/>
  <c r="Q1266" i="1"/>
  <c r="Q1265" i="1"/>
  <c r="Q1264" i="1"/>
  <c r="Q1263" i="1"/>
  <c r="Q1262" i="1"/>
  <c r="Q1261" i="1"/>
  <c r="Q1260" i="1"/>
  <c r="Q1259" i="1"/>
  <c r="Q1258" i="1"/>
  <c r="Q1257" i="1"/>
  <c r="Q1256" i="1"/>
  <c r="Q1255" i="1"/>
  <c r="Q1254" i="1"/>
  <c r="Q1253" i="1"/>
  <c r="Q1252" i="1"/>
  <c r="Q1251" i="1"/>
  <c r="Q1250" i="1"/>
  <c r="Q1249" i="1"/>
  <c r="Q1248" i="1"/>
  <c r="Q1247" i="1"/>
  <c r="Q1246" i="1"/>
  <c r="Q1245" i="1"/>
  <c r="Q1244" i="1"/>
  <c r="Q1243" i="1"/>
  <c r="Q1242" i="1"/>
  <c r="Q1241" i="1"/>
  <c r="Q1240" i="1"/>
  <c r="Q1239" i="1"/>
  <c r="Q1238" i="1"/>
  <c r="Q1237" i="1"/>
  <c r="Q1236" i="1"/>
  <c r="Q1235" i="1"/>
  <c r="Q1234" i="1"/>
  <c r="Q1233" i="1"/>
  <c r="Q1232" i="1"/>
  <c r="Q1231" i="1"/>
  <c r="Q1230" i="1"/>
  <c r="Q1229" i="1"/>
  <c r="Q1228" i="1"/>
  <c r="Q1227" i="1"/>
  <c r="Q1226" i="1"/>
  <c r="Q1225" i="1"/>
  <c r="Q1224" i="1"/>
  <c r="Q1223" i="1"/>
  <c r="Q1222" i="1"/>
  <c r="Q1221" i="1"/>
  <c r="Q1220" i="1"/>
  <c r="Q1219" i="1"/>
  <c r="Q1218" i="1"/>
  <c r="Q1217" i="1"/>
  <c r="Q1216" i="1"/>
  <c r="Q1215" i="1"/>
  <c r="Q1214" i="1"/>
  <c r="Q1213" i="1"/>
  <c r="Q1212" i="1"/>
  <c r="Q1211" i="1"/>
  <c r="Q1210" i="1"/>
  <c r="Q1209" i="1"/>
  <c r="Q1208" i="1"/>
  <c r="Q1207" i="1"/>
  <c r="Q1206" i="1"/>
  <c r="Q1205" i="1"/>
  <c r="Q1204" i="1"/>
  <c r="Q1203" i="1"/>
  <c r="Q1202" i="1"/>
  <c r="Q1201" i="1"/>
  <c r="Q1200" i="1"/>
  <c r="Q1199" i="1"/>
  <c r="Q1198" i="1"/>
  <c r="Q1197" i="1"/>
  <c r="Q1196" i="1"/>
  <c r="Q1195" i="1"/>
  <c r="Q1194" i="1"/>
  <c r="Q1193" i="1"/>
  <c r="Q1192" i="1"/>
  <c r="Q1191" i="1"/>
  <c r="Q1190" i="1"/>
  <c r="Q1189" i="1"/>
  <c r="Q1188" i="1"/>
  <c r="Q1187" i="1"/>
  <c r="Q1186" i="1"/>
  <c r="Q1185" i="1"/>
  <c r="Q1184" i="1"/>
  <c r="Q1183" i="1"/>
  <c r="Q1182" i="1"/>
  <c r="Q1181" i="1"/>
  <c r="Q1180" i="1"/>
  <c r="Q1179" i="1"/>
  <c r="Q1178" i="1"/>
  <c r="Q1177" i="1"/>
  <c r="Q1176" i="1"/>
  <c r="Q1175" i="1"/>
  <c r="Q1174" i="1"/>
  <c r="Q1173" i="1"/>
  <c r="Q1172" i="1"/>
  <c r="Q1171" i="1"/>
  <c r="Q1170" i="1"/>
  <c r="Q1169" i="1"/>
  <c r="Q1168" i="1"/>
  <c r="Q1167" i="1"/>
  <c r="Q1166" i="1"/>
  <c r="Q1165" i="1"/>
  <c r="Q1164" i="1"/>
  <c r="Q1163" i="1"/>
  <c r="Q1162" i="1"/>
  <c r="Q1161" i="1"/>
  <c r="Q1160" i="1"/>
  <c r="Q1159" i="1"/>
  <c r="Q1158" i="1"/>
  <c r="Q1157" i="1"/>
  <c r="Q1156" i="1"/>
  <c r="Q1155" i="1"/>
  <c r="Q1154" i="1"/>
  <c r="Q1153" i="1"/>
  <c r="Q1152" i="1"/>
  <c r="Q1151" i="1"/>
  <c r="Q1150" i="1"/>
  <c r="Q1149" i="1"/>
  <c r="Q1148" i="1"/>
  <c r="Q1147" i="1"/>
  <c r="Q1146" i="1"/>
  <c r="Q1145" i="1"/>
  <c r="Q1144" i="1"/>
  <c r="Q1143" i="1"/>
  <c r="Q1142" i="1"/>
  <c r="Q1141" i="1"/>
  <c r="Q1140" i="1"/>
  <c r="Q1139" i="1"/>
  <c r="Q1138" i="1"/>
  <c r="Q1137" i="1"/>
  <c r="Q1136" i="1"/>
  <c r="Q1135" i="1"/>
  <c r="Q1134" i="1"/>
  <c r="Q1133" i="1"/>
  <c r="Q1132" i="1"/>
  <c r="Q1131" i="1"/>
  <c r="Q1130" i="1"/>
  <c r="Q1129" i="1"/>
  <c r="Q1128" i="1"/>
  <c r="Q1127" i="1"/>
  <c r="Q1126" i="1"/>
  <c r="Q1125" i="1"/>
  <c r="Q1124" i="1"/>
  <c r="Q1123" i="1"/>
  <c r="Q1122" i="1"/>
  <c r="Q1121" i="1"/>
  <c r="Q1120" i="1"/>
  <c r="Q1119" i="1"/>
  <c r="Q1118" i="1"/>
  <c r="Q1117" i="1"/>
  <c r="Q1116" i="1"/>
  <c r="Q1115" i="1"/>
  <c r="Q1114" i="1"/>
  <c r="Q1113" i="1"/>
  <c r="Q1112" i="1"/>
  <c r="Q1111" i="1"/>
  <c r="Q1110" i="1"/>
  <c r="Q1109" i="1"/>
  <c r="Q1108" i="1"/>
  <c r="Q1107" i="1"/>
  <c r="Q1106" i="1"/>
  <c r="Q1105" i="1"/>
  <c r="Q1104" i="1"/>
  <c r="Q1103" i="1"/>
  <c r="Q1102" i="1"/>
  <c r="Q1101" i="1"/>
  <c r="Q1100" i="1"/>
  <c r="Q1099" i="1"/>
  <c r="Q1098" i="1"/>
  <c r="Q1097" i="1"/>
  <c r="Q1096" i="1"/>
  <c r="Q1095" i="1"/>
  <c r="Q1094" i="1"/>
  <c r="Q1093" i="1"/>
  <c r="Q1092" i="1"/>
  <c r="Q1091" i="1"/>
  <c r="Q1090" i="1"/>
  <c r="Q1089" i="1"/>
  <c r="Q1088" i="1"/>
  <c r="Q1087" i="1"/>
  <c r="Q1086" i="1"/>
  <c r="Q1085" i="1"/>
  <c r="Q1084" i="1"/>
  <c r="Q1083" i="1"/>
  <c r="Q1082" i="1"/>
  <c r="Q1081" i="1"/>
  <c r="Q1080" i="1"/>
  <c r="Q1079" i="1"/>
  <c r="Q1078" i="1"/>
  <c r="Q1077" i="1"/>
  <c r="Q1076" i="1"/>
  <c r="Q1075" i="1"/>
  <c r="Q1074" i="1"/>
  <c r="Q1073" i="1"/>
  <c r="Q1072" i="1"/>
  <c r="Q1071" i="1"/>
  <c r="Q1070" i="1"/>
  <c r="Q1069" i="1"/>
  <c r="Q1068" i="1"/>
  <c r="Q1067" i="1"/>
  <c r="Q1066" i="1"/>
  <c r="Q1065" i="1"/>
  <c r="Q1064" i="1"/>
  <c r="Q1063" i="1"/>
  <c r="Q1062" i="1"/>
  <c r="Q1061" i="1"/>
  <c r="Q1060" i="1"/>
  <c r="Q1059" i="1"/>
  <c r="Q1058" i="1"/>
  <c r="Q1057" i="1"/>
  <c r="Q1056" i="1"/>
  <c r="Q1055" i="1"/>
  <c r="Q1054" i="1"/>
  <c r="Q1053" i="1"/>
  <c r="Q1052" i="1"/>
  <c r="Q1051" i="1"/>
  <c r="Q1050" i="1"/>
  <c r="Q1049" i="1"/>
  <c r="Q1048" i="1"/>
  <c r="Q1047" i="1"/>
  <c r="Q1046" i="1"/>
  <c r="Q1045" i="1"/>
  <c r="Q1044" i="1"/>
  <c r="Q1043" i="1"/>
  <c r="Q1042" i="1"/>
  <c r="Q1041" i="1"/>
  <c r="Q1040" i="1"/>
  <c r="Q1039" i="1"/>
  <c r="Q1038" i="1"/>
  <c r="Q1037" i="1"/>
  <c r="Q1036" i="1"/>
  <c r="Q1035" i="1"/>
  <c r="Q1034" i="1"/>
  <c r="Q1033" i="1"/>
  <c r="Q1032" i="1"/>
  <c r="Q1031" i="1"/>
  <c r="Q1030" i="1"/>
  <c r="Q1029" i="1"/>
  <c r="Q1028" i="1"/>
  <c r="Q1027" i="1"/>
  <c r="Q1026" i="1"/>
  <c r="Q1025" i="1"/>
  <c r="Q1024" i="1"/>
  <c r="Q1023" i="1"/>
  <c r="Q1022" i="1"/>
  <c r="Q1021" i="1"/>
  <c r="Q1020" i="1"/>
  <c r="Q1019" i="1"/>
  <c r="Q1018" i="1"/>
  <c r="Q1017" i="1"/>
  <c r="Q1016" i="1"/>
  <c r="Q1015" i="1"/>
  <c r="Q1014" i="1"/>
  <c r="Q1013" i="1"/>
  <c r="Q1012" i="1"/>
  <c r="Q1011" i="1"/>
  <c r="Q1010" i="1"/>
  <c r="Q1009" i="1"/>
  <c r="Q1008" i="1"/>
  <c r="Q1007" i="1"/>
  <c r="Q1006" i="1"/>
  <c r="Q1005" i="1"/>
  <c r="Q1004" i="1"/>
  <c r="Q1003" i="1"/>
  <c r="Q1002" i="1"/>
  <c r="Q1001" i="1"/>
  <c r="Q1000" i="1"/>
  <c r="Q999" i="1"/>
  <c r="Q998" i="1"/>
  <c r="Q997" i="1"/>
  <c r="Q996" i="1"/>
  <c r="Q995" i="1"/>
  <c r="Q994" i="1"/>
  <c r="Q993" i="1"/>
  <c r="Q992" i="1"/>
  <c r="Q991" i="1"/>
  <c r="Q990" i="1"/>
  <c r="Q989" i="1"/>
  <c r="Q988" i="1"/>
  <c r="Q987" i="1"/>
  <c r="Q986" i="1"/>
  <c r="Q985" i="1"/>
  <c r="Q984" i="1"/>
  <c r="Q983" i="1"/>
  <c r="Q982" i="1"/>
  <c r="Q981" i="1"/>
  <c r="Q980" i="1"/>
  <c r="Q979" i="1"/>
  <c r="Q978" i="1"/>
  <c r="Q977" i="1"/>
  <c r="Q976" i="1"/>
  <c r="Q975" i="1"/>
  <c r="Q974" i="1"/>
  <c r="Q973" i="1"/>
  <c r="Q972" i="1"/>
  <c r="Q971" i="1"/>
  <c r="Q970" i="1"/>
  <c r="Q969" i="1"/>
  <c r="Q968" i="1"/>
  <c r="Q967" i="1"/>
  <c r="Q966" i="1"/>
  <c r="Q965" i="1"/>
  <c r="Q964" i="1"/>
  <c r="Q963" i="1"/>
  <c r="Q962" i="1"/>
  <c r="Q961" i="1"/>
  <c r="Q960" i="1"/>
  <c r="Q959" i="1"/>
  <c r="Q958" i="1"/>
  <c r="Q957" i="1"/>
  <c r="Q956" i="1"/>
  <c r="Q955" i="1"/>
  <c r="Q954" i="1"/>
  <c r="Q953" i="1"/>
  <c r="Q952" i="1"/>
  <c r="Q951" i="1"/>
  <c r="Q950" i="1"/>
  <c r="Q949" i="1"/>
  <c r="Q948" i="1"/>
  <c r="Q947" i="1"/>
  <c r="Q946" i="1"/>
  <c r="Q945" i="1"/>
  <c r="Q944" i="1"/>
  <c r="Q943" i="1"/>
  <c r="Q942" i="1"/>
  <c r="Q941" i="1"/>
  <c r="Q940" i="1"/>
  <c r="Q939" i="1"/>
  <c r="Q938" i="1"/>
  <c r="Q937" i="1"/>
  <c r="Q936" i="1"/>
  <c r="Q935" i="1"/>
  <c r="Q934" i="1"/>
  <c r="Q933" i="1"/>
  <c r="Q932" i="1"/>
  <c r="Q931" i="1"/>
  <c r="Q930" i="1"/>
  <c r="Q929" i="1"/>
  <c r="Q928" i="1"/>
  <c r="Q927" i="1"/>
  <c r="Q926" i="1"/>
  <c r="Q925" i="1"/>
  <c r="Q924" i="1"/>
  <c r="Q923" i="1"/>
  <c r="Q922" i="1"/>
  <c r="Q921" i="1"/>
  <c r="Q920" i="1"/>
  <c r="Q919" i="1"/>
  <c r="Q918" i="1"/>
  <c r="Q917" i="1"/>
  <c r="Q916" i="1"/>
  <c r="Q915" i="1"/>
  <c r="Q914" i="1"/>
  <c r="Q913" i="1"/>
  <c r="Q912" i="1"/>
  <c r="Q911" i="1"/>
  <c r="Q910" i="1"/>
  <c r="Q909" i="1"/>
  <c r="Q908" i="1"/>
  <c r="Q907" i="1"/>
  <c r="Q906" i="1"/>
  <c r="Q905" i="1"/>
  <c r="Q904" i="1"/>
  <c r="Q903" i="1"/>
  <c r="Q902" i="1"/>
  <c r="Q901" i="1"/>
  <c r="Q900" i="1"/>
  <c r="Q899" i="1"/>
  <c r="Q898" i="1"/>
  <c r="Q897" i="1"/>
  <c r="Q896" i="1"/>
  <c r="Q895" i="1"/>
  <c r="Q894" i="1"/>
  <c r="Q893" i="1"/>
  <c r="Q892" i="1"/>
  <c r="Q891" i="1"/>
  <c r="Q890" i="1"/>
  <c r="Q889" i="1"/>
  <c r="Q888" i="1"/>
  <c r="Q887" i="1"/>
  <c r="Q886" i="1"/>
  <c r="Q885" i="1"/>
  <c r="Q884" i="1"/>
  <c r="Q883" i="1"/>
  <c r="Q882" i="1"/>
  <c r="Q881" i="1"/>
  <c r="Q880" i="1"/>
  <c r="Q879" i="1"/>
  <c r="Q878" i="1"/>
  <c r="Q877" i="1"/>
  <c r="Q876" i="1"/>
  <c r="Q875" i="1"/>
  <c r="Q874" i="1"/>
  <c r="Q873" i="1"/>
  <c r="Q872" i="1"/>
  <c r="Q871" i="1"/>
  <c r="Q870" i="1"/>
  <c r="Q869" i="1"/>
  <c r="Q868" i="1"/>
  <c r="Q867" i="1"/>
  <c r="Q866" i="1"/>
  <c r="Q865" i="1"/>
  <c r="Q864" i="1"/>
  <c r="Q863" i="1"/>
  <c r="Q862" i="1"/>
  <c r="Q861" i="1"/>
  <c r="Q860" i="1"/>
  <c r="Q859" i="1"/>
  <c r="Q858" i="1"/>
  <c r="Q857" i="1"/>
  <c r="Q856" i="1"/>
  <c r="Q855" i="1"/>
  <c r="Q854" i="1"/>
  <c r="Q853" i="1"/>
  <c r="Q852" i="1"/>
  <c r="Q851" i="1"/>
  <c r="Q850" i="1"/>
  <c r="Q849" i="1"/>
  <c r="Q848" i="1"/>
  <c r="Q847" i="1"/>
  <c r="Q846" i="1"/>
  <c r="Q845" i="1"/>
  <c r="Q844" i="1"/>
  <c r="Q843" i="1"/>
  <c r="Q842" i="1"/>
  <c r="Q841" i="1"/>
  <c r="Q840" i="1"/>
  <c r="Q839" i="1"/>
  <c r="Q838" i="1"/>
  <c r="Q837" i="1"/>
  <c r="Q836" i="1"/>
  <c r="Q835" i="1"/>
  <c r="Q834" i="1"/>
  <c r="Q833" i="1"/>
  <c r="Q832" i="1"/>
  <c r="Q831" i="1"/>
  <c r="Q830" i="1"/>
  <c r="Q829" i="1"/>
  <c r="Q828" i="1"/>
  <c r="Q827" i="1"/>
  <c r="Q826" i="1"/>
  <c r="Q825" i="1"/>
  <c r="Q824" i="1"/>
  <c r="Q823" i="1"/>
  <c r="Q822" i="1"/>
  <c r="Q821" i="1"/>
  <c r="Q820" i="1"/>
  <c r="Q819" i="1"/>
  <c r="Q818" i="1"/>
  <c r="Q817" i="1"/>
  <c r="Q816" i="1"/>
  <c r="Q815" i="1"/>
  <c r="Q814" i="1"/>
  <c r="Q813" i="1"/>
  <c r="Q812" i="1"/>
  <c r="Q811" i="1"/>
  <c r="Q810" i="1"/>
  <c r="Q809" i="1"/>
  <c r="Q808" i="1"/>
  <c r="Q807" i="1"/>
  <c r="Q806" i="1"/>
  <c r="Q805" i="1"/>
  <c r="Q804" i="1"/>
  <c r="Q803" i="1"/>
  <c r="Q802" i="1"/>
  <c r="Q801" i="1"/>
  <c r="Q800" i="1"/>
  <c r="Q799" i="1"/>
  <c r="Q798" i="1"/>
  <c r="Q797" i="1"/>
  <c r="Q796" i="1"/>
  <c r="Q795" i="1"/>
  <c r="Q794" i="1"/>
  <c r="Q793" i="1"/>
  <c r="Q792" i="1"/>
  <c r="Q791" i="1"/>
  <c r="Q790" i="1"/>
  <c r="Q789" i="1"/>
  <c r="Q788" i="1"/>
  <c r="Q787" i="1"/>
  <c r="Q786" i="1"/>
  <c r="Q785" i="1"/>
  <c r="Q784" i="1"/>
  <c r="Q783" i="1"/>
  <c r="Q782" i="1"/>
  <c r="Q781" i="1"/>
  <c r="Q780" i="1"/>
  <c r="Q779" i="1"/>
  <c r="Q778" i="1"/>
  <c r="Q777" i="1"/>
  <c r="Q776" i="1"/>
  <c r="Q775" i="1"/>
  <c r="Q774" i="1"/>
  <c r="Q773" i="1"/>
  <c r="Q772" i="1"/>
  <c r="Q771" i="1"/>
  <c r="Q770" i="1"/>
  <c r="Q769" i="1"/>
  <c r="Q768" i="1"/>
  <c r="Q767" i="1"/>
  <c r="Q766" i="1"/>
  <c r="Q765" i="1"/>
  <c r="Q764" i="1"/>
  <c r="Q763" i="1"/>
  <c r="Q762" i="1"/>
  <c r="Q761" i="1"/>
  <c r="Q760" i="1"/>
  <c r="Q759" i="1"/>
  <c r="Q758" i="1"/>
  <c r="Q757" i="1"/>
  <c r="Q756" i="1"/>
  <c r="Q755" i="1"/>
  <c r="Q754" i="1"/>
  <c r="Q753" i="1"/>
  <c r="Q752" i="1"/>
  <c r="Q751" i="1"/>
  <c r="Q750" i="1"/>
  <c r="Q749" i="1"/>
  <c r="Q748" i="1"/>
  <c r="Q747" i="1"/>
  <c r="Q746" i="1"/>
  <c r="Q745" i="1"/>
  <c r="Q744" i="1"/>
  <c r="Q743" i="1"/>
  <c r="Q742" i="1"/>
  <c r="Q741" i="1"/>
  <c r="Q740" i="1"/>
  <c r="Q739" i="1"/>
  <c r="Q738" i="1"/>
  <c r="Q737" i="1"/>
  <c r="Q736" i="1"/>
  <c r="Q735" i="1"/>
  <c r="Q734" i="1"/>
  <c r="Q733" i="1"/>
  <c r="Q732" i="1"/>
  <c r="Q731" i="1"/>
  <c r="Q730" i="1"/>
  <c r="Q729" i="1"/>
  <c r="Q728" i="1"/>
  <c r="Q727" i="1"/>
  <c r="Q726" i="1"/>
  <c r="Q725" i="1"/>
  <c r="Q724" i="1"/>
  <c r="Q723" i="1"/>
  <c r="Q722" i="1"/>
  <c r="Q721" i="1"/>
  <c r="Q720" i="1"/>
  <c r="Q719" i="1"/>
  <c r="Q718" i="1"/>
  <c r="Q717" i="1"/>
  <c r="Q716" i="1"/>
  <c r="Q715" i="1"/>
  <c r="Q714" i="1"/>
  <c r="Q713" i="1"/>
  <c r="Q712" i="1"/>
  <c r="Q711" i="1"/>
  <c r="Q710" i="1"/>
  <c r="Q709" i="1"/>
  <c r="Q708" i="1"/>
  <c r="Q707" i="1"/>
  <c r="Q706" i="1"/>
  <c r="Q705" i="1"/>
  <c r="Q704" i="1"/>
  <c r="Q703" i="1"/>
  <c r="Q702" i="1"/>
  <c r="Q701" i="1"/>
  <c r="Q700" i="1"/>
  <c r="Q699" i="1"/>
  <c r="Q698" i="1"/>
  <c r="Q697" i="1"/>
  <c r="Q696" i="1"/>
  <c r="Q695" i="1"/>
  <c r="Q694" i="1"/>
  <c r="Q693" i="1"/>
  <c r="Q692" i="1"/>
  <c r="Q691" i="1"/>
  <c r="Q690" i="1"/>
  <c r="Q689" i="1"/>
  <c r="Q688" i="1"/>
  <c r="Q687" i="1"/>
  <c r="Q686" i="1"/>
  <c r="Q685" i="1"/>
  <c r="Q684" i="1"/>
  <c r="Q683" i="1"/>
  <c r="Q682" i="1"/>
  <c r="Q681" i="1"/>
  <c r="Q680" i="1"/>
  <c r="Q679" i="1"/>
  <c r="Q678" i="1"/>
  <c r="Q677" i="1"/>
  <c r="Q676" i="1"/>
  <c r="Q675" i="1"/>
  <c r="Q674" i="1"/>
  <c r="Q673" i="1"/>
  <c r="Q672" i="1"/>
  <c r="Q671" i="1"/>
  <c r="Q670" i="1"/>
  <c r="Q669" i="1"/>
  <c r="Q668" i="1"/>
  <c r="Q667" i="1"/>
  <c r="Q666" i="1"/>
  <c r="Q665" i="1"/>
  <c r="Q664" i="1"/>
  <c r="Q663" i="1"/>
  <c r="Q662" i="1"/>
  <c r="Q661" i="1"/>
  <c r="Q660" i="1"/>
  <c r="Q659" i="1"/>
  <c r="Q658" i="1"/>
  <c r="Q657" i="1"/>
  <c r="Q656" i="1"/>
  <c r="Q655" i="1"/>
  <c r="Q654" i="1"/>
  <c r="Q653" i="1"/>
  <c r="Q652" i="1"/>
  <c r="Q651" i="1"/>
  <c r="Q650" i="1"/>
  <c r="Q649" i="1"/>
  <c r="Q648" i="1"/>
  <c r="Q647" i="1"/>
  <c r="Q646" i="1"/>
  <c r="Q645" i="1"/>
  <c r="Q644" i="1"/>
  <c r="Q643" i="1"/>
  <c r="Q642" i="1"/>
  <c r="Q641" i="1"/>
  <c r="Q640" i="1"/>
  <c r="Q639" i="1"/>
  <c r="Q638" i="1"/>
  <c r="Q637" i="1"/>
  <c r="Q636" i="1"/>
  <c r="Q635" i="1"/>
  <c r="Q634" i="1"/>
  <c r="Q633" i="1"/>
  <c r="Q632" i="1"/>
  <c r="Q631" i="1"/>
  <c r="Q630" i="1"/>
  <c r="Q629" i="1"/>
  <c r="Q628" i="1"/>
  <c r="Q627" i="1"/>
  <c r="Q626" i="1"/>
  <c r="Q625" i="1"/>
  <c r="Q624" i="1"/>
  <c r="Q623" i="1"/>
  <c r="Q622" i="1"/>
  <c r="Q621" i="1"/>
  <c r="Q620" i="1"/>
  <c r="Q619" i="1"/>
  <c r="Q618" i="1"/>
  <c r="Q617" i="1"/>
  <c r="Q616" i="1"/>
  <c r="Q615" i="1"/>
  <c r="Q614" i="1"/>
  <c r="Q613" i="1"/>
  <c r="Q612" i="1"/>
  <c r="Q611" i="1"/>
  <c r="Q610" i="1"/>
  <c r="Q609" i="1"/>
  <c r="Q608" i="1"/>
  <c r="Q607" i="1"/>
  <c r="Q606" i="1"/>
  <c r="Q605" i="1"/>
  <c r="Q604" i="1"/>
  <c r="Q603" i="1"/>
  <c r="Q602" i="1"/>
  <c r="Q601" i="1"/>
  <c r="Q600" i="1"/>
  <c r="Q599" i="1"/>
  <c r="Q598" i="1"/>
  <c r="Q597" i="1"/>
  <c r="Q596" i="1"/>
  <c r="Q595" i="1"/>
  <c r="Q594" i="1"/>
  <c r="Q593" i="1"/>
  <c r="Q592" i="1"/>
  <c r="Q591" i="1"/>
  <c r="Q590" i="1"/>
  <c r="Q589" i="1"/>
  <c r="Q588" i="1"/>
  <c r="Q587" i="1"/>
  <c r="Q586" i="1"/>
  <c r="Q585" i="1"/>
  <c r="Q584" i="1"/>
  <c r="Q583" i="1"/>
  <c r="Q582" i="1"/>
  <c r="Q581" i="1"/>
  <c r="Q580" i="1"/>
  <c r="Q579" i="1"/>
  <c r="Q578" i="1"/>
  <c r="Q577" i="1"/>
  <c r="Q576" i="1"/>
  <c r="Q575" i="1"/>
  <c r="Q574" i="1"/>
  <c r="Q573" i="1"/>
  <c r="Q572" i="1"/>
  <c r="Q571" i="1"/>
  <c r="Q570" i="1"/>
  <c r="Q569" i="1"/>
  <c r="Q568" i="1"/>
  <c r="Q567" i="1"/>
  <c r="Q566" i="1"/>
  <c r="Q565" i="1"/>
  <c r="Q564" i="1"/>
  <c r="Q563" i="1"/>
  <c r="Q562" i="1"/>
  <c r="Q561" i="1"/>
  <c r="Q560" i="1"/>
  <c r="Q559" i="1"/>
  <c r="Q558" i="1"/>
  <c r="Q557" i="1"/>
  <c r="Q556" i="1"/>
  <c r="Q555" i="1"/>
  <c r="Q554" i="1"/>
  <c r="Q553" i="1"/>
  <c r="Q552" i="1"/>
  <c r="Q551" i="1"/>
  <c r="Q550" i="1"/>
  <c r="Q549" i="1"/>
  <c r="Q548" i="1"/>
  <c r="Q547" i="1"/>
  <c r="Q546" i="1"/>
  <c r="Q545" i="1"/>
  <c r="Q544" i="1"/>
  <c r="Q543" i="1"/>
  <c r="Q542" i="1"/>
  <c r="Q541" i="1"/>
  <c r="Q540" i="1"/>
  <c r="Q539" i="1"/>
  <c r="Q538" i="1"/>
  <c r="Q537" i="1"/>
  <c r="Q536" i="1"/>
  <c r="Q535" i="1"/>
  <c r="Q534" i="1"/>
  <c r="Q533" i="1"/>
  <c r="Q532" i="1"/>
  <c r="Q531" i="1"/>
  <c r="Q530" i="1"/>
  <c r="Q529" i="1"/>
  <c r="Q528" i="1"/>
  <c r="Q527" i="1"/>
  <c r="Q526" i="1"/>
  <c r="Q525" i="1"/>
  <c r="Q524" i="1"/>
  <c r="Q523" i="1"/>
  <c r="Q522" i="1"/>
  <c r="Q521" i="1"/>
  <c r="Q520" i="1"/>
  <c r="Q519" i="1"/>
  <c r="Q518" i="1"/>
  <c r="Q517" i="1"/>
  <c r="Q516" i="1"/>
  <c r="Q515" i="1"/>
  <c r="Q514" i="1"/>
  <c r="Q513" i="1"/>
  <c r="Q512" i="1"/>
  <c r="Q511" i="1"/>
  <c r="Q510" i="1"/>
  <c r="Q509" i="1"/>
  <c r="Q508" i="1"/>
  <c r="Q507" i="1"/>
  <c r="Q506" i="1"/>
  <c r="Q505" i="1"/>
  <c r="Q504" i="1"/>
  <c r="Q503" i="1"/>
  <c r="Q502" i="1"/>
  <c r="Q501" i="1"/>
  <c r="Q500" i="1"/>
  <c r="Q499" i="1"/>
  <c r="Q498" i="1"/>
  <c r="Q497" i="1"/>
  <c r="Q496" i="1"/>
  <c r="Q495" i="1"/>
  <c r="Q494" i="1"/>
  <c r="Q493" i="1"/>
  <c r="Q492" i="1"/>
  <c r="Q491" i="1"/>
  <c r="Q490" i="1"/>
  <c r="Q489" i="1"/>
  <c r="Q488" i="1"/>
  <c r="Q487" i="1"/>
  <c r="Q486" i="1"/>
  <c r="Q485" i="1"/>
  <c r="Q484" i="1"/>
  <c r="Q483" i="1"/>
  <c r="Q482" i="1"/>
  <c r="Q481" i="1"/>
  <c r="Q480" i="1"/>
  <c r="Q479" i="1"/>
  <c r="Q478" i="1"/>
  <c r="Q477" i="1"/>
  <c r="Q476" i="1"/>
  <c r="Q475" i="1"/>
  <c r="Q474" i="1"/>
  <c r="Q473" i="1"/>
  <c r="Q472" i="1"/>
  <c r="Q471" i="1"/>
  <c r="Q470" i="1"/>
  <c r="Q469" i="1"/>
  <c r="Q468" i="1"/>
  <c r="Q467" i="1"/>
  <c r="Q466" i="1"/>
  <c r="Q465" i="1"/>
  <c r="Q464" i="1"/>
  <c r="Q463" i="1"/>
  <c r="Q462" i="1"/>
  <c r="Q461" i="1"/>
  <c r="Q460" i="1"/>
  <c r="Q459" i="1"/>
  <c r="Q458" i="1"/>
  <c r="Q457" i="1"/>
  <c r="Q456" i="1"/>
  <c r="Q455" i="1"/>
  <c r="Q454" i="1"/>
  <c r="Q453" i="1"/>
  <c r="Q452" i="1"/>
  <c r="Q451" i="1"/>
  <c r="Q450" i="1"/>
  <c r="Q449" i="1"/>
  <c r="Q448" i="1"/>
  <c r="Q447" i="1"/>
  <c r="Q446" i="1"/>
  <c r="Q445" i="1"/>
  <c r="Q444" i="1"/>
  <c r="Q443" i="1"/>
  <c r="Q442" i="1"/>
  <c r="Q441" i="1"/>
  <c r="Q440" i="1"/>
  <c r="Q439" i="1"/>
  <c r="Q438" i="1"/>
  <c r="Q437" i="1"/>
  <c r="Q436" i="1"/>
  <c r="Q435" i="1"/>
  <c r="Q434" i="1"/>
  <c r="Q433" i="1"/>
  <c r="Q432" i="1"/>
  <c r="Q431" i="1"/>
  <c r="Q430" i="1"/>
  <c r="Q429" i="1"/>
  <c r="Q428" i="1"/>
  <c r="Q427" i="1"/>
  <c r="Q426" i="1"/>
  <c r="Q425" i="1"/>
  <c r="Q424" i="1"/>
  <c r="Q423" i="1"/>
  <c r="Q422" i="1"/>
  <c r="Q421" i="1"/>
  <c r="Q420" i="1"/>
  <c r="Q419" i="1"/>
  <c r="Q418" i="1"/>
  <c r="Q417" i="1"/>
  <c r="Q416" i="1"/>
  <c r="Q415" i="1"/>
  <c r="Q414" i="1"/>
  <c r="Q413" i="1"/>
  <c r="Q412" i="1"/>
  <c r="Q411" i="1"/>
  <c r="Q410" i="1"/>
  <c r="Q409" i="1"/>
  <c r="Q408" i="1"/>
  <c r="Q407" i="1"/>
  <c r="Q406" i="1"/>
  <c r="Q405" i="1"/>
  <c r="Q404" i="1"/>
  <c r="Q403" i="1"/>
  <c r="Q402" i="1"/>
  <c r="Q401" i="1"/>
  <c r="Q400" i="1"/>
  <c r="Q399" i="1"/>
  <c r="Q398" i="1"/>
  <c r="Q397" i="1"/>
  <c r="Q396" i="1"/>
  <c r="Q395" i="1"/>
  <c r="Q394" i="1"/>
  <c r="Q393" i="1"/>
  <c r="Q392" i="1"/>
  <c r="Q391" i="1"/>
  <c r="Q390" i="1"/>
  <c r="Q389" i="1"/>
  <c r="Q388" i="1"/>
  <c r="Q387" i="1"/>
  <c r="Q386" i="1"/>
  <c r="Q385" i="1"/>
  <c r="Q384" i="1"/>
  <c r="Q383" i="1"/>
  <c r="Q382" i="1"/>
  <c r="Q381" i="1"/>
  <c r="Q380" i="1"/>
  <c r="Q379" i="1"/>
  <c r="Q378" i="1"/>
  <c r="Q377" i="1"/>
  <c r="Q376" i="1"/>
  <c r="Q375" i="1"/>
  <c r="Q374" i="1"/>
  <c r="Q373" i="1"/>
  <c r="Q372" i="1"/>
  <c r="Q371" i="1"/>
  <c r="Q370" i="1"/>
  <c r="Q369" i="1"/>
  <c r="Q368" i="1"/>
  <c r="Q367" i="1"/>
  <c r="Q366" i="1"/>
  <c r="Q365" i="1"/>
  <c r="Q364" i="1"/>
  <c r="Q363" i="1"/>
  <c r="Q362" i="1"/>
  <c r="Q361" i="1"/>
  <c r="Q360" i="1"/>
  <c r="Q359" i="1"/>
  <c r="Q358" i="1"/>
  <c r="Q357" i="1"/>
  <c r="Q356" i="1"/>
  <c r="Q355" i="1"/>
  <c r="Q354" i="1"/>
  <c r="Q353" i="1"/>
  <c r="Q352" i="1"/>
  <c r="Q351" i="1"/>
  <c r="Q350" i="1"/>
  <c r="Q349" i="1"/>
  <c r="Q348" i="1"/>
  <c r="Q347" i="1"/>
  <c r="Q346" i="1"/>
  <c r="Q345" i="1"/>
  <c r="Q344" i="1"/>
  <c r="Q343" i="1"/>
  <c r="Q342" i="1"/>
  <c r="Q341" i="1"/>
  <c r="Q340" i="1"/>
  <c r="Q339" i="1"/>
  <c r="Q338" i="1"/>
  <c r="Q337" i="1"/>
  <c r="Q336" i="1"/>
  <c r="Q335" i="1"/>
  <c r="Q334" i="1"/>
  <c r="Q333" i="1"/>
  <c r="Q332" i="1"/>
  <c r="Q331" i="1"/>
  <c r="Q330" i="1"/>
  <c r="Q329" i="1"/>
  <c r="Q328" i="1"/>
  <c r="Q327" i="1"/>
  <c r="Q326" i="1"/>
  <c r="Q325" i="1"/>
  <c r="Q324" i="1"/>
  <c r="Q323" i="1"/>
  <c r="Q322" i="1"/>
  <c r="Q321" i="1"/>
  <c r="Q320" i="1"/>
  <c r="Q319" i="1"/>
  <c r="Q318" i="1"/>
  <c r="Q317" i="1"/>
  <c r="Q316" i="1"/>
  <c r="Q315" i="1"/>
  <c r="Q314" i="1"/>
  <c r="Q313" i="1"/>
  <c r="Q312" i="1"/>
  <c r="Q311" i="1"/>
  <c r="Q310" i="1"/>
  <c r="Q309" i="1"/>
  <c r="Q308" i="1"/>
  <c r="Q307" i="1"/>
  <c r="Q306" i="1"/>
  <c r="Q305" i="1"/>
  <c r="Q304" i="1"/>
  <c r="Q303" i="1"/>
  <c r="Q302" i="1"/>
  <c r="Q301" i="1"/>
  <c r="Q300" i="1"/>
  <c r="Q299" i="1"/>
  <c r="Q298" i="1"/>
  <c r="Q297" i="1"/>
  <c r="Q296" i="1"/>
  <c r="Q295" i="1"/>
  <c r="Q294" i="1"/>
  <c r="Q293" i="1"/>
  <c r="Q292" i="1"/>
  <c r="Q291" i="1"/>
  <c r="Q290" i="1"/>
  <c r="Q289" i="1"/>
  <c r="Q288" i="1"/>
  <c r="Q287" i="1"/>
  <c r="Q286" i="1"/>
  <c r="Q285" i="1"/>
  <c r="Q28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Q2" i="1"/>
  <c r="A3" i="12" l="1"/>
  <c r="A4" i="12" s="1"/>
  <c r="A5" i="12" s="1"/>
  <c r="A6" i="12" s="1"/>
  <c r="A7" i="12" s="1"/>
  <c r="A8" i="12" s="1"/>
  <c r="A9" i="12" s="1"/>
  <c r="A10" i="12" s="1"/>
  <c r="A11" i="12" s="1"/>
  <c r="A12" i="12" s="1"/>
  <c r="A13" i="12" s="1"/>
  <c r="A14" i="12" s="1"/>
  <c r="A15" i="12" s="1"/>
  <c r="A16" i="12" s="1"/>
  <c r="A17" i="12" s="1"/>
  <c r="A18" i="12" s="1"/>
  <c r="A19" i="12" s="1"/>
  <c r="A20" i="12" s="1"/>
  <c r="A21" i="12" s="1"/>
  <c r="D21" i="12"/>
  <c r="C21" i="12"/>
  <c r="D20" i="12"/>
  <c r="C20" i="12"/>
  <c r="D19" i="12"/>
  <c r="C19" i="12"/>
  <c r="D18" i="12"/>
  <c r="C18" i="12"/>
  <c r="Z131" i="9" l="1"/>
  <c r="AA131" i="9"/>
  <c r="AB131" i="9"/>
  <c r="Z132" i="9"/>
  <c r="AA132" i="9"/>
  <c r="AB132" i="9"/>
  <c r="Z133" i="9"/>
  <c r="AA133" i="9"/>
  <c r="AB133" i="9"/>
  <c r="Z134" i="9"/>
  <c r="AA134" i="9"/>
  <c r="AB134" i="9"/>
  <c r="U136" i="9"/>
  <c r="V136" i="9"/>
  <c r="W136" i="9"/>
  <c r="X136" i="9"/>
  <c r="Y136" i="9"/>
  <c r="Z136" i="9"/>
  <c r="AA136" i="9"/>
  <c r="AB136" i="9"/>
  <c r="U137" i="9"/>
  <c r="V137" i="9"/>
  <c r="W137" i="9"/>
  <c r="X137" i="9"/>
  <c r="Y137" i="9"/>
  <c r="Z137" i="9"/>
  <c r="AA137" i="9"/>
  <c r="AB137" i="9"/>
  <c r="O1380" i="1" l="1"/>
  <c r="N1380" i="1"/>
  <c r="M1380" i="1"/>
  <c r="O1379" i="1"/>
  <c r="N1379" i="1"/>
  <c r="M1379" i="1"/>
  <c r="O1378" i="1"/>
  <c r="N1378" i="1"/>
  <c r="M1378" i="1"/>
  <c r="W88" i="9"/>
  <c r="O1377" i="1"/>
  <c r="N1377" i="1"/>
  <c r="M1377" i="1"/>
  <c r="O1376" i="1"/>
  <c r="N1376" i="1"/>
  <c r="M1376" i="1"/>
  <c r="O1375" i="1"/>
  <c r="N1375" i="1"/>
  <c r="M1375" i="1"/>
  <c r="O1374" i="1"/>
  <c r="N1374" i="1"/>
  <c r="M1374" i="1"/>
  <c r="O1373" i="1"/>
  <c r="N1373" i="1"/>
  <c r="M1373" i="1"/>
  <c r="X42" i="9"/>
  <c r="N1372" i="1"/>
  <c r="M1372" i="1"/>
  <c r="O1372" i="1"/>
  <c r="E1371" i="1"/>
  <c r="N1371" i="1"/>
  <c r="M1371" i="1"/>
  <c r="O1371" i="1"/>
  <c r="X123" i="9"/>
  <c r="W123" i="9"/>
  <c r="E1370" i="1"/>
  <c r="O1370" i="1"/>
  <c r="N1370" i="1"/>
  <c r="M1370" i="1"/>
  <c r="O1369" i="1"/>
  <c r="N1369" i="1"/>
  <c r="M1369" i="1"/>
  <c r="O1368" i="1"/>
  <c r="N1368" i="1"/>
  <c r="M1368" i="1"/>
  <c r="N1367" i="1"/>
  <c r="M1367" i="1"/>
  <c r="O1367" i="1"/>
  <c r="O1366" i="1"/>
  <c r="N1366" i="1"/>
  <c r="M1366" i="1"/>
  <c r="N1365" i="1"/>
  <c r="M1365" i="1"/>
  <c r="O1365" i="1"/>
  <c r="O1364" i="1"/>
  <c r="N1364" i="1"/>
  <c r="M1364" i="1"/>
  <c r="O1363" i="1"/>
  <c r="N1363" i="1"/>
  <c r="M1363" i="1"/>
  <c r="O1362" i="1"/>
  <c r="N1362" i="1"/>
  <c r="M1362" i="1"/>
  <c r="O1361" i="1"/>
  <c r="N1361" i="1"/>
  <c r="M1361" i="1"/>
  <c r="O1360" i="1"/>
  <c r="N1360" i="1"/>
  <c r="M1360" i="1"/>
  <c r="A3" i="1"/>
  <c r="A4" i="1"/>
  <c r="A5" i="1"/>
  <c r="O1359" i="1"/>
  <c r="N1359" i="1"/>
  <c r="M1359" i="1"/>
  <c r="X51" i="9"/>
  <c r="O1358" i="1"/>
  <c r="N1358" i="1"/>
  <c r="M1358" i="1"/>
  <c r="O1357" i="1"/>
  <c r="N1357" i="1"/>
  <c r="M1357" i="1"/>
  <c r="O1356" i="1"/>
  <c r="N1356" i="1"/>
  <c r="M1356" i="1"/>
  <c r="X87" i="9"/>
  <c r="X96" i="9"/>
  <c r="O1355" i="1"/>
  <c r="N1355" i="1"/>
  <c r="M1355" i="1"/>
  <c r="O1354" i="1"/>
  <c r="N1354" i="1"/>
  <c r="M1354" i="1"/>
  <c r="V4" i="9"/>
  <c r="O1353" i="1"/>
  <c r="N1353" i="1"/>
  <c r="M1353" i="1"/>
  <c r="O1352" i="1"/>
  <c r="N1352" i="1"/>
  <c r="M1352" i="1"/>
  <c r="O1351" i="1"/>
  <c r="N1351" i="1"/>
  <c r="M1351" i="1"/>
  <c r="O1350" i="1"/>
  <c r="N1350" i="1"/>
  <c r="M1350" i="1"/>
  <c r="W102" i="9"/>
  <c r="X102" i="9"/>
  <c r="O1349" i="1"/>
  <c r="N1349" i="1"/>
  <c r="M1349" i="1"/>
  <c r="O1348" i="1"/>
  <c r="N1348" i="1"/>
  <c r="M1348" i="1"/>
  <c r="E1346" i="1"/>
  <c r="O1347" i="1"/>
  <c r="N1347" i="1"/>
  <c r="M1347" i="1"/>
  <c r="O1346" i="1"/>
  <c r="N1346" i="1"/>
  <c r="M1346" i="1"/>
  <c r="O1345" i="1"/>
  <c r="N1345" i="1"/>
  <c r="M1345" i="1"/>
  <c r="O1344" i="1"/>
  <c r="N1344" i="1"/>
  <c r="M1344" i="1"/>
  <c r="X10" i="9"/>
  <c r="E1343" i="1"/>
  <c r="O1343" i="1"/>
  <c r="N1343" i="1"/>
  <c r="M1343" i="1"/>
  <c r="F1" i="9"/>
  <c r="G1" i="9"/>
  <c r="H1" i="9"/>
  <c r="I1" i="9"/>
  <c r="J1" i="9"/>
  <c r="K1" i="9"/>
  <c r="L1" i="9"/>
  <c r="M1" i="9"/>
  <c r="N1" i="9"/>
  <c r="O1" i="9"/>
  <c r="P1" i="9"/>
  <c r="Q1" i="9"/>
  <c r="R1" i="9"/>
  <c r="S1" i="9"/>
  <c r="T1" i="9"/>
  <c r="U1" i="9"/>
  <c r="V1" i="9"/>
  <c r="W1" i="9"/>
  <c r="X1" i="9"/>
  <c r="Y1" i="9"/>
  <c r="W30" i="9"/>
  <c r="W32" i="9"/>
  <c r="W35" i="9"/>
  <c r="W37" i="9"/>
  <c r="W41" i="9"/>
  <c r="W42" i="9"/>
  <c r="W43" i="9"/>
  <c r="W48" i="9"/>
  <c r="W50" i="9"/>
  <c r="W51" i="9"/>
  <c r="W53" i="9"/>
  <c r="W54" i="9"/>
  <c r="W63" i="9"/>
  <c r="W68" i="9"/>
  <c r="W70" i="9"/>
  <c r="W71" i="9"/>
  <c r="W78" i="9"/>
  <c r="W91" i="9"/>
  <c r="W96" i="9"/>
  <c r="W98" i="9"/>
  <c r="W99" i="9"/>
  <c r="W108" i="9"/>
  <c r="W111" i="9"/>
  <c r="W117" i="9"/>
  <c r="W122" i="9"/>
  <c r="W125" i="9"/>
  <c r="V2" i="9"/>
  <c r="V5" i="9"/>
  <c r="V6" i="9"/>
  <c r="V10" i="9"/>
  <c r="V13" i="9"/>
  <c r="V17" i="9"/>
  <c r="V30" i="9"/>
  <c r="V32" i="9"/>
  <c r="V36" i="9"/>
  <c r="V37" i="9"/>
  <c r="V38" i="9"/>
  <c r="V41" i="9"/>
  <c r="V42" i="9"/>
  <c r="V47" i="9"/>
  <c r="V48" i="9"/>
  <c r="V51" i="9"/>
  <c r="V52" i="9"/>
  <c r="V53" i="9"/>
  <c r="V54" i="9"/>
  <c r="V55" i="9"/>
  <c r="V58" i="9"/>
  <c r="V60" i="9"/>
  <c r="V63" i="9"/>
  <c r="V68" i="9"/>
  <c r="V70" i="9"/>
  <c r="V71" i="9"/>
  <c r="V72" i="9"/>
  <c r="V74" i="9"/>
  <c r="V78" i="9"/>
  <c r="V81" i="9"/>
  <c r="V96" i="9"/>
  <c r="V98" i="9"/>
  <c r="V100" i="9"/>
  <c r="V103" i="9"/>
  <c r="V106" i="9"/>
  <c r="V107" i="9"/>
  <c r="V108" i="9"/>
  <c r="V109" i="9"/>
  <c r="V111" i="9"/>
  <c r="V116" i="9"/>
  <c r="V117" i="9"/>
  <c r="V119" i="9"/>
  <c r="V120" i="9"/>
  <c r="V122" i="9"/>
  <c r="V123" i="9"/>
  <c r="V124" i="9"/>
  <c r="V125" i="9"/>
  <c r="V126" i="9"/>
  <c r="U4" i="9"/>
  <c r="U5" i="9"/>
  <c r="U17" i="9"/>
  <c r="U32" i="9"/>
  <c r="U43" i="9"/>
  <c r="U51" i="9"/>
  <c r="U54" i="9"/>
  <c r="U74" i="9"/>
  <c r="U100" i="9"/>
  <c r="U108" i="9"/>
  <c r="U119" i="9"/>
  <c r="U123" i="9"/>
  <c r="T30" i="9"/>
  <c r="T35" i="9"/>
  <c r="T37" i="9"/>
  <c r="T59" i="9"/>
  <c r="T74" i="9"/>
  <c r="T106" i="9"/>
  <c r="T107" i="9"/>
  <c r="T108" i="9"/>
  <c r="T109" i="9"/>
  <c r="T119" i="9"/>
  <c r="S4" i="9"/>
  <c r="S30" i="9"/>
  <c r="S32" i="9"/>
  <c r="S33" i="9"/>
  <c r="S35" i="9"/>
  <c r="S37" i="9"/>
  <c r="S48" i="9"/>
  <c r="S74" i="9"/>
  <c r="S80" i="9"/>
  <c r="S101" i="9"/>
  <c r="S106" i="9"/>
  <c r="S107" i="9"/>
  <c r="S111" i="9"/>
  <c r="S123" i="9"/>
  <c r="R13" i="9"/>
  <c r="R74" i="9"/>
  <c r="R107" i="9"/>
  <c r="Q13" i="9"/>
  <c r="Q37" i="9"/>
  <c r="Q47" i="9"/>
  <c r="Q51" i="9"/>
  <c r="Q96" i="9"/>
  <c r="Q101" i="9"/>
  <c r="Q106" i="9"/>
  <c r="Q108" i="9"/>
  <c r="Q117" i="9"/>
  <c r="P4" i="9"/>
  <c r="P97" i="9"/>
  <c r="P107" i="9"/>
  <c r="P131" i="9"/>
  <c r="N14" i="10"/>
  <c r="O14" i="10" s="1"/>
  <c r="O4" i="9"/>
  <c r="O13" i="9"/>
  <c r="O37" i="9"/>
  <c r="O49" i="9"/>
  <c r="O51" i="9"/>
  <c r="O68" i="9"/>
  <c r="O96" i="9"/>
  <c r="O97" i="9"/>
  <c r="O107" i="9"/>
  <c r="O117" i="9"/>
  <c r="O131" i="9"/>
  <c r="N13" i="10"/>
  <c r="O13" i="10" s="1"/>
  <c r="N40" i="9"/>
  <c r="N106" i="9"/>
  <c r="N131" i="9"/>
  <c r="N12" i="10"/>
  <c r="O12" i="10" s="1"/>
  <c r="M4" i="9"/>
  <c r="M40" i="9"/>
  <c r="M88" i="9"/>
  <c r="M106" i="9"/>
  <c r="M131" i="9"/>
  <c r="N11" i="10"/>
  <c r="O11" i="10" s="1"/>
  <c r="L4" i="9"/>
  <c r="L32" i="9"/>
  <c r="L40" i="9"/>
  <c r="L106" i="9"/>
  <c r="L109" i="9"/>
  <c r="L131" i="9"/>
  <c r="N10" i="10"/>
  <c r="O10" i="10" s="1"/>
  <c r="K5" i="9"/>
  <c r="K9" i="9"/>
  <c r="K10" i="9"/>
  <c r="K13" i="9"/>
  <c r="K14" i="9"/>
  <c r="K32" i="9"/>
  <c r="K36" i="9"/>
  <c r="K47" i="9"/>
  <c r="K48" i="9"/>
  <c r="K51" i="9"/>
  <c r="K53" i="9"/>
  <c r="K54" i="9"/>
  <c r="K63" i="9"/>
  <c r="K68" i="9"/>
  <c r="K78" i="9"/>
  <c r="K95" i="9"/>
  <c r="K106" i="9"/>
  <c r="K109" i="9"/>
  <c r="K117" i="9"/>
  <c r="K125" i="9"/>
  <c r="K131" i="9"/>
  <c r="N9" i="10"/>
  <c r="O9" i="10" s="1"/>
  <c r="J14" i="9"/>
  <c r="J99" i="9"/>
  <c r="J115" i="9"/>
  <c r="J124" i="9"/>
  <c r="J131" i="9"/>
  <c r="N8" i="10"/>
  <c r="O8" i="10" s="1"/>
  <c r="I13" i="9"/>
  <c r="I14" i="9"/>
  <c r="I59" i="9"/>
  <c r="I63" i="9"/>
  <c r="I81" i="9"/>
  <c r="I128" i="9"/>
  <c r="I131" i="9"/>
  <c r="N7" i="10"/>
  <c r="O7" i="10" s="1"/>
  <c r="H37" i="9"/>
  <c r="H131" i="9"/>
  <c r="N6" i="10"/>
  <c r="O6" i="10" s="1"/>
  <c r="G32" i="9"/>
  <c r="G59" i="9"/>
  <c r="G131" i="9"/>
  <c r="N5" i="10"/>
  <c r="O5" i="10" s="1"/>
  <c r="F13" i="9"/>
  <c r="F84" i="9"/>
  <c r="F109" i="9"/>
  <c r="F131" i="9"/>
  <c r="N4" i="10"/>
  <c r="O4" i="10" s="1"/>
  <c r="E6" i="9"/>
  <c r="E13" i="9"/>
  <c r="E33" i="9"/>
  <c r="E34" i="9"/>
  <c r="E36" i="9"/>
  <c r="E47" i="9"/>
  <c r="E49" i="9"/>
  <c r="E55" i="9"/>
  <c r="E60" i="9"/>
  <c r="E68" i="9"/>
  <c r="E78" i="9"/>
  <c r="E84" i="9"/>
  <c r="E86" i="9"/>
  <c r="E107" i="9"/>
  <c r="E109" i="9"/>
  <c r="E131" i="9"/>
  <c r="N3" i="10"/>
  <c r="O3" i="10" s="1"/>
  <c r="O1342" i="1"/>
  <c r="N1342" i="1"/>
  <c r="M1342" i="1"/>
  <c r="O1341" i="1"/>
  <c r="N1341" i="1"/>
  <c r="M1341" i="1"/>
  <c r="N1340" i="1"/>
  <c r="M1340" i="1"/>
  <c r="O1340" i="1"/>
  <c r="O1339" i="1"/>
  <c r="N1339" i="1"/>
  <c r="M1339" i="1"/>
  <c r="N1338" i="1"/>
  <c r="M1338" i="1"/>
  <c r="O1338" i="1"/>
  <c r="O1337" i="1"/>
  <c r="N1337" i="1"/>
  <c r="M1337" i="1"/>
  <c r="O1336" i="1"/>
  <c r="N1336" i="1"/>
  <c r="M1336" i="1"/>
  <c r="O1335" i="1"/>
  <c r="N1335" i="1"/>
  <c r="M1335" i="1"/>
  <c r="Y111" i="9"/>
  <c r="E1333" i="1"/>
  <c r="O1334" i="1"/>
  <c r="N1334" i="1"/>
  <c r="M1334" i="1"/>
  <c r="O1333" i="1"/>
  <c r="N1333" i="1"/>
  <c r="M1333" i="1"/>
  <c r="O1332" i="1"/>
  <c r="N1332" i="1"/>
  <c r="M1332" i="1"/>
  <c r="O1331" i="1"/>
  <c r="N1331" i="1"/>
  <c r="M1331" i="1"/>
  <c r="E1329" i="1"/>
  <c r="O1330" i="1"/>
  <c r="N1330" i="1"/>
  <c r="M1330" i="1"/>
  <c r="O1329" i="1"/>
  <c r="N1329" i="1"/>
  <c r="M1329" i="1"/>
  <c r="O1328" i="1"/>
  <c r="N1328" i="1"/>
  <c r="M1328" i="1"/>
  <c r="O1327" i="1"/>
  <c r="N1327" i="1"/>
  <c r="M1327" i="1"/>
  <c r="N1326" i="1"/>
  <c r="M1326" i="1"/>
  <c r="O1326" i="1"/>
  <c r="E1325" i="1"/>
  <c r="O1325" i="1"/>
  <c r="N1325" i="1"/>
  <c r="M1325" i="1"/>
  <c r="O1324" i="1"/>
  <c r="N1324" i="1"/>
  <c r="M1324" i="1"/>
  <c r="O1323" i="1"/>
  <c r="N1323" i="1"/>
  <c r="M1323" i="1"/>
  <c r="E134" i="9"/>
  <c r="F134" i="9"/>
  <c r="G134" i="9"/>
  <c r="H134" i="9"/>
  <c r="I134" i="9"/>
  <c r="J134" i="9"/>
  <c r="K134" i="9"/>
  <c r="L134" i="9"/>
  <c r="M134" i="9"/>
  <c r="N134" i="9"/>
  <c r="O134" i="9"/>
  <c r="P134" i="9"/>
  <c r="X35" i="9"/>
  <c r="X63" i="9"/>
  <c r="X125" i="9"/>
  <c r="O1322" i="1"/>
  <c r="N1322" i="1"/>
  <c r="M1322" i="1"/>
  <c r="O1321" i="1"/>
  <c r="N1321" i="1"/>
  <c r="M1321" i="1"/>
  <c r="O1320" i="1"/>
  <c r="N1320" i="1"/>
  <c r="M1320" i="1"/>
  <c r="O1319" i="1"/>
  <c r="N1319" i="1"/>
  <c r="M1319" i="1"/>
  <c r="O1318" i="1"/>
  <c r="N1318" i="1"/>
  <c r="M1318" i="1"/>
  <c r="O1317" i="1"/>
  <c r="N1317" i="1"/>
  <c r="M1317" i="1"/>
  <c r="E1315" i="1"/>
  <c r="O1315" i="1"/>
  <c r="O1316" i="1"/>
  <c r="N1316" i="1"/>
  <c r="M1316" i="1"/>
  <c r="N1315" i="1"/>
  <c r="M1315" i="1"/>
  <c r="O1314" i="1"/>
  <c r="N1314" i="1"/>
  <c r="M1314" i="1"/>
  <c r="I2" i="8"/>
  <c r="I3"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H2" i="8"/>
  <c r="H3"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G2"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F2"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E2" i="8"/>
  <c r="E3" i="8"/>
  <c r="E4" i="8"/>
  <c r="E5" i="8"/>
  <c r="E6" i="8"/>
  <c r="E7" i="8"/>
  <c r="E8" i="8"/>
  <c r="E9" i="8"/>
  <c r="E10" i="8"/>
  <c r="E11" i="8"/>
  <c r="E12" i="8"/>
  <c r="E13" i="8"/>
  <c r="E14" i="8"/>
  <c r="E15" i="8"/>
  <c r="E16" i="8"/>
  <c r="E17" i="8"/>
  <c r="E18" i="8"/>
  <c r="E19" i="8"/>
  <c r="E20" i="8"/>
  <c r="E21" i="8"/>
  <c r="E22" i="8"/>
  <c r="E23" i="8"/>
  <c r="E24" i="8"/>
  <c r="E25" i="8"/>
  <c r="E26" i="8"/>
  <c r="E27" i="8"/>
  <c r="E28" i="8"/>
  <c r="E29" i="8"/>
  <c r="E1236" i="1"/>
  <c r="E30" i="8"/>
  <c r="E31" i="8"/>
  <c r="E32" i="8"/>
  <c r="E33" i="8"/>
  <c r="E34" i="8"/>
  <c r="E35" i="8"/>
  <c r="E36" i="8"/>
  <c r="E1279" i="1"/>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C2"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E304" i="1"/>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O1313" i="1"/>
  <c r="N1313" i="1"/>
  <c r="M1313" i="1"/>
  <c r="O1312" i="1"/>
  <c r="N1312" i="1"/>
  <c r="M1312" i="1"/>
  <c r="O1311" i="1"/>
  <c r="N1311" i="1"/>
  <c r="M1311" i="1"/>
  <c r="E1309" i="1"/>
  <c r="E98" i="1"/>
  <c r="AC100" i="9"/>
  <c r="C100" i="9"/>
  <c r="O1310" i="1"/>
  <c r="N1310" i="1"/>
  <c r="M1310" i="1"/>
  <c r="O1309" i="1"/>
  <c r="N1309" i="1"/>
  <c r="M1309" i="1"/>
  <c r="O1308" i="1"/>
  <c r="N1308" i="1"/>
  <c r="M1308" i="1"/>
  <c r="O1307" i="1"/>
  <c r="N1307" i="1"/>
  <c r="M1307" i="1"/>
  <c r="O1306" i="1"/>
  <c r="N1306" i="1"/>
  <c r="M1306" i="1"/>
  <c r="O1305" i="1"/>
  <c r="N1305" i="1"/>
  <c r="M1305" i="1"/>
  <c r="O1304" i="1"/>
  <c r="N1304" i="1"/>
  <c r="M1304" i="1"/>
  <c r="O1303" i="1"/>
  <c r="N1303" i="1"/>
  <c r="M1303" i="1"/>
  <c r="O1302" i="1"/>
  <c r="N1302" i="1"/>
  <c r="M1302" i="1"/>
  <c r="O1301" i="1"/>
  <c r="N1301" i="1"/>
  <c r="M1301" i="1"/>
  <c r="AR16" i="4"/>
  <c r="AR17" i="4"/>
  <c r="AR18" i="4"/>
  <c r="AR19" i="4"/>
  <c r="AR5" i="4"/>
  <c r="AR6" i="4"/>
  <c r="AR7" i="4" s="1"/>
  <c r="AR8" i="4" s="1"/>
  <c r="AR9" i="4" s="1"/>
  <c r="AR10" i="4"/>
  <c r="AR11" i="4"/>
  <c r="AR12" i="4"/>
  <c r="AR13" i="4"/>
  <c r="AR14" i="4"/>
  <c r="AR15" i="4"/>
  <c r="AR20" i="4"/>
  <c r="AR21" i="4"/>
  <c r="AR22" i="4"/>
  <c r="AR23" i="4"/>
  <c r="AR24" i="4"/>
  <c r="AR25" i="4"/>
  <c r="AR26" i="4"/>
  <c r="AR27" i="4"/>
  <c r="AR28" i="4"/>
  <c r="AR29" i="4"/>
  <c r="AR30" i="4"/>
  <c r="AW16" i="4"/>
  <c r="AW17" i="4"/>
  <c r="AW18" i="4"/>
  <c r="AW19" i="4"/>
  <c r="AV5" i="4"/>
  <c r="AW5" i="4"/>
  <c r="AW6" i="4" s="1"/>
  <c r="D8" i="4" s="1"/>
  <c r="AW7" i="4"/>
  <c r="AW8" i="4"/>
  <c r="AW9" i="4"/>
  <c r="AW10" i="4"/>
  <c r="AW11" i="4"/>
  <c r="AW12" i="4"/>
  <c r="AW13" i="4"/>
  <c r="AW14" i="4"/>
  <c r="AW15" i="4"/>
  <c r="AW20" i="4"/>
  <c r="AW21" i="4"/>
  <c r="AW22" i="4"/>
  <c r="AW23" i="4"/>
  <c r="AW24" i="4"/>
  <c r="AW25" i="4"/>
  <c r="AW26" i="4"/>
  <c r="AW27" i="4"/>
  <c r="AW28" i="4"/>
  <c r="AW29" i="4"/>
  <c r="AW30" i="4"/>
  <c r="O1300" i="1"/>
  <c r="N1300" i="1"/>
  <c r="M1300" i="1"/>
  <c r="O1299" i="1"/>
  <c r="N1299" i="1"/>
  <c r="M1299" i="1"/>
  <c r="O1298" i="1"/>
  <c r="N1298" i="1"/>
  <c r="M1298" i="1"/>
  <c r="O1297" i="1"/>
  <c r="N1297" i="1"/>
  <c r="M1297" i="1"/>
  <c r="O1296" i="1"/>
  <c r="N1296" i="1"/>
  <c r="M1296" i="1"/>
  <c r="O1295" i="1"/>
  <c r="N1295" i="1"/>
  <c r="M1295" i="1"/>
  <c r="O1294" i="1"/>
  <c r="N1294" i="1"/>
  <c r="M1294" i="1"/>
  <c r="O1293" i="1"/>
  <c r="N1293" i="1"/>
  <c r="M1293" i="1"/>
  <c r="O1292" i="1"/>
  <c r="N1292" i="1"/>
  <c r="M1292" i="1"/>
  <c r="O1291" i="1"/>
  <c r="N1291" i="1"/>
  <c r="M1291" i="1"/>
  <c r="O1290" i="1"/>
  <c r="N1290" i="1"/>
  <c r="M1290" i="1"/>
  <c r="E14" i="11"/>
  <c r="E19" i="11"/>
  <c r="O1289" i="1"/>
  <c r="N1289" i="1"/>
  <c r="M1289" i="1"/>
  <c r="O1288" i="1"/>
  <c r="N1288" i="1"/>
  <c r="M1288" i="1"/>
  <c r="O1287" i="1"/>
  <c r="N1287" i="1"/>
  <c r="M1287" i="1"/>
  <c r="O1286" i="1"/>
  <c r="N1286" i="1"/>
  <c r="M1286" i="1"/>
  <c r="O1285" i="1"/>
  <c r="N1285" i="1"/>
  <c r="M1285" i="1"/>
  <c r="O1284" i="1"/>
  <c r="N1284" i="1"/>
  <c r="M1284" i="1"/>
  <c r="J5" i="11"/>
  <c r="D5" i="11"/>
  <c r="K14" i="11"/>
  <c r="K19" i="11"/>
  <c r="I139" i="8"/>
  <c r="H139" i="8"/>
  <c r="I138" i="8"/>
  <c r="H138" i="8"/>
  <c r="I137" i="8"/>
  <c r="H137" i="8"/>
  <c r="I136" i="8"/>
  <c r="H136" i="8"/>
  <c r="I135" i="8"/>
  <c r="H135" i="8"/>
  <c r="I134" i="8"/>
  <c r="H134" i="8"/>
  <c r="G139" i="8"/>
  <c r="F139" i="8"/>
  <c r="G138" i="8"/>
  <c r="F138" i="8"/>
  <c r="G137" i="8"/>
  <c r="F137" i="8"/>
  <c r="G136" i="8"/>
  <c r="F136" i="8"/>
  <c r="G135" i="8"/>
  <c r="F135" i="8"/>
  <c r="G134" i="8"/>
  <c r="F134" i="8"/>
  <c r="O1283" i="1"/>
  <c r="N1283" i="1"/>
  <c r="M1283" i="1"/>
  <c r="E1281" i="1"/>
  <c r="O1282" i="1"/>
  <c r="N1282" i="1"/>
  <c r="M1282" i="1"/>
  <c r="O1281" i="1"/>
  <c r="N1281" i="1"/>
  <c r="M1281" i="1"/>
  <c r="O1280" i="1"/>
  <c r="N1280" i="1"/>
  <c r="M1280" i="1"/>
  <c r="O1279" i="1"/>
  <c r="N1279" i="1"/>
  <c r="M1279" i="1"/>
  <c r="O1278" i="1"/>
  <c r="N1278" i="1"/>
  <c r="M1278" i="1"/>
  <c r="O1277" i="1"/>
  <c r="N1277" i="1"/>
  <c r="M1277" i="1"/>
  <c r="O1276" i="1"/>
  <c r="N1276" i="1"/>
  <c r="M1276" i="1"/>
  <c r="O1275" i="1"/>
  <c r="N1275" i="1"/>
  <c r="M1275" i="1"/>
  <c r="O1274" i="1"/>
  <c r="N1274" i="1"/>
  <c r="M1274" i="1"/>
  <c r="N1273" i="1"/>
  <c r="M1273" i="1"/>
  <c r="O1273" i="1"/>
  <c r="D1" i="4"/>
  <c r="S16" i="4"/>
  <c r="S17" i="4"/>
  <c r="S18" i="4"/>
  <c r="S19" i="4"/>
  <c r="S20" i="4"/>
  <c r="S5" i="4"/>
  <c r="S6" i="4" s="1"/>
  <c r="S7" i="4" s="1"/>
  <c r="S8" i="4"/>
  <c r="S9" i="4"/>
  <c r="S10" i="4"/>
  <c r="S11" i="4"/>
  <c r="S12" i="4"/>
  <c r="S13" i="4"/>
  <c r="S14" i="4"/>
  <c r="S15" i="4"/>
  <c r="S21" i="4"/>
  <c r="S22" i="4"/>
  <c r="S23" i="4"/>
  <c r="S24" i="4"/>
  <c r="S25" i="4"/>
  <c r="S26" i="4"/>
  <c r="S27" i="4"/>
  <c r="S28" i="4"/>
  <c r="S29" i="4"/>
  <c r="S30" i="4"/>
  <c r="E1182" i="1"/>
  <c r="O1182" i="1"/>
  <c r="O1272" i="1"/>
  <c r="N1272" i="1"/>
  <c r="M1272" i="1"/>
  <c r="O1271" i="1"/>
  <c r="N1271" i="1"/>
  <c r="M1271" i="1"/>
  <c r="O1270" i="1"/>
  <c r="N1270" i="1"/>
  <c r="M1270" i="1"/>
  <c r="O1269" i="1"/>
  <c r="N1269" i="1"/>
  <c r="M1269" i="1"/>
  <c r="O1268" i="1"/>
  <c r="N1268" i="1"/>
  <c r="M1268" i="1"/>
  <c r="E1266" i="1"/>
  <c r="O1267" i="1"/>
  <c r="N1267" i="1"/>
  <c r="M1267" i="1"/>
  <c r="O1266" i="1"/>
  <c r="N1266" i="1"/>
  <c r="M1266" i="1"/>
  <c r="O1265" i="1"/>
  <c r="N1265" i="1"/>
  <c r="M1265" i="1"/>
  <c r="O1264" i="1"/>
  <c r="N1264" i="1"/>
  <c r="M1264" i="1"/>
  <c r="O1263" i="1"/>
  <c r="N1263" i="1"/>
  <c r="M1263" i="1"/>
  <c r="O1262" i="1"/>
  <c r="N1262" i="1"/>
  <c r="M1262" i="1"/>
  <c r="N1261" i="1"/>
  <c r="M1261" i="1"/>
  <c r="E1261" i="1"/>
  <c r="O1261" i="1"/>
  <c r="X30" i="4"/>
  <c r="X29" i="4"/>
  <c r="X28" i="4"/>
  <c r="X27" i="4"/>
  <c r="X26" i="4"/>
  <c r="X25" i="4"/>
  <c r="X24" i="4"/>
  <c r="X23" i="4"/>
  <c r="X22" i="4"/>
  <c r="X21" i="4"/>
  <c r="X20" i="4"/>
  <c r="X19" i="4"/>
  <c r="X5" i="4"/>
  <c r="X6" i="4" s="1"/>
  <c r="X7" i="4" s="1"/>
  <c r="X8" i="4"/>
  <c r="X9" i="4"/>
  <c r="X10" i="4"/>
  <c r="X11" i="4"/>
  <c r="X12" i="4"/>
  <c r="X13" i="4"/>
  <c r="X14" i="4"/>
  <c r="X15" i="4"/>
  <c r="X16" i="4"/>
  <c r="X17" i="4"/>
  <c r="X18" i="4"/>
  <c r="N1260" i="1"/>
  <c r="M1260" i="1"/>
  <c r="O1260" i="1"/>
  <c r="O1259" i="1"/>
  <c r="N1259" i="1"/>
  <c r="M1259" i="1"/>
  <c r="O1258" i="1"/>
  <c r="N1258" i="1"/>
  <c r="M1258" i="1"/>
  <c r="O1257" i="1"/>
  <c r="N1257" i="1"/>
  <c r="M1257" i="1"/>
  <c r="E1256" i="1"/>
  <c r="O1256" i="1"/>
  <c r="N1256" i="1"/>
  <c r="M1256" i="1"/>
  <c r="O1255" i="1"/>
  <c r="N1255" i="1"/>
  <c r="M1255" i="1"/>
  <c r="O1254" i="1"/>
  <c r="N1254" i="1"/>
  <c r="M1254" i="1"/>
  <c r="O1253" i="1"/>
  <c r="N1253" i="1"/>
  <c r="M1253" i="1"/>
  <c r="O1252" i="1"/>
  <c r="N1252" i="1"/>
  <c r="M1252" i="1"/>
  <c r="N1251" i="1"/>
  <c r="M1251" i="1"/>
  <c r="O1251" i="1"/>
  <c r="E1250" i="1"/>
  <c r="O1250" i="1"/>
  <c r="N1250" i="1"/>
  <c r="M1250" i="1"/>
  <c r="O1249" i="1"/>
  <c r="N1249" i="1"/>
  <c r="M1249" i="1"/>
  <c r="O1248" i="1"/>
  <c r="N1248" i="1"/>
  <c r="M1248" i="1"/>
  <c r="O1247" i="1"/>
  <c r="N1247" i="1"/>
  <c r="M1247" i="1"/>
  <c r="O1246" i="1"/>
  <c r="N1246" i="1"/>
  <c r="M1246" i="1"/>
  <c r="O1245" i="1"/>
  <c r="N1245" i="1"/>
  <c r="M1245" i="1"/>
  <c r="O1244" i="1"/>
  <c r="N1244" i="1"/>
  <c r="M1244" i="1"/>
  <c r="O1243" i="1"/>
  <c r="N1243" i="1"/>
  <c r="M1243" i="1"/>
  <c r="O1242" i="1"/>
  <c r="N1242" i="1"/>
  <c r="M1242" i="1"/>
  <c r="O1241" i="1"/>
  <c r="N1241" i="1"/>
  <c r="M1241" i="1"/>
  <c r="O1240" i="1"/>
  <c r="N1240" i="1"/>
  <c r="M1240" i="1"/>
  <c r="O1239" i="1"/>
  <c r="N1239" i="1"/>
  <c r="M1239" i="1"/>
  <c r="O1238" i="1"/>
  <c r="N1238" i="1"/>
  <c r="M1238" i="1"/>
  <c r="O1237" i="1"/>
  <c r="N1237" i="1"/>
  <c r="M1237" i="1"/>
  <c r="O1236" i="1"/>
  <c r="N1236" i="1"/>
  <c r="M1236" i="1"/>
  <c r="O1235" i="1"/>
  <c r="N1235" i="1"/>
  <c r="M1235" i="1"/>
  <c r="O1234" i="1"/>
  <c r="N1234" i="1"/>
  <c r="M1234" i="1"/>
  <c r="O1233" i="1"/>
  <c r="N1233" i="1"/>
  <c r="M1233" i="1"/>
  <c r="O1232" i="1"/>
  <c r="N1232" i="1"/>
  <c r="M1232" i="1"/>
  <c r="O1231" i="1"/>
  <c r="N1231" i="1"/>
  <c r="M1231" i="1"/>
  <c r="O1230" i="1"/>
  <c r="N1230" i="1"/>
  <c r="M1230" i="1"/>
  <c r="N1229" i="1"/>
  <c r="M1229" i="1"/>
  <c r="O1229" i="1"/>
  <c r="E1228" i="1"/>
  <c r="O1228" i="1"/>
  <c r="N1228" i="1"/>
  <c r="M1228" i="1"/>
  <c r="N1227" i="1"/>
  <c r="M1227" i="1"/>
  <c r="O1227" i="1"/>
  <c r="O1226" i="1"/>
  <c r="N1226" i="1"/>
  <c r="M1226" i="1"/>
  <c r="N1225" i="1"/>
  <c r="M1225" i="1"/>
  <c r="O1225" i="1"/>
  <c r="O1224" i="1"/>
  <c r="N1224" i="1"/>
  <c r="M1224" i="1"/>
  <c r="O1223" i="1"/>
  <c r="N1223" i="1"/>
  <c r="M1223" i="1"/>
  <c r="O1222" i="1"/>
  <c r="N1222" i="1"/>
  <c r="M1222" i="1"/>
  <c r="O1221" i="1"/>
  <c r="N1221" i="1"/>
  <c r="M1221" i="1"/>
  <c r="O1220" i="1"/>
  <c r="N1220" i="1"/>
  <c r="M1220" i="1"/>
  <c r="AB54" i="5"/>
  <c r="AA54" i="5"/>
  <c r="Z54" i="5"/>
  <c r="Y54" i="5"/>
  <c r="X54" i="5"/>
  <c r="W54" i="5"/>
  <c r="V54" i="5"/>
  <c r="U54" i="5"/>
  <c r="T54" i="5"/>
  <c r="S54" i="5"/>
  <c r="R54" i="5"/>
  <c r="Q54" i="5"/>
  <c r="P54" i="5"/>
  <c r="O54" i="5"/>
  <c r="N54" i="5"/>
  <c r="M54" i="5"/>
  <c r="L54" i="5"/>
  <c r="K54" i="5"/>
  <c r="J54" i="5"/>
  <c r="I54" i="5"/>
  <c r="H54" i="5"/>
  <c r="G54" i="5"/>
  <c r="F54" i="5"/>
  <c r="E54" i="5"/>
  <c r="AB53" i="5"/>
  <c r="AA53" i="5"/>
  <c r="Z53" i="5"/>
  <c r="Y53" i="5"/>
  <c r="X53" i="5"/>
  <c r="W53" i="5"/>
  <c r="V53" i="5"/>
  <c r="U53" i="5"/>
  <c r="T53" i="5"/>
  <c r="S53" i="5"/>
  <c r="R53" i="5"/>
  <c r="Q53" i="5"/>
  <c r="P53" i="5"/>
  <c r="O53" i="5"/>
  <c r="N53" i="5"/>
  <c r="M53" i="5"/>
  <c r="L53" i="5"/>
  <c r="K53" i="5"/>
  <c r="J53" i="5"/>
  <c r="I53" i="5"/>
  <c r="H53" i="5"/>
  <c r="G53" i="5"/>
  <c r="F53" i="5"/>
  <c r="E53" i="5"/>
  <c r="D54" i="5"/>
  <c r="D53" i="5"/>
  <c r="AC53" i="5"/>
  <c r="AC46" i="9"/>
  <c r="C46" i="9"/>
  <c r="O1219" i="1"/>
  <c r="N1219" i="1"/>
  <c r="M1219" i="1"/>
  <c r="O1218" i="1"/>
  <c r="N1218" i="1"/>
  <c r="M1218" i="1"/>
  <c r="O1217" i="1"/>
  <c r="N1217" i="1"/>
  <c r="M1217" i="1"/>
  <c r="O1216" i="1"/>
  <c r="N1216" i="1"/>
  <c r="M1216" i="1"/>
  <c r="O1215" i="1"/>
  <c r="N1215" i="1"/>
  <c r="M1215" i="1"/>
  <c r="O1214" i="1"/>
  <c r="N1214" i="1"/>
  <c r="M1214" i="1"/>
  <c r="O1213" i="1"/>
  <c r="N1213" i="1"/>
  <c r="M1213" i="1"/>
  <c r="O1212" i="1"/>
  <c r="N1212" i="1"/>
  <c r="M1212" i="1"/>
  <c r="D131" i="9"/>
  <c r="E41" i="1"/>
  <c r="AC109" i="9"/>
  <c r="C109" i="9"/>
  <c r="E69" i="1"/>
  <c r="E70" i="1"/>
  <c r="E180" i="1"/>
  <c r="AC34" i="9"/>
  <c r="C34" i="9"/>
  <c r="E82" i="1"/>
  <c r="E89" i="1"/>
  <c r="E90" i="1"/>
  <c r="E97" i="1"/>
  <c r="E99" i="1"/>
  <c r="E102" i="1"/>
  <c r="E105" i="1"/>
  <c r="E108" i="1"/>
  <c r="E110" i="1"/>
  <c r="E114" i="1"/>
  <c r="E116" i="1"/>
  <c r="E117" i="1"/>
  <c r="E119" i="1"/>
  <c r="E136" i="1"/>
  <c r="E148" i="1"/>
  <c r="E156" i="1"/>
  <c r="E157" i="1"/>
  <c r="E158" i="1"/>
  <c r="E162" i="1"/>
  <c r="E185" i="1"/>
  <c r="E193" i="1"/>
  <c r="E197" i="1"/>
  <c r="E198" i="1"/>
  <c r="E201" i="1"/>
  <c r="E204" i="1"/>
  <c r="E221" i="1"/>
  <c r="E227" i="1"/>
  <c r="E235" i="1"/>
  <c r="E240" i="1"/>
  <c r="E263" i="1"/>
  <c r="E273" i="1"/>
  <c r="E278" i="1"/>
  <c r="E286" i="1"/>
  <c r="E297" i="1"/>
  <c r="AC5" i="9"/>
  <c r="C5" i="9"/>
  <c r="E299" i="1"/>
  <c r="E300" i="1"/>
  <c r="E302" i="1"/>
  <c r="E308" i="1"/>
  <c r="E310" i="1"/>
  <c r="E367" i="1"/>
  <c r="E374" i="1"/>
  <c r="E382" i="1"/>
  <c r="E392" i="1"/>
  <c r="E415" i="1"/>
  <c r="E451" i="1"/>
  <c r="E510" i="1"/>
  <c r="E511" i="1"/>
  <c r="E512" i="1"/>
  <c r="E517" i="1"/>
  <c r="E519" i="1"/>
  <c r="E522" i="1"/>
  <c r="E544" i="1"/>
  <c r="O544" i="1"/>
  <c r="E557" i="1"/>
  <c r="E571" i="1"/>
  <c r="E581" i="1"/>
  <c r="E612" i="1"/>
  <c r="E624" i="1"/>
  <c r="E635" i="1"/>
  <c r="E645" i="1"/>
  <c r="E651" i="1"/>
  <c r="AC80" i="9"/>
  <c r="C80" i="9"/>
  <c r="E652" i="1"/>
  <c r="E658" i="1"/>
  <c r="O658" i="1"/>
  <c r="E659" i="1"/>
  <c r="E661" i="1"/>
  <c r="O661" i="1"/>
  <c r="E663" i="1"/>
  <c r="E668" i="1"/>
  <c r="E670" i="1"/>
  <c r="E672" i="1"/>
  <c r="E675" i="1"/>
  <c r="E676" i="1"/>
  <c r="O676" i="1"/>
  <c r="E681" i="1"/>
  <c r="E688" i="1"/>
  <c r="AC76" i="9"/>
  <c r="C76" i="9"/>
  <c r="E689" i="1"/>
  <c r="E693" i="1"/>
  <c r="E694" i="1"/>
  <c r="E695" i="1"/>
  <c r="O695" i="1"/>
  <c r="E697" i="1"/>
  <c r="E713" i="1"/>
  <c r="O713" i="1"/>
  <c r="E714" i="1"/>
  <c r="E715" i="1"/>
  <c r="AC97" i="9"/>
  <c r="C97" i="9"/>
  <c r="E718" i="1"/>
  <c r="E719" i="1"/>
  <c r="O719" i="1"/>
  <c r="E720" i="1"/>
  <c r="E732" i="1"/>
  <c r="AC99" i="9"/>
  <c r="C99" i="9"/>
  <c r="E734" i="1"/>
  <c r="E740" i="1"/>
  <c r="O740" i="1"/>
  <c r="E769" i="1"/>
  <c r="E781" i="1"/>
  <c r="E874" i="1"/>
  <c r="AC107" i="9"/>
  <c r="C107" i="9"/>
  <c r="E800" i="1"/>
  <c r="E802" i="1"/>
  <c r="O802" i="1"/>
  <c r="E813" i="1"/>
  <c r="E815" i="1"/>
  <c r="O815" i="1"/>
  <c r="E816" i="1"/>
  <c r="E818" i="1"/>
  <c r="O818" i="1"/>
  <c r="E819" i="1"/>
  <c r="E830" i="1"/>
  <c r="O830" i="1"/>
  <c r="E833" i="1"/>
  <c r="E834" i="1"/>
  <c r="O834" i="1"/>
  <c r="E850" i="1"/>
  <c r="E856" i="1"/>
  <c r="O856" i="1"/>
  <c r="E882" i="1"/>
  <c r="O882" i="1"/>
  <c r="E888" i="1"/>
  <c r="E917" i="1"/>
  <c r="E923" i="1"/>
  <c r="E977" i="1"/>
  <c r="O977" i="1"/>
  <c r="E981" i="1"/>
  <c r="E1009" i="1"/>
  <c r="O1009" i="1"/>
  <c r="E1012" i="1"/>
  <c r="E1099" i="1"/>
  <c r="O1099" i="1"/>
  <c r="E1104" i="1"/>
  <c r="E1114" i="1"/>
  <c r="O1114" i="1"/>
  <c r="E1117" i="1"/>
  <c r="E1128" i="1"/>
  <c r="O1128" i="1"/>
  <c r="E1133" i="1"/>
  <c r="E1167" i="1"/>
  <c r="O1167" i="1"/>
  <c r="E1168" i="1"/>
  <c r="E1169" i="1"/>
  <c r="O1169" i="1"/>
  <c r="E1173" i="1"/>
  <c r="E1194" i="1"/>
  <c r="AC48" i="9"/>
  <c r="C48" i="9"/>
  <c r="E1198" i="1"/>
  <c r="AC13" i="9"/>
  <c r="O1194" i="1"/>
  <c r="O1211" i="1"/>
  <c r="N1211" i="1"/>
  <c r="M1211" i="1"/>
  <c r="O1210" i="1"/>
  <c r="N1210" i="1"/>
  <c r="M1210" i="1"/>
  <c r="O1209" i="1"/>
  <c r="N1209" i="1"/>
  <c r="M1209" i="1"/>
  <c r="N1208" i="1"/>
  <c r="M1208" i="1"/>
  <c r="O1208" i="1"/>
  <c r="O1207" i="1"/>
  <c r="N1207" i="1"/>
  <c r="M1207" i="1"/>
  <c r="O1206" i="1"/>
  <c r="N1206" i="1"/>
  <c r="M1206" i="1"/>
  <c r="O1205" i="1"/>
  <c r="N1205" i="1"/>
  <c r="M1205" i="1"/>
  <c r="O1204" i="1"/>
  <c r="N1204" i="1"/>
  <c r="M1204" i="1"/>
  <c r="O1203" i="1"/>
  <c r="N1203" i="1"/>
  <c r="M1203" i="1"/>
  <c r="O1202" i="1"/>
  <c r="N1202" i="1"/>
  <c r="M1202" i="1"/>
  <c r="O1201" i="1"/>
  <c r="N1201" i="1"/>
  <c r="M1201" i="1"/>
  <c r="O1200" i="1"/>
  <c r="N1200" i="1"/>
  <c r="M1200" i="1"/>
  <c r="O1199" i="1"/>
  <c r="N1199" i="1"/>
  <c r="M1199" i="1"/>
  <c r="O1198" i="1"/>
  <c r="N1198" i="1"/>
  <c r="M1198" i="1"/>
  <c r="N1197" i="1"/>
  <c r="M1197" i="1"/>
  <c r="O1197" i="1"/>
  <c r="O1196" i="1"/>
  <c r="N1196" i="1"/>
  <c r="M1196" i="1"/>
  <c r="O1195" i="1"/>
  <c r="N1195" i="1"/>
  <c r="M1195" i="1"/>
  <c r="N1194" i="1"/>
  <c r="M1194" i="1"/>
  <c r="O1193" i="1"/>
  <c r="N1193" i="1"/>
  <c r="M1193" i="1"/>
  <c r="O1192" i="1"/>
  <c r="N1192" i="1"/>
  <c r="M1192" i="1"/>
  <c r="O1191" i="1"/>
  <c r="N1191" i="1"/>
  <c r="M1191" i="1"/>
  <c r="O1190" i="1"/>
  <c r="N1190" i="1"/>
  <c r="M1190" i="1"/>
  <c r="O1189" i="1"/>
  <c r="N1189" i="1"/>
  <c r="M1189" i="1"/>
  <c r="O1188" i="1"/>
  <c r="N1188" i="1"/>
  <c r="M1188" i="1"/>
  <c r="O1187" i="1"/>
  <c r="N1187" i="1"/>
  <c r="M1187" i="1"/>
  <c r="O1186" i="1"/>
  <c r="N1186" i="1"/>
  <c r="M1186" i="1"/>
  <c r="O1185" i="1"/>
  <c r="N1185" i="1"/>
  <c r="M1185" i="1"/>
  <c r="O1184" i="1"/>
  <c r="N1184" i="1"/>
  <c r="M1184" i="1"/>
  <c r="O1183" i="1"/>
  <c r="N1183" i="1"/>
  <c r="M1183" i="1"/>
  <c r="N1182" i="1"/>
  <c r="M1182" i="1"/>
  <c r="O1181" i="1"/>
  <c r="N1181" i="1"/>
  <c r="M1181" i="1"/>
  <c r="O1180" i="1"/>
  <c r="N1180" i="1"/>
  <c r="M1180" i="1"/>
  <c r="N1179" i="1"/>
  <c r="M1179" i="1"/>
  <c r="O1179" i="1"/>
  <c r="O1178" i="1"/>
  <c r="N1178" i="1"/>
  <c r="M1178" i="1"/>
  <c r="O1177" i="1"/>
  <c r="N1177" i="1"/>
  <c r="M1177" i="1"/>
  <c r="O1176" i="1"/>
  <c r="N1176" i="1"/>
  <c r="M1176" i="1"/>
  <c r="O1175" i="1"/>
  <c r="N1175" i="1"/>
  <c r="M1175" i="1"/>
  <c r="N1174" i="1"/>
  <c r="M1174" i="1"/>
  <c r="O1174" i="1"/>
  <c r="O1173" i="1"/>
  <c r="N1173" i="1"/>
  <c r="M1173" i="1"/>
  <c r="O1172" i="1"/>
  <c r="N1172" i="1"/>
  <c r="M1172" i="1"/>
  <c r="O1171" i="1"/>
  <c r="N1171" i="1"/>
  <c r="M1171" i="1"/>
  <c r="O1170" i="1"/>
  <c r="N1170" i="1"/>
  <c r="M1170" i="1"/>
  <c r="N1169" i="1"/>
  <c r="M1169" i="1"/>
  <c r="O1168" i="1"/>
  <c r="N1168" i="1"/>
  <c r="M1168" i="1"/>
  <c r="N1167" i="1"/>
  <c r="M1167" i="1"/>
  <c r="O1166" i="1"/>
  <c r="N1166" i="1"/>
  <c r="M1166" i="1"/>
  <c r="O1165" i="1"/>
  <c r="N1165" i="1"/>
  <c r="M1165" i="1"/>
  <c r="O1164" i="1"/>
  <c r="N1164" i="1"/>
  <c r="M1164" i="1"/>
  <c r="O1163" i="1"/>
  <c r="N1163" i="1"/>
  <c r="M1163" i="1"/>
  <c r="O1162" i="1"/>
  <c r="N1162" i="1"/>
  <c r="M1162" i="1"/>
  <c r="O1161" i="1"/>
  <c r="N1161" i="1"/>
  <c r="M1161" i="1"/>
  <c r="O1160" i="1"/>
  <c r="N1160" i="1"/>
  <c r="M1160" i="1"/>
  <c r="O1159" i="1"/>
  <c r="N1159" i="1"/>
  <c r="M1159" i="1"/>
  <c r="O1158" i="1"/>
  <c r="N1158" i="1"/>
  <c r="M1158" i="1"/>
  <c r="O1157" i="1"/>
  <c r="N1157" i="1"/>
  <c r="M1157" i="1"/>
  <c r="O1156" i="1"/>
  <c r="N1156" i="1"/>
  <c r="M1156" i="1"/>
  <c r="AB126" i="5"/>
  <c r="AA126" i="5"/>
  <c r="Z126" i="5"/>
  <c r="Y126" i="5"/>
  <c r="X126" i="5"/>
  <c r="W126" i="5"/>
  <c r="V126" i="5"/>
  <c r="D126" i="5"/>
  <c r="E126" i="5"/>
  <c r="F126" i="5"/>
  <c r="G126" i="5"/>
  <c r="H126" i="5"/>
  <c r="I126" i="5"/>
  <c r="J126" i="5"/>
  <c r="K126" i="5"/>
  <c r="L126" i="5"/>
  <c r="M126" i="5"/>
  <c r="N126" i="5"/>
  <c r="O126" i="5"/>
  <c r="P126" i="5"/>
  <c r="Q126" i="5"/>
  <c r="R126" i="5"/>
  <c r="S126" i="5"/>
  <c r="T126" i="5"/>
  <c r="U126" i="5"/>
  <c r="AC126" i="5"/>
  <c r="AB125" i="5"/>
  <c r="AA125" i="5"/>
  <c r="Z125" i="5"/>
  <c r="Y125" i="5"/>
  <c r="X125" i="5"/>
  <c r="W125" i="5"/>
  <c r="V125" i="5"/>
  <c r="U125" i="5"/>
  <c r="T125" i="5"/>
  <c r="S125" i="5"/>
  <c r="R125" i="5"/>
  <c r="Q125" i="5"/>
  <c r="P125" i="5"/>
  <c r="O125" i="5"/>
  <c r="N125" i="5"/>
  <c r="M125" i="5"/>
  <c r="L125" i="5"/>
  <c r="K125" i="5"/>
  <c r="J125" i="5"/>
  <c r="I125" i="5"/>
  <c r="H125" i="5"/>
  <c r="G125" i="5"/>
  <c r="F125" i="5"/>
  <c r="E125" i="5"/>
  <c r="D125" i="5"/>
  <c r="AC118" i="9"/>
  <c r="C118" i="9"/>
  <c r="O1155" i="1"/>
  <c r="N1155" i="1"/>
  <c r="M1155" i="1"/>
  <c r="O1154" i="1"/>
  <c r="N1154" i="1"/>
  <c r="M1154" i="1"/>
  <c r="O1153" i="1"/>
  <c r="N1153" i="1"/>
  <c r="M1153" i="1"/>
  <c r="O1152" i="1"/>
  <c r="N1152" i="1"/>
  <c r="M1152" i="1"/>
  <c r="N1151" i="1"/>
  <c r="M1151" i="1"/>
  <c r="O1151" i="1"/>
  <c r="O1150" i="1"/>
  <c r="N1150" i="1"/>
  <c r="M1150" i="1"/>
  <c r="O1149" i="1"/>
  <c r="N1149" i="1"/>
  <c r="M1149" i="1"/>
  <c r="O1148" i="1"/>
  <c r="N1148" i="1"/>
  <c r="M1148" i="1"/>
  <c r="O1147" i="1"/>
  <c r="N1147" i="1"/>
  <c r="M1147" i="1"/>
  <c r="O1146" i="1"/>
  <c r="N1146" i="1"/>
  <c r="M1146" i="1"/>
  <c r="O1145" i="1"/>
  <c r="N1145" i="1"/>
  <c r="M1145" i="1"/>
  <c r="O1144" i="1"/>
  <c r="N1144" i="1"/>
  <c r="M1144" i="1"/>
  <c r="O1143" i="1"/>
  <c r="N1143" i="1"/>
  <c r="M1143" i="1"/>
  <c r="O1142" i="1"/>
  <c r="N1142" i="1"/>
  <c r="M1142" i="1"/>
  <c r="O1141" i="1"/>
  <c r="N1141" i="1"/>
  <c r="M1141" i="1"/>
  <c r="O1140" i="1"/>
  <c r="N1140" i="1"/>
  <c r="M1140" i="1"/>
  <c r="O1139" i="1"/>
  <c r="N1139" i="1"/>
  <c r="M1139" i="1"/>
  <c r="O1138" i="1"/>
  <c r="N1138" i="1"/>
  <c r="M1138" i="1"/>
  <c r="O1137" i="1"/>
  <c r="N1137" i="1"/>
  <c r="M1137" i="1"/>
  <c r="O1136" i="1"/>
  <c r="N1136" i="1"/>
  <c r="M1136" i="1"/>
  <c r="O1135" i="1"/>
  <c r="N1135" i="1"/>
  <c r="M1135" i="1"/>
  <c r="V18" i="10"/>
  <c r="V19" i="10"/>
  <c r="V21" i="10"/>
  <c r="W21" i="10"/>
  <c r="X21" i="10"/>
  <c r="Y21" i="10"/>
  <c r="AA21" i="10"/>
  <c r="AC21" i="10"/>
  <c r="AA20" i="10"/>
  <c r="AA18" i="10"/>
  <c r="AA17" i="10"/>
  <c r="AA16" i="10"/>
  <c r="AC16" i="10"/>
  <c r="AA15" i="10"/>
  <c r="AA14" i="10"/>
  <c r="AA13" i="10"/>
  <c r="AC13" i="10"/>
  <c r="AA12" i="10"/>
  <c r="AC12" i="10"/>
  <c r="AA11" i="10"/>
  <c r="AA10" i="10"/>
  <c r="AA9" i="10"/>
  <c r="AA8" i="10"/>
  <c r="AC8" i="10"/>
  <c r="AA7" i="10"/>
  <c r="AA6" i="10"/>
  <c r="AA5" i="10"/>
  <c r="AC5" i="10"/>
  <c r="AA4" i="10"/>
  <c r="AC4" i="10"/>
  <c r="AA3" i="10"/>
  <c r="AC20" i="10"/>
  <c r="AC14" i="10"/>
  <c r="AC10" i="10"/>
  <c r="AC6" i="10"/>
  <c r="AC18" i="10"/>
  <c r="AC17" i="10"/>
  <c r="AC15" i="10"/>
  <c r="AC11" i="10"/>
  <c r="AC9" i="10"/>
  <c r="AC7" i="10"/>
  <c r="AC3" i="10"/>
  <c r="T20" i="10"/>
  <c r="T19" i="10"/>
  <c r="T18" i="10"/>
  <c r="T17" i="10"/>
  <c r="T16" i="10"/>
  <c r="T15" i="10"/>
  <c r="T14" i="10"/>
  <c r="T13" i="10"/>
  <c r="T12" i="10"/>
  <c r="T11" i="10"/>
  <c r="T10" i="10"/>
  <c r="T9" i="10"/>
  <c r="T8" i="10"/>
  <c r="T7" i="10"/>
  <c r="T6" i="10"/>
  <c r="T5" i="10"/>
  <c r="T4" i="10"/>
  <c r="T3" i="10"/>
  <c r="T21" i="10"/>
  <c r="Q14" i="5"/>
  <c r="O69" i="5"/>
  <c r="K16" i="5"/>
  <c r="K48" i="5"/>
  <c r="K85" i="5"/>
  <c r="J119" i="5"/>
  <c r="F106" i="5"/>
  <c r="AC33" i="9"/>
  <c r="C33" i="9"/>
  <c r="AC49" i="9"/>
  <c r="E85" i="5"/>
  <c r="E130" i="5"/>
  <c r="O1134" i="1"/>
  <c r="N1134" i="1"/>
  <c r="M1134" i="1"/>
  <c r="O1133" i="1"/>
  <c r="N1133" i="1"/>
  <c r="M1133" i="1"/>
  <c r="O1132" i="1"/>
  <c r="N1132" i="1"/>
  <c r="M1132" i="1"/>
  <c r="O1131" i="1"/>
  <c r="N1131" i="1"/>
  <c r="M1131" i="1"/>
  <c r="O1130" i="1"/>
  <c r="N1130" i="1"/>
  <c r="M1130" i="1"/>
  <c r="O1129" i="1"/>
  <c r="N1129" i="1"/>
  <c r="M1129" i="1"/>
  <c r="N1128" i="1"/>
  <c r="M1128" i="1"/>
  <c r="O1127" i="1"/>
  <c r="N1127" i="1"/>
  <c r="M1127" i="1"/>
  <c r="O1126" i="1"/>
  <c r="N1126" i="1"/>
  <c r="M1126" i="1"/>
  <c r="O1125" i="1"/>
  <c r="N1125" i="1"/>
  <c r="M1125" i="1"/>
  <c r="O1124" i="1"/>
  <c r="N1124" i="1"/>
  <c r="M1124" i="1"/>
  <c r="O1123" i="1"/>
  <c r="N1123" i="1"/>
  <c r="M1123" i="1"/>
  <c r="O1122" i="1"/>
  <c r="N1122" i="1"/>
  <c r="M1122" i="1"/>
  <c r="O1121" i="1"/>
  <c r="N1121" i="1"/>
  <c r="M1121" i="1"/>
  <c r="O1120" i="1"/>
  <c r="N1120" i="1"/>
  <c r="M1120" i="1"/>
  <c r="O1119" i="1"/>
  <c r="N1119" i="1"/>
  <c r="M1119" i="1"/>
  <c r="O1118" i="1"/>
  <c r="N1118" i="1"/>
  <c r="M1118" i="1"/>
  <c r="O1117" i="1"/>
  <c r="N1117" i="1"/>
  <c r="M1117" i="1"/>
  <c r="O1116" i="1"/>
  <c r="N1116" i="1"/>
  <c r="M1116" i="1"/>
  <c r="O1115" i="1"/>
  <c r="N1115" i="1"/>
  <c r="M1115" i="1"/>
  <c r="N1114" i="1"/>
  <c r="M1114" i="1"/>
  <c r="O1113" i="1"/>
  <c r="N1113" i="1"/>
  <c r="M1113" i="1"/>
  <c r="O1112" i="1"/>
  <c r="N1112" i="1"/>
  <c r="M1112" i="1"/>
  <c r="O1111" i="1"/>
  <c r="N1111" i="1"/>
  <c r="M1111" i="1"/>
  <c r="AB133" i="5"/>
  <c r="AA133" i="5"/>
  <c r="Z133" i="5"/>
  <c r="D133" i="9"/>
  <c r="D133" i="5"/>
  <c r="E133" i="9"/>
  <c r="E133" i="5"/>
  <c r="F133" i="9"/>
  <c r="F133" i="5"/>
  <c r="G133" i="9"/>
  <c r="G133" i="5"/>
  <c r="H133" i="9"/>
  <c r="H133" i="5"/>
  <c r="I133" i="9"/>
  <c r="I133" i="5"/>
  <c r="J133" i="9"/>
  <c r="J133" i="5"/>
  <c r="K133" i="9"/>
  <c r="K133" i="5"/>
  <c r="L133" i="9"/>
  <c r="L133" i="5"/>
  <c r="M133" i="9"/>
  <c r="M133" i="5"/>
  <c r="N133" i="9"/>
  <c r="N133" i="5"/>
  <c r="O133" i="9"/>
  <c r="O133" i="5"/>
  <c r="P133" i="9"/>
  <c r="P133" i="5"/>
  <c r="AB132" i="5"/>
  <c r="AA132" i="5"/>
  <c r="Z132" i="5"/>
  <c r="H132" i="9"/>
  <c r="H132" i="5"/>
  <c r="D132" i="9"/>
  <c r="D132" i="5"/>
  <c r="O1110" i="1"/>
  <c r="N1110" i="1"/>
  <c r="M1110" i="1"/>
  <c r="O1109" i="1"/>
  <c r="N1109" i="1"/>
  <c r="M1109" i="1"/>
  <c r="O1108" i="1"/>
  <c r="N1108" i="1"/>
  <c r="M1108" i="1"/>
  <c r="AM16" i="4"/>
  <c r="AM17" i="4"/>
  <c r="AM18" i="4"/>
  <c r="AM19" i="4"/>
  <c r="AM5" i="4"/>
  <c r="AM6" i="4" s="1"/>
  <c r="AM7" i="4" s="1"/>
  <c r="AM8" i="4" s="1"/>
  <c r="AM13" i="4"/>
  <c r="AM14" i="4"/>
  <c r="AM15" i="4"/>
  <c r="AM20" i="4"/>
  <c r="AM21" i="4"/>
  <c r="AM22" i="4"/>
  <c r="AM23" i="4"/>
  <c r="AM24" i="4"/>
  <c r="AM25" i="4"/>
  <c r="AM26" i="4"/>
  <c r="AM27" i="4"/>
  <c r="AM28" i="4"/>
  <c r="AM29" i="4"/>
  <c r="AM30" i="4"/>
  <c r="AH4" i="4"/>
  <c r="AH5" i="4"/>
  <c r="AH6" i="4"/>
  <c r="AH7" i="4"/>
  <c r="AH8" i="4"/>
  <c r="AH9" i="4"/>
  <c r="AH10" i="4"/>
  <c r="AH11" i="4"/>
  <c r="AH12" i="4"/>
  <c r="AH13" i="4"/>
  <c r="AH14" i="4"/>
  <c r="AH15" i="4"/>
  <c r="AH16" i="4"/>
  <c r="AH17" i="4"/>
  <c r="AH18" i="4"/>
  <c r="AH19" i="4"/>
  <c r="AH20" i="4"/>
  <c r="AH21" i="4"/>
  <c r="AH22" i="4"/>
  <c r="AH23" i="4"/>
  <c r="AH24" i="4"/>
  <c r="AH25" i="4"/>
  <c r="AH26" i="4"/>
  <c r="AH27" i="4"/>
  <c r="AH28" i="4"/>
  <c r="AH29" i="4"/>
  <c r="AH30" i="4"/>
  <c r="AB5" i="4"/>
  <c r="AC5" i="4"/>
  <c r="AC6" i="4" s="1"/>
  <c r="AC7" i="4" s="1"/>
  <c r="AC8" i="4" s="1"/>
  <c r="AC9" i="4" s="1"/>
  <c r="AC10" i="4" s="1"/>
  <c r="AC11" i="4" s="1"/>
  <c r="AC12" i="4" s="1"/>
  <c r="AC13" i="4" s="1"/>
  <c r="AC14" i="4" s="1"/>
  <c r="AC15" i="4" s="1"/>
  <c r="AC16" i="4" s="1"/>
  <c r="AC21" i="4"/>
  <c r="AC22" i="4"/>
  <c r="AC23" i="4"/>
  <c r="AC24" i="4"/>
  <c r="AC25" i="4"/>
  <c r="AC26" i="4"/>
  <c r="AC27" i="4"/>
  <c r="AC28" i="4"/>
  <c r="AC29" i="4"/>
  <c r="AC30" i="4"/>
  <c r="I4" i="4"/>
  <c r="I5" i="4"/>
  <c r="I6" i="4"/>
  <c r="I7" i="4"/>
  <c r="I8" i="4"/>
  <c r="I9" i="4"/>
  <c r="I10" i="4"/>
  <c r="I11" i="4"/>
  <c r="I12" i="4"/>
  <c r="I13" i="4"/>
  <c r="I14" i="4"/>
  <c r="I15" i="4"/>
  <c r="I16" i="4"/>
  <c r="I17" i="4"/>
  <c r="I18" i="4"/>
  <c r="I19" i="4"/>
  <c r="I20" i="4"/>
  <c r="I21" i="4"/>
  <c r="I22" i="4"/>
  <c r="I23" i="4"/>
  <c r="I24" i="4"/>
  <c r="I25" i="4"/>
  <c r="I26" i="4"/>
  <c r="I27" i="4"/>
  <c r="I28" i="4"/>
  <c r="I29" i="4"/>
  <c r="I30" i="4"/>
  <c r="D5" i="4"/>
  <c r="O1107" i="1"/>
  <c r="N1107" i="1"/>
  <c r="M1107" i="1"/>
  <c r="O1106" i="1"/>
  <c r="N1106" i="1"/>
  <c r="M1106" i="1"/>
  <c r="O1105" i="1"/>
  <c r="N1105" i="1"/>
  <c r="M1105" i="1"/>
  <c r="O1104" i="1"/>
  <c r="N1104" i="1"/>
  <c r="M1104" i="1"/>
  <c r="O1103" i="1"/>
  <c r="N1103" i="1"/>
  <c r="M1103" i="1"/>
  <c r="O1102" i="1"/>
  <c r="N1102" i="1"/>
  <c r="M1102" i="1"/>
  <c r="O1101" i="1"/>
  <c r="N1101" i="1"/>
  <c r="M1101" i="1"/>
  <c r="O1100" i="1"/>
  <c r="N1100" i="1"/>
  <c r="M1100" i="1"/>
  <c r="N1099" i="1"/>
  <c r="M1099" i="1"/>
  <c r="O1098" i="1"/>
  <c r="N1098" i="1"/>
  <c r="M1098" i="1"/>
  <c r="O1097" i="1"/>
  <c r="N1097" i="1"/>
  <c r="M1097" i="1"/>
  <c r="O1096" i="1"/>
  <c r="N1096" i="1"/>
  <c r="M1096" i="1"/>
  <c r="O1095" i="1"/>
  <c r="N1095" i="1"/>
  <c r="M1095" i="1"/>
  <c r="O1094" i="1"/>
  <c r="N1094" i="1"/>
  <c r="M1094" i="1"/>
  <c r="O1093" i="1"/>
  <c r="N1093" i="1"/>
  <c r="M1093" i="1"/>
  <c r="O1092" i="1"/>
  <c r="N1092" i="1"/>
  <c r="M1092" i="1"/>
  <c r="O1091" i="1"/>
  <c r="N1091" i="1"/>
  <c r="M1091" i="1"/>
  <c r="O1090" i="1"/>
  <c r="N1090" i="1"/>
  <c r="M1090" i="1"/>
  <c r="O1089" i="1"/>
  <c r="N1089" i="1"/>
  <c r="M1089" i="1"/>
  <c r="O1088" i="1"/>
  <c r="N1088" i="1"/>
  <c r="M1088" i="1"/>
  <c r="O1087" i="1"/>
  <c r="N1087" i="1"/>
  <c r="M1087" i="1"/>
  <c r="O1086" i="1"/>
  <c r="N1086" i="1"/>
  <c r="M1086" i="1"/>
  <c r="O1085" i="1"/>
  <c r="N1085" i="1"/>
  <c r="M1085" i="1"/>
  <c r="O1084" i="1"/>
  <c r="N1084" i="1"/>
  <c r="M1084" i="1"/>
  <c r="O1083" i="1"/>
  <c r="N1083" i="1"/>
  <c r="M1083" i="1"/>
  <c r="O1082" i="1"/>
  <c r="N1082" i="1"/>
  <c r="M1082" i="1"/>
  <c r="O1081" i="1"/>
  <c r="N1081" i="1"/>
  <c r="M1081" i="1"/>
  <c r="O1080" i="1"/>
  <c r="N1080" i="1"/>
  <c r="M1080" i="1"/>
  <c r="O1079" i="1"/>
  <c r="N1079" i="1"/>
  <c r="M1079" i="1"/>
  <c r="N1078" i="1"/>
  <c r="M1078" i="1"/>
  <c r="O1078" i="1"/>
  <c r="O1077" i="1"/>
  <c r="N1077" i="1"/>
  <c r="M1077" i="1"/>
  <c r="T39" i="5"/>
  <c r="S39" i="5"/>
  <c r="R39" i="5"/>
  <c r="Q39" i="5"/>
  <c r="P39" i="5"/>
  <c r="O39" i="5"/>
  <c r="N39" i="5"/>
  <c r="M39" i="5"/>
  <c r="L39" i="5"/>
  <c r="K39" i="5"/>
  <c r="J39" i="5"/>
  <c r="I39" i="5"/>
  <c r="H39" i="5"/>
  <c r="G39" i="5"/>
  <c r="F39" i="5"/>
  <c r="E39" i="5"/>
  <c r="D39" i="5"/>
  <c r="U39" i="5"/>
  <c r="V39" i="5"/>
  <c r="W39" i="5"/>
  <c r="X39" i="5"/>
  <c r="Y39" i="5"/>
  <c r="Z39" i="5"/>
  <c r="AA39" i="5"/>
  <c r="AB39" i="5"/>
  <c r="AC39" i="5"/>
  <c r="AB102" i="5"/>
  <c r="AA102" i="5"/>
  <c r="Z102" i="5"/>
  <c r="Y102" i="5"/>
  <c r="X102" i="5"/>
  <c r="D102" i="5"/>
  <c r="E102" i="5"/>
  <c r="F102" i="5"/>
  <c r="G102" i="5"/>
  <c r="H102" i="5"/>
  <c r="I102" i="5"/>
  <c r="J102" i="5"/>
  <c r="K102" i="5"/>
  <c r="L102" i="5"/>
  <c r="M102" i="5"/>
  <c r="N102" i="5"/>
  <c r="O102" i="5"/>
  <c r="P102" i="5"/>
  <c r="Q102" i="5"/>
  <c r="R102" i="5"/>
  <c r="S102" i="5"/>
  <c r="T102" i="5"/>
  <c r="U102" i="5"/>
  <c r="V102" i="5"/>
  <c r="W102" i="5"/>
  <c r="AC102" i="5"/>
  <c r="AC98" i="9"/>
  <c r="C98" i="9"/>
  <c r="AC41" i="9"/>
  <c r="C41" i="9"/>
  <c r="V34" i="5"/>
  <c r="O1076" i="1"/>
  <c r="N1076" i="1"/>
  <c r="M1076" i="1"/>
  <c r="O1075" i="1"/>
  <c r="N1075" i="1"/>
  <c r="M1075" i="1"/>
  <c r="O1074" i="1"/>
  <c r="N1074" i="1"/>
  <c r="M1074" i="1"/>
  <c r="O1073" i="1"/>
  <c r="N1073" i="1"/>
  <c r="M1073" i="1"/>
  <c r="O1072" i="1"/>
  <c r="N1072" i="1"/>
  <c r="M1072" i="1"/>
  <c r="O1071" i="1"/>
  <c r="N1071" i="1"/>
  <c r="M1071" i="1"/>
  <c r="O1070" i="1"/>
  <c r="N1070" i="1"/>
  <c r="M1070" i="1"/>
  <c r="O1069" i="1"/>
  <c r="N1069" i="1"/>
  <c r="M1069" i="1"/>
  <c r="N1068" i="1"/>
  <c r="M1068" i="1"/>
  <c r="O1068" i="1"/>
  <c r="O1067" i="1"/>
  <c r="N1067" i="1"/>
  <c r="M1067" i="1"/>
  <c r="O1066" i="1"/>
  <c r="N1066" i="1"/>
  <c r="M1066" i="1"/>
  <c r="N1065" i="1"/>
  <c r="M1065" i="1"/>
  <c r="O1065" i="1"/>
  <c r="O1064" i="1"/>
  <c r="N1064" i="1"/>
  <c r="M1064" i="1"/>
  <c r="O1063" i="1"/>
  <c r="N1063" i="1"/>
  <c r="M1063" i="1"/>
  <c r="O1062" i="1"/>
  <c r="N1062" i="1"/>
  <c r="M1062" i="1"/>
  <c r="O1061" i="1"/>
  <c r="N1061" i="1"/>
  <c r="M1061" i="1"/>
  <c r="O1060" i="1"/>
  <c r="N1060" i="1"/>
  <c r="M1060" i="1"/>
  <c r="O1059" i="1"/>
  <c r="N1059" i="1"/>
  <c r="M1059" i="1"/>
  <c r="O1058" i="1"/>
  <c r="N1058" i="1"/>
  <c r="M1058" i="1"/>
  <c r="O1057" i="1"/>
  <c r="N1057" i="1"/>
  <c r="M1057" i="1"/>
  <c r="O1056" i="1"/>
  <c r="N1056" i="1"/>
  <c r="M1056" i="1"/>
  <c r="O1055" i="1"/>
  <c r="N1055" i="1"/>
  <c r="M1055" i="1"/>
  <c r="O1054" i="1"/>
  <c r="N1054" i="1"/>
  <c r="M1054" i="1"/>
  <c r="O1053" i="1"/>
  <c r="N1053" i="1"/>
  <c r="M1053" i="1"/>
  <c r="O1052" i="1"/>
  <c r="N1052" i="1"/>
  <c r="M1052" i="1"/>
  <c r="O1051" i="1"/>
  <c r="N1051" i="1"/>
  <c r="M1051" i="1"/>
  <c r="O1050" i="1"/>
  <c r="N1050" i="1"/>
  <c r="M1050" i="1"/>
  <c r="O1049" i="1"/>
  <c r="N1049" i="1"/>
  <c r="M1049" i="1"/>
  <c r="O1048" i="1"/>
  <c r="N1048" i="1"/>
  <c r="M1048" i="1"/>
  <c r="O1047" i="1"/>
  <c r="N1047" i="1"/>
  <c r="M1047" i="1"/>
  <c r="O1046" i="1"/>
  <c r="N1046" i="1"/>
  <c r="M1046" i="1"/>
  <c r="O1045" i="1"/>
  <c r="N1045" i="1"/>
  <c r="M1045" i="1"/>
  <c r="O1044" i="1"/>
  <c r="N1044" i="1"/>
  <c r="M1044" i="1"/>
  <c r="N1043" i="1"/>
  <c r="M1043" i="1"/>
  <c r="O1043" i="1"/>
  <c r="N1042" i="1"/>
  <c r="M1042" i="1"/>
  <c r="O1042" i="1"/>
  <c r="O1041" i="1"/>
  <c r="N1041" i="1"/>
  <c r="M1041" i="1"/>
  <c r="O1040" i="1"/>
  <c r="N1040" i="1"/>
  <c r="M1040" i="1"/>
  <c r="O1039" i="1"/>
  <c r="N1039" i="1"/>
  <c r="M1039" i="1"/>
  <c r="O1038" i="1"/>
  <c r="N1038" i="1"/>
  <c r="M1038" i="1"/>
  <c r="O1037" i="1"/>
  <c r="N1037" i="1"/>
  <c r="M1037" i="1"/>
  <c r="O1036" i="1"/>
  <c r="N1036" i="1"/>
  <c r="M1036" i="1"/>
  <c r="O1035" i="1"/>
  <c r="N1035" i="1"/>
  <c r="M1035" i="1"/>
  <c r="O1034" i="1"/>
  <c r="N1034" i="1"/>
  <c r="M1034" i="1"/>
  <c r="O1033" i="1"/>
  <c r="N1033" i="1"/>
  <c r="M1033" i="1"/>
  <c r="AB134" i="5"/>
  <c r="AA134" i="5"/>
  <c r="Z134" i="5"/>
  <c r="Y134" i="5"/>
  <c r="X134" i="5"/>
  <c r="W134" i="5"/>
  <c r="V134" i="5"/>
  <c r="U134" i="5"/>
  <c r="T134" i="5"/>
  <c r="S134" i="5"/>
  <c r="R134" i="5"/>
  <c r="Q134" i="5"/>
  <c r="P134" i="5"/>
  <c r="O134" i="5"/>
  <c r="N134" i="5"/>
  <c r="M134" i="5"/>
  <c r="L134" i="5"/>
  <c r="K134" i="5"/>
  <c r="J134" i="5"/>
  <c r="I134" i="5"/>
  <c r="H134" i="5"/>
  <c r="G134" i="5"/>
  <c r="F134" i="5"/>
  <c r="E134" i="5"/>
  <c r="O1032" i="1"/>
  <c r="N1032" i="1"/>
  <c r="M1032" i="1"/>
  <c r="O1031" i="1"/>
  <c r="N1031" i="1"/>
  <c r="M1031" i="1"/>
  <c r="O1030" i="1"/>
  <c r="N1030" i="1"/>
  <c r="M1030" i="1"/>
  <c r="O1029" i="1"/>
  <c r="N1029" i="1"/>
  <c r="M1029" i="1"/>
  <c r="O1028" i="1"/>
  <c r="N1028" i="1"/>
  <c r="M1028" i="1"/>
  <c r="O1027" i="1"/>
  <c r="N1027" i="1"/>
  <c r="M1027" i="1"/>
  <c r="O1026" i="1"/>
  <c r="N1026" i="1"/>
  <c r="M1026" i="1"/>
  <c r="N1025" i="1"/>
  <c r="M1025" i="1"/>
  <c r="O1025" i="1"/>
  <c r="O1024" i="1"/>
  <c r="N1024" i="1"/>
  <c r="M1024" i="1"/>
  <c r="O1023" i="1"/>
  <c r="N1023" i="1"/>
  <c r="M1023" i="1"/>
  <c r="O1022" i="1"/>
  <c r="N1022" i="1"/>
  <c r="M1022" i="1"/>
  <c r="O1021" i="1"/>
  <c r="N1021" i="1"/>
  <c r="M1021" i="1"/>
  <c r="O1020" i="1"/>
  <c r="N1020" i="1"/>
  <c r="M1020" i="1"/>
  <c r="O1019" i="1"/>
  <c r="N1019" i="1"/>
  <c r="M1019" i="1"/>
  <c r="O1018" i="1"/>
  <c r="N1018" i="1"/>
  <c r="M1018" i="1"/>
  <c r="O1017" i="1"/>
  <c r="N1017" i="1"/>
  <c r="M1017" i="1"/>
  <c r="O1016" i="1"/>
  <c r="N1016" i="1"/>
  <c r="M1016" i="1"/>
  <c r="O1015" i="1"/>
  <c r="N1015" i="1"/>
  <c r="M1015" i="1"/>
  <c r="O1014" i="1"/>
  <c r="N1014" i="1"/>
  <c r="M1014" i="1"/>
  <c r="O1013" i="1"/>
  <c r="N1013" i="1"/>
  <c r="M1013" i="1"/>
  <c r="O1012" i="1"/>
  <c r="N1012" i="1"/>
  <c r="M1012" i="1"/>
  <c r="O1011" i="1"/>
  <c r="N1011" i="1"/>
  <c r="M1011" i="1"/>
  <c r="O1010" i="1"/>
  <c r="N1010" i="1"/>
  <c r="M1010" i="1"/>
  <c r="N1009" i="1"/>
  <c r="M1009" i="1"/>
  <c r="O1008" i="1"/>
  <c r="N1008" i="1"/>
  <c r="M1008" i="1"/>
  <c r="O1007" i="1"/>
  <c r="N1007" i="1"/>
  <c r="M1007" i="1"/>
  <c r="O1006" i="1"/>
  <c r="N1006" i="1"/>
  <c r="M1006" i="1"/>
  <c r="O1005" i="1"/>
  <c r="N1005" i="1"/>
  <c r="M1005" i="1"/>
  <c r="O1004" i="1"/>
  <c r="N1004" i="1"/>
  <c r="M1004" i="1"/>
  <c r="O1003" i="1"/>
  <c r="N1003" i="1"/>
  <c r="M1003" i="1"/>
  <c r="O1002" i="1"/>
  <c r="N1002" i="1"/>
  <c r="M1002" i="1"/>
  <c r="O1001" i="1"/>
  <c r="N1001" i="1"/>
  <c r="M1001" i="1"/>
  <c r="O1000" i="1"/>
  <c r="N1000" i="1"/>
  <c r="M1000" i="1"/>
  <c r="O999" i="1"/>
  <c r="N999" i="1"/>
  <c r="M999" i="1"/>
  <c r="O998" i="1"/>
  <c r="N998" i="1"/>
  <c r="M998" i="1"/>
  <c r="O997" i="1"/>
  <c r="N997" i="1"/>
  <c r="M997" i="1"/>
  <c r="M993" i="1"/>
  <c r="N993" i="1"/>
  <c r="O993" i="1"/>
  <c r="O996" i="1"/>
  <c r="N996" i="1"/>
  <c r="M996" i="1"/>
  <c r="O995" i="1"/>
  <c r="N995" i="1"/>
  <c r="M995" i="1"/>
  <c r="O994" i="1"/>
  <c r="N994" i="1"/>
  <c r="M994" i="1"/>
  <c r="O992" i="1"/>
  <c r="N992" i="1"/>
  <c r="M992" i="1"/>
  <c r="N991" i="1"/>
  <c r="M991" i="1"/>
  <c r="O991" i="1"/>
  <c r="O990" i="1"/>
  <c r="N990" i="1"/>
  <c r="M990" i="1"/>
  <c r="O989" i="1"/>
  <c r="N989" i="1"/>
  <c r="M989" i="1"/>
  <c r="O988" i="1"/>
  <c r="N988" i="1"/>
  <c r="M988" i="1"/>
  <c r="O987" i="1"/>
  <c r="N987" i="1"/>
  <c r="M987" i="1"/>
  <c r="N986" i="1"/>
  <c r="M986" i="1"/>
  <c r="O986" i="1"/>
  <c r="O985" i="1"/>
  <c r="N985" i="1"/>
  <c r="M985" i="1"/>
  <c r="O984" i="1"/>
  <c r="N984" i="1"/>
  <c r="M984" i="1"/>
  <c r="M6" i="4"/>
  <c r="M5" i="4"/>
  <c r="N4" i="4"/>
  <c r="N5" i="4"/>
  <c r="N6" i="4"/>
  <c r="N7" i="4"/>
  <c r="N8" i="4"/>
  <c r="N9" i="4"/>
  <c r="N10" i="4"/>
  <c r="N11" i="4"/>
  <c r="N12" i="4"/>
  <c r="N13" i="4"/>
  <c r="N14" i="4"/>
  <c r="N15" i="4"/>
  <c r="N16" i="4"/>
  <c r="N17" i="4"/>
  <c r="N18" i="4"/>
  <c r="N19" i="4"/>
  <c r="N20" i="4"/>
  <c r="N21" i="4"/>
  <c r="N22" i="4"/>
  <c r="N23" i="4"/>
  <c r="N24" i="4"/>
  <c r="N25" i="4"/>
  <c r="N26" i="4"/>
  <c r="N27" i="4"/>
  <c r="N28" i="4"/>
  <c r="N29" i="4"/>
  <c r="N30" i="4"/>
  <c r="D4" i="4"/>
  <c r="O983" i="1"/>
  <c r="N983" i="1"/>
  <c r="M983" i="1"/>
  <c r="O982" i="1"/>
  <c r="N982" i="1"/>
  <c r="M982" i="1"/>
  <c r="O981" i="1"/>
  <c r="N981" i="1"/>
  <c r="M981" i="1"/>
  <c r="O980" i="1"/>
  <c r="N980" i="1"/>
  <c r="M980" i="1"/>
  <c r="O979" i="1"/>
  <c r="N979" i="1"/>
  <c r="M979" i="1"/>
  <c r="O978" i="1"/>
  <c r="N978" i="1"/>
  <c r="M978" i="1"/>
  <c r="N977" i="1"/>
  <c r="M977" i="1"/>
  <c r="O976" i="1"/>
  <c r="N976" i="1"/>
  <c r="M976" i="1"/>
  <c r="O975" i="1"/>
  <c r="N975" i="1"/>
  <c r="M975" i="1"/>
  <c r="O974" i="1"/>
  <c r="N974" i="1"/>
  <c r="M974" i="1"/>
  <c r="O973" i="1"/>
  <c r="N973" i="1"/>
  <c r="M973" i="1"/>
  <c r="O972" i="1"/>
  <c r="N972" i="1"/>
  <c r="M972" i="1"/>
  <c r="O971" i="1"/>
  <c r="N971" i="1"/>
  <c r="M971" i="1"/>
  <c r="O970" i="1"/>
  <c r="N970" i="1"/>
  <c r="M970" i="1"/>
  <c r="O969" i="1"/>
  <c r="N969" i="1"/>
  <c r="M969" i="1"/>
  <c r="O968" i="1"/>
  <c r="N968" i="1"/>
  <c r="M968" i="1"/>
  <c r="N967" i="1"/>
  <c r="M967" i="1"/>
  <c r="O967" i="1"/>
  <c r="O966" i="1"/>
  <c r="N966" i="1"/>
  <c r="M966" i="1"/>
  <c r="O965" i="1"/>
  <c r="N965" i="1"/>
  <c r="M965" i="1"/>
  <c r="O964" i="1"/>
  <c r="N964" i="1"/>
  <c r="M964" i="1"/>
  <c r="O963" i="1"/>
  <c r="N963" i="1"/>
  <c r="M963" i="1"/>
  <c r="O962" i="1"/>
  <c r="N962" i="1"/>
  <c r="M962" i="1"/>
  <c r="O961" i="1"/>
  <c r="N961" i="1"/>
  <c r="M961" i="1"/>
  <c r="O960" i="1"/>
  <c r="N960" i="1"/>
  <c r="M960" i="1"/>
  <c r="O959" i="1"/>
  <c r="N959" i="1"/>
  <c r="M959" i="1"/>
  <c r="O958" i="1"/>
  <c r="N958" i="1"/>
  <c r="M958" i="1"/>
  <c r="O957" i="1"/>
  <c r="N957" i="1"/>
  <c r="M957" i="1"/>
  <c r="O956" i="1"/>
  <c r="N956" i="1"/>
  <c r="M956" i="1"/>
  <c r="O955" i="1"/>
  <c r="N955" i="1"/>
  <c r="M955" i="1"/>
  <c r="O954" i="1"/>
  <c r="N954" i="1"/>
  <c r="M954" i="1"/>
  <c r="O953" i="1"/>
  <c r="N953" i="1"/>
  <c r="M953" i="1"/>
  <c r="O952" i="1"/>
  <c r="N952" i="1"/>
  <c r="M952" i="1"/>
  <c r="O951" i="1"/>
  <c r="N951" i="1"/>
  <c r="M951" i="1"/>
  <c r="O950" i="1"/>
  <c r="N950" i="1"/>
  <c r="M950" i="1"/>
  <c r="O949" i="1"/>
  <c r="N949" i="1"/>
  <c r="M949" i="1"/>
  <c r="T2" i="5"/>
  <c r="T3"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40" i="5"/>
  <c r="T41" i="5"/>
  <c r="T42" i="5"/>
  <c r="T43" i="5"/>
  <c r="T44" i="5"/>
  <c r="T45" i="5"/>
  <c r="T46" i="5"/>
  <c r="T47" i="5"/>
  <c r="T48" i="5"/>
  <c r="T49" i="5"/>
  <c r="T50" i="5"/>
  <c r="T51" i="5"/>
  <c r="T52"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3" i="5"/>
  <c r="T104" i="5"/>
  <c r="T105" i="5"/>
  <c r="T106" i="5"/>
  <c r="T107" i="5"/>
  <c r="T108" i="5"/>
  <c r="T109" i="5"/>
  <c r="T110" i="5"/>
  <c r="T111" i="5"/>
  <c r="T112" i="5"/>
  <c r="T113" i="5"/>
  <c r="T114" i="5"/>
  <c r="T115" i="5"/>
  <c r="T116" i="5"/>
  <c r="T117" i="5"/>
  <c r="T118" i="5"/>
  <c r="T119" i="5"/>
  <c r="T120" i="5"/>
  <c r="T121" i="5"/>
  <c r="T122" i="5"/>
  <c r="T123" i="5"/>
  <c r="T124" i="5"/>
  <c r="T127" i="5"/>
  <c r="T128" i="5"/>
  <c r="T129" i="5"/>
  <c r="T130" i="5"/>
  <c r="S2" i="5"/>
  <c r="S3" i="5"/>
  <c r="S4" i="5"/>
  <c r="S5" i="5"/>
  <c r="S6" i="5"/>
  <c r="S7" i="5"/>
  <c r="S8" i="5"/>
  <c r="S9" i="5"/>
  <c r="S10" i="5"/>
  <c r="S11" i="5"/>
  <c r="S12" i="5"/>
  <c r="S13" i="5"/>
  <c r="S14" i="5"/>
  <c r="S15" i="5"/>
  <c r="S16" i="5"/>
  <c r="S17" i="5"/>
  <c r="S18" i="5"/>
  <c r="S19" i="5"/>
  <c r="S20" i="5"/>
  <c r="S21" i="5"/>
  <c r="S22" i="5"/>
  <c r="S23" i="5"/>
  <c r="S24" i="5"/>
  <c r="S25" i="5"/>
  <c r="S26" i="5"/>
  <c r="S27" i="5"/>
  <c r="S28" i="5"/>
  <c r="S29" i="5"/>
  <c r="S30" i="5"/>
  <c r="S31" i="5"/>
  <c r="S32" i="5"/>
  <c r="S33" i="5"/>
  <c r="S34" i="5"/>
  <c r="S35" i="5"/>
  <c r="S36" i="5"/>
  <c r="S37" i="5"/>
  <c r="S38" i="5"/>
  <c r="S40" i="5"/>
  <c r="S41" i="5"/>
  <c r="S42" i="5"/>
  <c r="S43" i="5"/>
  <c r="S44" i="5"/>
  <c r="S45" i="5"/>
  <c r="S46" i="5"/>
  <c r="S47" i="5"/>
  <c r="S48" i="5"/>
  <c r="S49" i="5"/>
  <c r="S50" i="5"/>
  <c r="S51" i="5"/>
  <c r="S52" i="5"/>
  <c r="S55" i="5"/>
  <c r="S56" i="5"/>
  <c r="S57" i="5"/>
  <c r="S58" i="5"/>
  <c r="S59" i="5"/>
  <c r="S60" i="5"/>
  <c r="S61" i="5"/>
  <c r="S62" i="5"/>
  <c r="S63" i="5"/>
  <c r="S64" i="5"/>
  <c r="S65" i="5"/>
  <c r="S66" i="5"/>
  <c r="S67" i="5"/>
  <c r="S68" i="5"/>
  <c r="S69" i="5"/>
  <c r="S70" i="5"/>
  <c r="S71" i="5"/>
  <c r="S72" i="5"/>
  <c r="S73" i="5"/>
  <c r="S74" i="5"/>
  <c r="S75" i="5"/>
  <c r="S76" i="5"/>
  <c r="S77" i="5"/>
  <c r="S78" i="5"/>
  <c r="S79" i="5"/>
  <c r="S80" i="5"/>
  <c r="S81" i="5"/>
  <c r="S82" i="5"/>
  <c r="S83" i="5"/>
  <c r="S84" i="5"/>
  <c r="S85" i="5"/>
  <c r="S86" i="5"/>
  <c r="S87" i="5"/>
  <c r="S88" i="5"/>
  <c r="S89" i="5"/>
  <c r="S90" i="5"/>
  <c r="S91" i="5"/>
  <c r="S92" i="5"/>
  <c r="S93" i="5"/>
  <c r="S94" i="5"/>
  <c r="S95" i="5"/>
  <c r="S96" i="5"/>
  <c r="S97" i="5"/>
  <c r="S98" i="5"/>
  <c r="S99" i="5"/>
  <c r="S100" i="5"/>
  <c r="S101" i="5"/>
  <c r="S103" i="5"/>
  <c r="S104" i="5"/>
  <c r="S105" i="5"/>
  <c r="S106" i="5"/>
  <c r="S107" i="5"/>
  <c r="S108" i="5"/>
  <c r="S109" i="5"/>
  <c r="S110" i="5"/>
  <c r="S111" i="5"/>
  <c r="S112" i="5"/>
  <c r="S113" i="5"/>
  <c r="S114" i="5"/>
  <c r="S115" i="5"/>
  <c r="S116" i="5"/>
  <c r="S117" i="5"/>
  <c r="S118" i="5"/>
  <c r="S119" i="5"/>
  <c r="S120" i="5"/>
  <c r="S121" i="5"/>
  <c r="S122" i="5"/>
  <c r="S123" i="5"/>
  <c r="S124" i="5"/>
  <c r="S127" i="5"/>
  <c r="S128" i="5"/>
  <c r="S129" i="5"/>
  <c r="S130" i="5"/>
  <c r="D6" i="5"/>
  <c r="E6" i="5"/>
  <c r="F6" i="5"/>
  <c r="G6" i="5"/>
  <c r="H6" i="5"/>
  <c r="I6" i="5"/>
  <c r="J6" i="5"/>
  <c r="K6" i="5"/>
  <c r="L6" i="5"/>
  <c r="M6" i="5"/>
  <c r="N6" i="5"/>
  <c r="O6" i="5"/>
  <c r="P6" i="5"/>
  <c r="Q6" i="5"/>
  <c r="R6" i="5"/>
  <c r="U6" i="5"/>
  <c r="V6" i="5"/>
  <c r="W6" i="5"/>
  <c r="X6" i="5"/>
  <c r="Y6" i="5"/>
  <c r="Z6" i="5"/>
  <c r="AA6" i="5"/>
  <c r="AB6" i="5"/>
  <c r="AC6" i="5"/>
  <c r="D45" i="5"/>
  <c r="E45" i="5"/>
  <c r="F45" i="5"/>
  <c r="G45" i="5"/>
  <c r="H45" i="5"/>
  <c r="I45" i="5"/>
  <c r="J45" i="5"/>
  <c r="K45" i="5"/>
  <c r="L45" i="5"/>
  <c r="M45" i="5"/>
  <c r="N45" i="5"/>
  <c r="O45" i="5"/>
  <c r="P45" i="5"/>
  <c r="Q45" i="5"/>
  <c r="R45" i="5"/>
  <c r="U45" i="5"/>
  <c r="V45" i="5"/>
  <c r="W45" i="5"/>
  <c r="X45" i="5"/>
  <c r="Y45" i="5"/>
  <c r="Z45" i="5"/>
  <c r="AA45" i="5"/>
  <c r="AB45" i="5"/>
  <c r="AC45" i="5"/>
  <c r="O948" i="1"/>
  <c r="N948" i="1"/>
  <c r="M948" i="1"/>
  <c r="O947" i="1"/>
  <c r="N947" i="1"/>
  <c r="M947" i="1"/>
  <c r="O946" i="1"/>
  <c r="N946" i="1"/>
  <c r="M946" i="1"/>
  <c r="O945" i="1"/>
  <c r="N945" i="1"/>
  <c r="M945" i="1"/>
  <c r="O944" i="1"/>
  <c r="N944" i="1"/>
  <c r="M944" i="1"/>
  <c r="O943" i="1"/>
  <c r="N943" i="1"/>
  <c r="M943" i="1"/>
  <c r="O942" i="1"/>
  <c r="N942" i="1"/>
  <c r="M942" i="1"/>
  <c r="O941" i="1"/>
  <c r="N941" i="1"/>
  <c r="M941" i="1"/>
  <c r="O940" i="1"/>
  <c r="N940" i="1"/>
  <c r="M940" i="1"/>
  <c r="O939" i="1"/>
  <c r="N939" i="1"/>
  <c r="M939" i="1"/>
  <c r="O938" i="1"/>
  <c r="N938" i="1"/>
  <c r="M938" i="1"/>
  <c r="O937" i="1"/>
  <c r="N937" i="1"/>
  <c r="M937" i="1"/>
  <c r="O936" i="1"/>
  <c r="N936" i="1"/>
  <c r="M936" i="1"/>
  <c r="O935" i="1"/>
  <c r="N935" i="1"/>
  <c r="M935" i="1"/>
  <c r="O934" i="1"/>
  <c r="N934" i="1"/>
  <c r="M934" i="1"/>
  <c r="O933" i="1"/>
  <c r="N933" i="1"/>
  <c r="M933" i="1"/>
  <c r="O932" i="1"/>
  <c r="N932" i="1"/>
  <c r="M932" i="1"/>
  <c r="O931" i="1"/>
  <c r="N931" i="1"/>
  <c r="M931" i="1"/>
  <c r="O930" i="1"/>
  <c r="N930" i="1"/>
  <c r="M930" i="1"/>
  <c r="O929" i="1"/>
  <c r="N929" i="1"/>
  <c r="M929" i="1"/>
  <c r="O928" i="1"/>
  <c r="N928" i="1"/>
  <c r="M928" i="1"/>
  <c r="O927" i="1"/>
  <c r="N927" i="1"/>
  <c r="M927" i="1"/>
  <c r="O926" i="1"/>
  <c r="N926" i="1"/>
  <c r="M926" i="1"/>
  <c r="O925" i="1"/>
  <c r="N925" i="1"/>
  <c r="M925" i="1"/>
  <c r="O924" i="1"/>
  <c r="N924" i="1"/>
  <c r="M924" i="1"/>
  <c r="O923" i="1"/>
  <c r="N923" i="1"/>
  <c r="M923" i="1"/>
  <c r="O922" i="1"/>
  <c r="N922" i="1"/>
  <c r="M922" i="1"/>
  <c r="O921" i="1"/>
  <c r="N921" i="1"/>
  <c r="M921" i="1"/>
  <c r="O920" i="1"/>
  <c r="N920" i="1"/>
  <c r="M920" i="1"/>
  <c r="O919" i="1"/>
  <c r="N919" i="1"/>
  <c r="M919" i="1"/>
  <c r="O918" i="1"/>
  <c r="N918" i="1"/>
  <c r="M918" i="1"/>
  <c r="O917" i="1"/>
  <c r="N917" i="1"/>
  <c r="M917" i="1"/>
  <c r="O916" i="1"/>
  <c r="N916" i="1"/>
  <c r="M916" i="1"/>
  <c r="O915" i="1"/>
  <c r="N915" i="1"/>
  <c r="M915" i="1"/>
  <c r="O914" i="1"/>
  <c r="N914" i="1"/>
  <c r="M914" i="1"/>
  <c r="O913" i="1"/>
  <c r="N913" i="1"/>
  <c r="M913" i="1"/>
  <c r="N912" i="1"/>
  <c r="M912" i="1"/>
  <c r="O912" i="1"/>
  <c r="N911" i="1"/>
  <c r="M911" i="1"/>
  <c r="O911" i="1"/>
  <c r="O910" i="1"/>
  <c r="N910" i="1"/>
  <c r="M910" i="1"/>
  <c r="N909" i="1"/>
  <c r="M909" i="1"/>
  <c r="O909" i="1"/>
  <c r="O908" i="1"/>
  <c r="N908" i="1"/>
  <c r="M908" i="1"/>
  <c r="O907" i="1"/>
  <c r="N907" i="1"/>
  <c r="M907" i="1"/>
  <c r="N906" i="1"/>
  <c r="M906" i="1"/>
  <c r="O906" i="1"/>
  <c r="O905" i="1"/>
  <c r="N905" i="1"/>
  <c r="M905" i="1"/>
  <c r="O904" i="1"/>
  <c r="N904" i="1"/>
  <c r="M904" i="1"/>
  <c r="O903" i="1"/>
  <c r="N903" i="1"/>
  <c r="M903" i="1"/>
  <c r="O902" i="1"/>
  <c r="N902" i="1"/>
  <c r="M902" i="1"/>
  <c r="O901" i="1"/>
  <c r="N901" i="1"/>
  <c r="M901" i="1"/>
  <c r="O900" i="1"/>
  <c r="N900" i="1"/>
  <c r="M900" i="1"/>
  <c r="O899" i="1"/>
  <c r="N899" i="1"/>
  <c r="M899" i="1"/>
  <c r="O898" i="1"/>
  <c r="N898" i="1"/>
  <c r="M898" i="1"/>
  <c r="O897" i="1"/>
  <c r="N897" i="1"/>
  <c r="M897" i="1"/>
  <c r="N896" i="1"/>
  <c r="M896" i="1"/>
  <c r="O896" i="1"/>
  <c r="O895" i="1"/>
  <c r="N895" i="1"/>
  <c r="M895" i="1"/>
  <c r="O894" i="1"/>
  <c r="N894" i="1"/>
  <c r="M894" i="1"/>
  <c r="O893" i="1"/>
  <c r="N893" i="1"/>
  <c r="M893" i="1"/>
  <c r="O892" i="1"/>
  <c r="N892" i="1"/>
  <c r="M892" i="1"/>
  <c r="O891" i="1"/>
  <c r="N891" i="1"/>
  <c r="M891" i="1"/>
  <c r="O890" i="1"/>
  <c r="N890" i="1"/>
  <c r="M890" i="1"/>
  <c r="O889" i="1"/>
  <c r="N889" i="1"/>
  <c r="M889" i="1"/>
  <c r="O888" i="1"/>
  <c r="N888" i="1"/>
  <c r="M888" i="1"/>
  <c r="O887" i="1"/>
  <c r="N887" i="1"/>
  <c r="M887" i="1"/>
  <c r="O886" i="1"/>
  <c r="N886" i="1"/>
  <c r="M886" i="1"/>
  <c r="O885" i="1"/>
  <c r="N885" i="1"/>
  <c r="M885" i="1"/>
  <c r="O884" i="1"/>
  <c r="N884" i="1"/>
  <c r="M884" i="1"/>
  <c r="O883" i="1"/>
  <c r="N883" i="1"/>
  <c r="M883" i="1"/>
  <c r="N882" i="1"/>
  <c r="M882" i="1"/>
  <c r="N881" i="1"/>
  <c r="M881" i="1"/>
  <c r="O881" i="1"/>
  <c r="O880" i="1"/>
  <c r="N880" i="1"/>
  <c r="M880" i="1"/>
  <c r="O874" i="1"/>
  <c r="O879" i="1"/>
  <c r="N879" i="1"/>
  <c r="M879" i="1"/>
  <c r="O878" i="1"/>
  <c r="N878" i="1"/>
  <c r="M878" i="1"/>
  <c r="O877" i="1"/>
  <c r="N877" i="1"/>
  <c r="M877" i="1"/>
  <c r="O876" i="1"/>
  <c r="N876" i="1"/>
  <c r="M876" i="1"/>
  <c r="O875" i="1"/>
  <c r="N875" i="1"/>
  <c r="M875" i="1"/>
  <c r="N874" i="1"/>
  <c r="M874" i="1"/>
  <c r="O873" i="1"/>
  <c r="N873" i="1"/>
  <c r="M873" i="1"/>
  <c r="O872" i="1"/>
  <c r="N872" i="1"/>
  <c r="M872" i="1"/>
  <c r="O871" i="1"/>
  <c r="N871" i="1"/>
  <c r="M871" i="1"/>
  <c r="O870" i="1"/>
  <c r="N870" i="1"/>
  <c r="M870" i="1"/>
  <c r="O869" i="1"/>
  <c r="N869" i="1"/>
  <c r="M869" i="1"/>
  <c r="N868" i="1"/>
  <c r="M868" i="1"/>
  <c r="O868" i="1"/>
  <c r="O867" i="1"/>
  <c r="N867" i="1"/>
  <c r="M867" i="1"/>
  <c r="O866" i="1"/>
  <c r="N866" i="1"/>
  <c r="M866" i="1"/>
  <c r="O865" i="1"/>
  <c r="N865" i="1"/>
  <c r="M865" i="1"/>
  <c r="O864" i="1"/>
  <c r="N864" i="1"/>
  <c r="M864" i="1"/>
  <c r="O863" i="1"/>
  <c r="N863" i="1"/>
  <c r="M863" i="1"/>
  <c r="O862" i="1"/>
  <c r="N862" i="1"/>
  <c r="M862" i="1"/>
  <c r="O861" i="1"/>
  <c r="N861" i="1"/>
  <c r="M861" i="1"/>
  <c r="O860" i="1"/>
  <c r="N860" i="1"/>
  <c r="M860" i="1"/>
  <c r="O859" i="1"/>
  <c r="N859" i="1"/>
  <c r="M859" i="1"/>
  <c r="O858" i="1"/>
  <c r="N858" i="1"/>
  <c r="M858" i="1"/>
  <c r="O857" i="1"/>
  <c r="N857" i="1"/>
  <c r="M857" i="1"/>
  <c r="N856" i="1"/>
  <c r="M856" i="1"/>
  <c r="O855" i="1"/>
  <c r="N855" i="1"/>
  <c r="M855" i="1"/>
  <c r="O854" i="1"/>
  <c r="N854" i="1"/>
  <c r="M854" i="1"/>
  <c r="N853" i="1"/>
  <c r="M853" i="1"/>
  <c r="O853" i="1"/>
  <c r="O852" i="1"/>
  <c r="N852" i="1"/>
  <c r="M852" i="1"/>
  <c r="O851" i="1"/>
  <c r="N851" i="1"/>
  <c r="M851" i="1"/>
  <c r="O850" i="1"/>
  <c r="N850" i="1"/>
  <c r="M850" i="1"/>
  <c r="O849" i="1"/>
  <c r="N849" i="1"/>
  <c r="M849" i="1"/>
  <c r="O848" i="1"/>
  <c r="N848" i="1"/>
  <c r="M848" i="1"/>
  <c r="O847" i="1"/>
  <c r="N847" i="1"/>
  <c r="M847" i="1"/>
  <c r="O846" i="1"/>
  <c r="N846" i="1"/>
  <c r="M846" i="1"/>
  <c r="O845" i="1"/>
  <c r="N845" i="1"/>
  <c r="M845" i="1"/>
  <c r="O844" i="1"/>
  <c r="N844" i="1"/>
  <c r="M844" i="1"/>
  <c r="O843" i="1"/>
  <c r="N843" i="1"/>
  <c r="M843" i="1"/>
  <c r="O842" i="1"/>
  <c r="N842" i="1"/>
  <c r="M842" i="1"/>
  <c r="O841" i="1"/>
  <c r="N841" i="1"/>
  <c r="M841" i="1"/>
  <c r="O840" i="1"/>
  <c r="N840" i="1"/>
  <c r="M840" i="1"/>
  <c r="O839" i="1"/>
  <c r="N839" i="1"/>
  <c r="M839" i="1"/>
  <c r="O838" i="1"/>
  <c r="N838" i="1"/>
  <c r="M838" i="1"/>
  <c r="O837" i="1"/>
  <c r="N837" i="1"/>
  <c r="M837" i="1"/>
  <c r="O836" i="1"/>
  <c r="N836" i="1"/>
  <c r="M836" i="1"/>
  <c r="O835" i="1"/>
  <c r="N835" i="1"/>
  <c r="M835" i="1"/>
  <c r="N834" i="1"/>
  <c r="M834" i="1"/>
  <c r="O833" i="1"/>
  <c r="N833" i="1"/>
  <c r="M833" i="1"/>
  <c r="O832" i="1"/>
  <c r="N832" i="1"/>
  <c r="M832" i="1"/>
  <c r="O831" i="1"/>
  <c r="N831" i="1"/>
  <c r="M831" i="1"/>
  <c r="N830" i="1"/>
  <c r="M830" i="1"/>
  <c r="N829" i="1"/>
  <c r="M829" i="1"/>
  <c r="O829" i="1"/>
  <c r="N828" i="1"/>
  <c r="M828" i="1"/>
  <c r="O828" i="1"/>
  <c r="O827" i="1"/>
  <c r="N827" i="1"/>
  <c r="M827" i="1"/>
  <c r="N826" i="1"/>
  <c r="M826" i="1"/>
  <c r="O826" i="1"/>
  <c r="D58" i="5"/>
  <c r="E58" i="5"/>
  <c r="F58" i="5"/>
  <c r="G58" i="5"/>
  <c r="H58" i="5"/>
  <c r="I58" i="5"/>
  <c r="J58" i="5"/>
  <c r="K58" i="5"/>
  <c r="L58" i="5"/>
  <c r="M58" i="5"/>
  <c r="N58" i="5"/>
  <c r="O58" i="5"/>
  <c r="P58" i="5"/>
  <c r="Q58" i="5"/>
  <c r="R58" i="5"/>
  <c r="U58" i="5"/>
  <c r="V58" i="5"/>
  <c r="W58" i="5"/>
  <c r="X58" i="5"/>
  <c r="Y58" i="5"/>
  <c r="Z58" i="5"/>
  <c r="AA58" i="5"/>
  <c r="AB58" i="5"/>
  <c r="AC58" i="5"/>
  <c r="O825" i="1"/>
  <c r="N825" i="1"/>
  <c r="M825" i="1"/>
  <c r="O824" i="1"/>
  <c r="N824" i="1"/>
  <c r="M824" i="1"/>
  <c r="O823" i="1"/>
  <c r="N823" i="1"/>
  <c r="M823" i="1"/>
  <c r="O822" i="1"/>
  <c r="N822" i="1"/>
  <c r="M822" i="1"/>
  <c r="O821" i="1"/>
  <c r="N821" i="1"/>
  <c r="M821" i="1"/>
  <c r="O820" i="1"/>
  <c r="N820" i="1"/>
  <c r="M820" i="1"/>
  <c r="O819" i="1"/>
  <c r="N819" i="1"/>
  <c r="M819" i="1"/>
  <c r="N818" i="1"/>
  <c r="M818" i="1"/>
  <c r="O817" i="1"/>
  <c r="N817" i="1"/>
  <c r="M817" i="1"/>
  <c r="O816" i="1"/>
  <c r="N816" i="1"/>
  <c r="M816" i="1"/>
  <c r="N815" i="1"/>
  <c r="M815" i="1"/>
  <c r="O814" i="1"/>
  <c r="N814" i="1"/>
  <c r="M814" i="1"/>
  <c r="O813" i="1"/>
  <c r="N813" i="1"/>
  <c r="M813" i="1"/>
  <c r="O812" i="1"/>
  <c r="N812" i="1"/>
  <c r="M812" i="1"/>
  <c r="O811" i="1"/>
  <c r="N811" i="1"/>
  <c r="M811" i="1"/>
  <c r="O810" i="1"/>
  <c r="N810" i="1"/>
  <c r="M810" i="1"/>
  <c r="O809" i="1"/>
  <c r="N809" i="1"/>
  <c r="M809" i="1"/>
  <c r="O808" i="1"/>
  <c r="N808" i="1"/>
  <c r="M808" i="1"/>
  <c r="O807" i="1"/>
  <c r="N807" i="1"/>
  <c r="M807" i="1"/>
  <c r="O806" i="1"/>
  <c r="N806" i="1"/>
  <c r="M806" i="1"/>
  <c r="O805" i="1"/>
  <c r="N805" i="1"/>
  <c r="M805" i="1"/>
  <c r="O804" i="1"/>
  <c r="N804" i="1"/>
  <c r="M804" i="1"/>
  <c r="N803" i="1"/>
  <c r="M803" i="1"/>
  <c r="O803" i="1"/>
  <c r="N802" i="1"/>
  <c r="M802" i="1"/>
  <c r="O801" i="1"/>
  <c r="N801" i="1"/>
  <c r="M801" i="1"/>
  <c r="O800" i="1"/>
  <c r="N800" i="1"/>
  <c r="M800" i="1"/>
  <c r="N799" i="1"/>
  <c r="M799" i="1"/>
  <c r="O799" i="1"/>
  <c r="N798" i="1"/>
  <c r="M798" i="1"/>
  <c r="O798" i="1"/>
  <c r="O797" i="1"/>
  <c r="N797" i="1"/>
  <c r="M797" i="1"/>
  <c r="O796" i="1"/>
  <c r="N796" i="1"/>
  <c r="M796" i="1"/>
  <c r="O795" i="1"/>
  <c r="N795" i="1"/>
  <c r="M795" i="1"/>
  <c r="O794" i="1"/>
  <c r="N794" i="1"/>
  <c r="M794" i="1"/>
  <c r="O793" i="1"/>
  <c r="N793" i="1"/>
  <c r="M793" i="1"/>
  <c r="O792" i="1"/>
  <c r="N792" i="1"/>
  <c r="M792" i="1"/>
  <c r="O791" i="1"/>
  <c r="N791" i="1"/>
  <c r="M791" i="1"/>
  <c r="O790" i="1"/>
  <c r="N790" i="1"/>
  <c r="M790" i="1"/>
  <c r="O789" i="1"/>
  <c r="N789" i="1"/>
  <c r="M789" i="1"/>
  <c r="O788" i="1"/>
  <c r="N788" i="1"/>
  <c r="M788" i="1"/>
  <c r="O787" i="1"/>
  <c r="N787" i="1"/>
  <c r="M787" i="1"/>
  <c r="O786" i="1"/>
  <c r="N786" i="1"/>
  <c r="M786" i="1"/>
  <c r="O785" i="1"/>
  <c r="N785" i="1"/>
  <c r="M785" i="1"/>
  <c r="O784" i="1"/>
  <c r="N784" i="1"/>
  <c r="M784" i="1"/>
  <c r="O783" i="1"/>
  <c r="N783" i="1"/>
  <c r="M783" i="1"/>
  <c r="O782" i="1"/>
  <c r="N782" i="1"/>
  <c r="M782" i="1"/>
  <c r="O781" i="1"/>
  <c r="N781" i="1"/>
  <c r="M781" i="1"/>
  <c r="O780" i="1"/>
  <c r="N780" i="1"/>
  <c r="M780" i="1"/>
  <c r="O779" i="1"/>
  <c r="N779" i="1"/>
  <c r="M779" i="1"/>
  <c r="O778" i="1"/>
  <c r="N778" i="1"/>
  <c r="M778" i="1"/>
  <c r="O777" i="1"/>
  <c r="N777" i="1"/>
  <c r="M777" i="1"/>
  <c r="O776" i="1"/>
  <c r="N776" i="1"/>
  <c r="M776" i="1"/>
  <c r="O775" i="1"/>
  <c r="N775" i="1"/>
  <c r="M775" i="1"/>
  <c r="O774" i="1"/>
  <c r="N774" i="1"/>
  <c r="M774" i="1"/>
  <c r="N773" i="1"/>
  <c r="M773" i="1"/>
  <c r="O773" i="1"/>
  <c r="O772" i="1"/>
  <c r="N772" i="1"/>
  <c r="M772" i="1"/>
  <c r="N771" i="1"/>
  <c r="M771" i="1"/>
  <c r="O771" i="1"/>
  <c r="O770" i="1"/>
  <c r="N770" i="1"/>
  <c r="M770" i="1"/>
  <c r="O769" i="1"/>
  <c r="N769" i="1"/>
  <c r="M769" i="1"/>
  <c r="O768" i="1"/>
  <c r="N768" i="1"/>
  <c r="M768" i="1"/>
  <c r="N767" i="1"/>
  <c r="M767" i="1"/>
  <c r="O767" i="1"/>
  <c r="N766" i="1"/>
  <c r="M766" i="1"/>
  <c r="O766" i="1"/>
  <c r="O765" i="1"/>
  <c r="N765" i="1"/>
  <c r="M765" i="1"/>
  <c r="O764" i="1"/>
  <c r="N764" i="1"/>
  <c r="M764" i="1"/>
  <c r="N763" i="1"/>
  <c r="M763" i="1"/>
  <c r="O763" i="1"/>
  <c r="O762" i="1"/>
  <c r="N762" i="1"/>
  <c r="M762" i="1"/>
  <c r="O761" i="1"/>
  <c r="N761" i="1"/>
  <c r="M761" i="1"/>
  <c r="O760" i="1"/>
  <c r="N760" i="1"/>
  <c r="M760" i="1"/>
  <c r="O759" i="1"/>
  <c r="N759" i="1"/>
  <c r="M759" i="1"/>
  <c r="N758" i="1"/>
  <c r="M758" i="1"/>
  <c r="O758" i="1"/>
  <c r="O757" i="1"/>
  <c r="N757" i="1"/>
  <c r="M757" i="1"/>
  <c r="O756" i="1"/>
  <c r="N756" i="1"/>
  <c r="M756" i="1"/>
  <c r="O755" i="1"/>
  <c r="N755" i="1"/>
  <c r="M755" i="1"/>
  <c r="O754" i="1"/>
  <c r="N754" i="1"/>
  <c r="M754" i="1"/>
  <c r="O753" i="1"/>
  <c r="N753" i="1"/>
  <c r="M753" i="1"/>
  <c r="O752" i="1"/>
  <c r="N752" i="1"/>
  <c r="M752" i="1"/>
  <c r="O751" i="1"/>
  <c r="N751" i="1"/>
  <c r="M751" i="1"/>
  <c r="O750" i="1"/>
  <c r="N750" i="1"/>
  <c r="M750" i="1"/>
  <c r="O749" i="1"/>
  <c r="N749" i="1"/>
  <c r="M749" i="1"/>
  <c r="O748" i="1"/>
  <c r="N748" i="1"/>
  <c r="M748" i="1"/>
  <c r="O747" i="1"/>
  <c r="N747" i="1"/>
  <c r="M747" i="1"/>
  <c r="O746" i="1"/>
  <c r="N746" i="1"/>
  <c r="M746" i="1"/>
  <c r="O745" i="1"/>
  <c r="N745" i="1"/>
  <c r="M745" i="1"/>
  <c r="O744" i="1"/>
  <c r="N744" i="1"/>
  <c r="M744" i="1"/>
  <c r="O743" i="1"/>
  <c r="N743" i="1"/>
  <c r="M743" i="1"/>
  <c r="O742" i="1"/>
  <c r="N742" i="1"/>
  <c r="M742" i="1"/>
  <c r="O741" i="1"/>
  <c r="N741" i="1"/>
  <c r="M741" i="1"/>
  <c r="N740" i="1"/>
  <c r="M740" i="1"/>
  <c r="O739" i="1"/>
  <c r="N739" i="1"/>
  <c r="M739" i="1"/>
  <c r="O738" i="1"/>
  <c r="N738" i="1"/>
  <c r="M738" i="1"/>
  <c r="R2" i="5"/>
  <c r="R3" i="5"/>
  <c r="R4" i="5"/>
  <c r="R5" i="5"/>
  <c r="R7" i="5"/>
  <c r="R8" i="5"/>
  <c r="R9" i="5"/>
  <c r="R10" i="5"/>
  <c r="R11" i="5"/>
  <c r="R12" i="5"/>
  <c r="R13" i="5"/>
  <c r="R14" i="5"/>
  <c r="R15" i="5"/>
  <c r="R16" i="5"/>
  <c r="R17" i="5"/>
  <c r="R18" i="5"/>
  <c r="R19" i="5"/>
  <c r="R20" i="5"/>
  <c r="R21" i="5"/>
  <c r="R22" i="5"/>
  <c r="R23" i="5"/>
  <c r="R24" i="5"/>
  <c r="R25" i="5"/>
  <c r="R26" i="5"/>
  <c r="R27" i="5"/>
  <c r="R28" i="5"/>
  <c r="R29" i="5"/>
  <c r="R30" i="5"/>
  <c r="R31" i="5"/>
  <c r="R32" i="5"/>
  <c r="R33" i="5"/>
  <c r="R34" i="5"/>
  <c r="R35" i="5"/>
  <c r="R36" i="5"/>
  <c r="R37" i="5"/>
  <c r="R38" i="5"/>
  <c r="R40" i="5"/>
  <c r="R41" i="5"/>
  <c r="R42" i="5"/>
  <c r="R43" i="5"/>
  <c r="R44" i="5"/>
  <c r="R46" i="5"/>
  <c r="R47" i="5"/>
  <c r="R48" i="5"/>
  <c r="R49" i="5"/>
  <c r="R50" i="5"/>
  <c r="R51" i="5"/>
  <c r="R52" i="5"/>
  <c r="R55" i="5"/>
  <c r="R56" i="5"/>
  <c r="R57"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3" i="5"/>
  <c r="R104" i="5"/>
  <c r="R105" i="5"/>
  <c r="R106" i="5"/>
  <c r="R107" i="5"/>
  <c r="R108" i="5"/>
  <c r="R109" i="5"/>
  <c r="R110" i="5"/>
  <c r="R111" i="5"/>
  <c r="R112" i="5"/>
  <c r="R113" i="5"/>
  <c r="R114" i="5"/>
  <c r="R115" i="5"/>
  <c r="R116" i="5"/>
  <c r="R117" i="5"/>
  <c r="R118" i="5"/>
  <c r="R119" i="5"/>
  <c r="R120" i="5"/>
  <c r="R121" i="5"/>
  <c r="R122" i="5"/>
  <c r="R123" i="5"/>
  <c r="R124" i="5"/>
  <c r="R127" i="5"/>
  <c r="R128" i="5"/>
  <c r="R129" i="5"/>
  <c r="R130" i="5"/>
  <c r="Q2" i="5"/>
  <c r="Q3" i="5"/>
  <c r="Q4" i="5"/>
  <c r="Q5" i="5"/>
  <c r="Q7" i="5"/>
  <c r="Q8" i="5"/>
  <c r="Q9" i="5"/>
  <c r="Q10" i="5"/>
  <c r="Q11" i="5"/>
  <c r="Q12" i="5"/>
  <c r="Q13" i="5"/>
  <c r="Q15" i="5"/>
  <c r="Q16" i="5"/>
  <c r="Q17" i="5"/>
  <c r="Q18" i="5"/>
  <c r="Q19" i="5"/>
  <c r="Q20" i="5"/>
  <c r="Q21" i="5"/>
  <c r="Q22" i="5"/>
  <c r="Q23" i="5"/>
  <c r="Q24" i="5"/>
  <c r="Q25" i="5"/>
  <c r="Q26" i="5"/>
  <c r="Q27" i="5"/>
  <c r="Q28" i="5"/>
  <c r="Q29" i="5"/>
  <c r="Q30" i="5"/>
  <c r="Q31" i="5"/>
  <c r="Q32" i="5"/>
  <c r="Q33" i="5"/>
  <c r="Q35" i="5"/>
  <c r="Q36" i="5"/>
  <c r="Q37" i="5"/>
  <c r="Q38" i="5"/>
  <c r="Q40" i="5"/>
  <c r="Q41" i="5"/>
  <c r="Q42" i="5"/>
  <c r="Q43" i="5"/>
  <c r="Q44" i="5"/>
  <c r="Q46" i="5"/>
  <c r="Q47" i="5"/>
  <c r="Q48" i="5"/>
  <c r="Q49" i="5"/>
  <c r="Q50" i="5"/>
  <c r="Q51" i="5"/>
  <c r="Q52" i="5"/>
  <c r="Q55" i="5"/>
  <c r="Q56" i="5"/>
  <c r="Q57"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3" i="5"/>
  <c r="Q104" i="5"/>
  <c r="Q106" i="5"/>
  <c r="Q107" i="5"/>
  <c r="Q108" i="5"/>
  <c r="Q109" i="5"/>
  <c r="Q110" i="5"/>
  <c r="Q111" i="5"/>
  <c r="Q112" i="5"/>
  <c r="Q113" i="5"/>
  <c r="Q114" i="5"/>
  <c r="Q115" i="5"/>
  <c r="Q116" i="5"/>
  <c r="Q117" i="5"/>
  <c r="Q118" i="5"/>
  <c r="Q119" i="5"/>
  <c r="Q121" i="5"/>
  <c r="Q122" i="5"/>
  <c r="Q123" i="5"/>
  <c r="Q124" i="5"/>
  <c r="Q127" i="5"/>
  <c r="Q128" i="5"/>
  <c r="Q129" i="5"/>
  <c r="Q130" i="5"/>
  <c r="U2" i="5"/>
  <c r="U3" i="5"/>
  <c r="U4" i="5"/>
  <c r="U5" i="5"/>
  <c r="U7" i="5"/>
  <c r="U8" i="5"/>
  <c r="U9" i="5"/>
  <c r="U10" i="5"/>
  <c r="U11" i="5"/>
  <c r="U12" i="5"/>
  <c r="U13" i="5"/>
  <c r="U14" i="5"/>
  <c r="U15" i="5"/>
  <c r="U16" i="5"/>
  <c r="U17" i="5"/>
  <c r="U18" i="5"/>
  <c r="U19" i="5"/>
  <c r="U20" i="5"/>
  <c r="U21" i="5"/>
  <c r="U22" i="5"/>
  <c r="U23" i="5"/>
  <c r="U24" i="5"/>
  <c r="U25" i="5"/>
  <c r="U26" i="5"/>
  <c r="U27" i="5"/>
  <c r="U28" i="5"/>
  <c r="U29" i="5"/>
  <c r="U30" i="5"/>
  <c r="U31" i="5"/>
  <c r="U32" i="5"/>
  <c r="U33" i="5"/>
  <c r="U34" i="5"/>
  <c r="U35" i="5"/>
  <c r="U36" i="5"/>
  <c r="U37" i="5"/>
  <c r="U40" i="5"/>
  <c r="U41" i="5"/>
  <c r="U42" i="5"/>
  <c r="U43" i="5"/>
  <c r="U44" i="5"/>
  <c r="U46" i="5"/>
  <c r="U47" i="5"/>
  <c r="U48" i="5"/>
  <c r="U49" i="5"/>
  <c r="U50" i="5"/>
  <c r="U51" i="5"/>
  <c r="U52" i="5"/>
  <c r="U55" i="5"/>
  <c r="U56" i="5"/>
  <c r="U57" i="5"/>
  <c r="U59" i="5"/>
  <c r="U60" i="5"/>
  <c r="U61" i="5"/>
  <c r="U62" i="5"/>
  <c r="U63" i="5"/>
  <c r="U64" i="5"/>
  <c r="U65" i="5"/>
  <c r="U66" i="5"/>
  <c r="U67" i="5"/>
  <c r="U68" i="5"/>
  <c r="U69" i="5"/>
  <c r="U70" i="5"/>
  <c r="U71" i="5"/>
  <c r="U72" i="5"/>
  <c r="U73"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3" i="5"/>
  <c r="U104" i="5"/>
  <c r="U105" i="5"/>
  <c r="U106" i="5"/>
  <c r="U107" i="5"/>
  <c r="U108" i="5"/>
  <c r="U109" i="5"/>
  <c r="U110" i="5"/>
  <c r="U111" i="5"/>
  <c r="U112" i="5"/>
  <c r="U113" i="5"/>
  <c r="U114" i="5"/>
  <c r="U115" i="5"/>
  <c r="U116" i="5"/>
  <c r="U117" i="5"/>
  <c r="U118" i="5"/>
  <c r="U119" i="5"/>
  <c r="U120" i="5"/>
  <c r="U121" i="5"/>
  <c r="U122" i="5"/>
  <c r="U123" i="5"/>
  <c r="U124" i="5"/>
  <c r="U127" i="5"/>
  <c r="U128" i="5"/>
  <c r="U129" i="5"/>
  <c r="U130" i="5"/>
  <c r="U131" i="5"/>
  <c r="V2" i="5"/>
  <c r="V3" i="5"/>
  <c r="V4" i="5"/>
  <c r="V5" i="5"/>
  <c r="V7" i="5"/>
  <c r="V8" i="5"/>
  <c r="V9" i="5"/>
  <c r="V10" i="5"/>
  <c r="V11" i="5"/>
  <c r="V12" i="5"/>
  <c r="V13" i="5"/>
  <c r="V14" i="5"/>
  <c r="V15" i="5"/>
  <c r="V16" i="5"/>
  <c r="D16" i="5"/>
  <c r="E16" i="5"/>
  <c r="F16" i="5"/>
  <c r="G16" i="5"/>
  <c r="H16" i="5"/>
  <c r="I16" i="5"/>
  <c r="J16" i="5"/>
  <c r="L16" i="5"/>
  <c r="M16" i="5"/>
  <c r="N16" i="5"/>
  <c r="O16" i="5"/>
  <c r="P16" i="5"/>
  <c r="W16" i="5"/>
  <c r="X16" i="5"/>
  <c r="Y16" i="5"/>
  <c r="Z16" i="5"/>
  <c r="AA16" i="5"/>
  <c r="AB16" i="5"/>
  <c r="V17" i="5"/>
  <c r="V18" i="5"/>
  <c r="V19" i="5"/>
  <c r="V20" i="5"/>
  <c r="V21" i="5"/>
  <c r="V22" i="5"/>
  <c r="V23" i="5"/>
  <c r="V24" i="5"/>
  <c r="V25" i="5"/>
  <c r="V26" i="5"/>
  <c r="V27" i="5"/>
  <c r="V28" i="5"/>
  <c r="V29" i="5"/>
  <c r="V30" i="5"/>
  <c r="V31" i="5"/>
  <c r="V32" i="5"/>
  <c r="V33" i="5"/>
  <c r="V35" i="5"/>
  <c r="V36" i="5"/>
  <c r="V37" i="5"/>
  <c r="V38" i="5"/>
  <c r="V40" i="5"/>
  <c r="V41" i="5"/>
  <c r="V42" i="5"/>
  <c r="V43" i="5"/>
  <c r="V44" i="5"/>
  <c r="V46" i="5"/>
  <c r="V47" i="5"/>
  <c r="V48" i="5"/>
  <c r="D48" i="5"/>
  <c r="E48" i="5"/>
  <c r="F48" i="5"/>
  <c r="G48" i="5"/>
  <c r="H48" i="5"/>
  <c r="I48" i="5"/>
  <c r="J48" i="5"/>
  <c r="L48" i="5"/>
  <c r="M48" i="5"/>
  <c r="N48" i="5"/>
  <c r="O48" i="5"/>
  <c r="P48" i="5"/>
  <c r="W48" i="5"/>
  <c r="X48" i="5"/>
  <c r="Y48" i="5"/>
  <c r="Z48" i="5"/>
  <c r="AA48" i="5"/>
  <c r="AB48" i="5"/>
  <c r="AC48" i="5"/>
  <c r="V49" i="5"/>
  <c r="D49" i="5"/>
  <c r="E49" i="5"/>
  <c r="F49" i="5"/>
  <c r="G49" i="5"/>
  <c r="H49" i="5"/>
  <c r="I49" i="5"/>
  <c r="J49" i="5"/>
  <c r="K49" i="5"/>
  <c r="L49" i="5"/>
  <c r="M49" i="5"/>
  <c r="N49" i="5"/>
  <c r="O49" i="5"/>
  <c r="P49" i="5"/>
  <c r="W49" i="5"/>
  <c r="X49" i="5"/>
  <c r="Y49" i="5"/>
  <c r="Z49" i="5"/>
  <c r="AA49" i="5"/>
  <c r="AB49" i="5"/>
  <c r="AC49" i="5"/>
  <c r="V50" i="5"/>
  <c r="V51" i="5"/>
  <c r="V52" i="5"/>
  <c r="V55" i="5"/>
  <c r="V56" i="5"/>
  <c r="V57" i="5"/>
  <c r="V59" i="5"/>
  <c r="V60" i="5"/>
  <c r="D60" i="5"/>
  <c r="E60" i="5"/>
  <c r="F60" i="5"/>
  <c r="G60" i="5"/>
  <c r="H60" i="5"/>
  <c r="I60" i="5"/>
  <c r="J60" i="5"/>
  <c r="K60" i="5"/>
  <c r="L60" i="5"/>
  <c r="M60" i="5"/>
  <c r="N60" i="5"/>
  <c r="O60" i="5"/>
  <c r="P60" i="5"/>
  <c r="W60" i="5"/>
  <c r="X60" i="5"/>
  <c r="Y60" i="5"/>
  <c r="Z60" i="5"/>
  <c r="AA60" i="5"/>
  <c r="AB60" i="5"/>
  <c r="AC60" i="5"/>
  <c r="V61" i="5"/>
  <c r="V62" i="5"/>
  <c r="V63" i="5"/>
  <c r="V64" i="5"/>
  <c r="V65" i="5"/>
  <c r="V66" i="5"/>
  <c r="V67" i="5"/>
  <c r="V68" i="5"/>
  <c r="V69" i="5"/>
  <c r="V70" i="5"/>
  <c r="V71" i="5"/>
  <c r="V72" i="5"/>
  <c r="V73"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3" i="5"/>
  <c r="V104" i="5"/>
  <c r="V105" i="5"/>
  <c r="V106" i="5"/>
  <c r="V107" i="5"/>
  <c r="V108" i="5"/>
  <c r="V109" i="5"/>
  <c r="V110" i="5"/>
  <c r="V111" i="5"/>
  <c r="V112" i="5"/>
  <c r="V113" i="5"/>
  <c r="V114" i="5"/>
  <c r="V115" i="5"/>
  <c r="V116" i="5"/>
  <c r="V117" i="5"/>
  <c r="V118" i="5"/>
  <c r="V119" i="5"/>
  <c r="V120" i="5"/>
  <c r="V121" i="5"/>
  <c r="V122" i="5"/>
  <c r="V123" i="5"/>
  <c r="V124" i="5"/>
  <c r="V127" i="5"/>
  <c r="V128" i="5"/>
  <c r="V129" i="5"/>
  <c r="V130" i="5"/>
  <c r="D66" i="5"/>
  <c r="E66" i="5"/>
  <c r="F66" i="5"/>
  <c r="G66" i="5"/>
  <c r="H66" i="5"/>
  <c r="I66" i="5"/>
  <c r="J66" i="5"/>
  <c r="K66" i="5"/>
  <c r="L66" i="5"/>
  <c r="M66" i="5"/>
  <c r="N66" i="5"/>
  <c r="O66" i="5"/>
  <c r="P66" i="5"/>
  <c r="W66" i="5"/>
  <c r="X66" i="5"/>
  <c r="Y66" i="5"/>
  <c r="Z66" i="5"/>
  <c r="AA66" i="5"/>
  <c r="AB66" i="5"/>
  <c r="AC66" i="5"/>
  <c r="D85" i="5"/>
  <c r="F85" i="5"/>
  <c r="G85" i="5"/>
  <c r="H85" i="5"/>
  <c r="I85" i="5"/>
  <c r="J85" i="5"/>
  <c r="L85" i="5"/>
  <c r="M85" i="5"/>
  <c r="N85" i="5"/>
  <c r="O85" i="5"/>
  <c r="P85" i="5"/>
  <c r="W85" i="5"/>
  <c r="X85" i="5"/>
  <c r="Y85" i="5"/>
  <c r="Z85" i="5"/>
  <c r="AA85" i="5"/>
  <c r="AB85" i="5"/>
  <c r="AC85" i="5"/>
  <c r="W2" i="5"/>
  <c r="W3" i="5"/>
  <c r="W4" i="5"/>
  <c r="W5" i="5"/>
  <c r="W7" i="5"/>
  <c r="W8" i="5"/>
  <c r="W9" i="5"/>
  <c r="W10" i="5"/>
  <c r="W11" i="5"/>
  <c r="W12" i="5"/>
  <c r="W13" i="5"/>
  <c r="W14" i="5"/>
  <c r="W15" i="5"/>
  <c r="W17" i="5"/>
  <c r="W18" i="5"/>
  <c r="W19" i="5"/>
  <c r="W20" i="5"/>
  <c r="W21" i="5"/>
  <c r="W22" i="5"/>
  <c r="W23" i="5"/>
  <c r="W24" i="5"/>
  <c r="W25" i="5"/>
  <c r="W26" i="5"/>
  <c r="W27" i="5"/>
  <c r="W28" i="5"/>
  <c r="W29" i="5"/>
  <c r="W30" i="5"/>
  <c r="W31" i="5"/>
  <c r="W32" i="5"/>
  <c r="D32" i="5"/>
  <c r="E32" i="5"/>
  <c r="F32" i="5"/>
  <c r="G32" i="5"/>
  <c r="H32" i="5"/>
  <c r="I32" i="5"/>
  <c r="J32" i="5"/>
  <c r="K32" i="5"/>
  <c r="L32" i="5"/>
  <c r="M32" i="5"/>
  <c r="N32" i="5"/>
  <c r="O32" i="5"/>
  <c r="P32" i="5"/>
  <c r="X32" i="5"/>
  <c r="Y32" i="5"/>
  <c r="Z32" i="5"/>
  <c r="AA32" i="5"/>
  <c r="AB32" i="5"/>
  <c r="AC32" i="5"/>
  <c r="W33" i="5"/>
  <c r="W34" i="5"/>
  <c r="D34" i="5"/>
  <c r="E34" i="5"/>
  <c r="F34" i="5"/>
  <c r="G34" i="5"/>
  <c r="H34" i="5"/>
  <c r="I34" i="5"/>
  <c r="J34" i="5"/>
  <c r="K34" i="5"/>
  <c r="L34" i="5"/>
  <c r="M34" i="5"/>
  <c r="N34" i="5"/>
  <c r="O34" i="5"/>
  <c r="P34" i="5"/>
  <c r="Q34" i="5"/>
  <c r="X34" i="5"/>
  <c r="Y34" i="5"/>
  <c r="Z34" i="5"/>
  <c r="AA34" i="5"/>
  <c r="AB34" i="5"/>
  <c r="W35" i="5"/>
  <c r="W36" i="5"/>
  <c r="W37" i="5"/>
  <c r="W38" i="5"/>
  <c r="W40" i="5"/>
  <c r="W41" i="5"/>
  <c r="W42" i="5"/>
  <c r="W43" i="5"/>
  <c r="W44" i="5"/>
  <c r="W46" i="5"/>
  <c r="W47" i="5"/>
  <c r="W50" i="5"/>
  <c r="W51" i="5"/>
  <c r="W52" i="5"/>
  <c r="W55" i="5"/>
  <c r="W56" i="5"/>
  <c r="W57" i="5"/>
  <c r="W59" i="5"/>
  <c r="W61" i="5"/>
  <c r="W62" i="5"/>
  <c r="W63" i="5"/>
  <c r="W64" i="5"/>
  <c r="W65" i="5"/>
  <c r="W67" i="5"/>
  <c r="D67" i="5"/>
  <c r="E67" i="5"/>
  <c r="F67" i="5"/>
  <c r="G67" i="5"/>
  <c r="H67" i="5"/>
  <c r="I67" i="5"/>
  <c r="J67" i="5"/>
  <c r="K67" i="5"/>
  <c r="L67" i="5"/>
  <c r="M67" i="5"/>
  <c r="N67" i="5"/>
  <c r="O67" i="5"/>
  <c r="P67" i="5"/>
  <c r="X67" i="5"/>
  <c r="Y67" i="5"/>
  <c r="Z67" i="5"/>
  <c r="AA67" i="5"/>
  <c r="AB67" i="5"/>
  <c r="W68" i="5"/>
  <c r="W69" i="5"/>
  <c r="D69" i="5"/>
  <c r="E69" i="5"/>
  <c r="F69" i="5"/>
  <c r="G69" i="5"/>
  <c r="H69" i="5"/>
  <c r="I69" i="5"/>
  <c r="J69" i="5"/>
  <c r="K69" i="5"/>
  <c r="L69" i="5"/>
  <c r="M69" i="5"/>
  <c r="N69" i="5"/>
  <c r="P69" i="5"/>
  <c r="X69" i="5"/>
  <c r="Y69" i="5"/>
  <c r="Z69" i="5"/>
  <c r="AA69" i="5"/>
  <c r="AB69" i="5"/>
  <c r="AC69" i="5"/>
  <c r="W70" i="5"/>
  <c r="W71" i="5"/>
  <c r="W72" i="5"/>
  <c r="W73" i="5"/>
  <c r="W74" i="5"/>
  <c r="W75" i="5"/>
  <c r="W76" i="5"/>
  <c r="W77" i="5"/>
  <c r="W78" i="5"/>
  <c r="W79" i="5"/>
  <c r="W80" i="5"/>
  <c r="W81" i="5"/>
  <c r="W82" i="5"/>
  <c r="W83" i="5"/>
  <c r="W84" i="5"/>
  <c r="W86" i="5"/>
  <c r="W87" i="5"/>
  <c r="W88" i="5"/>
  <c r="W89" i="5"/>
  <c r="W90" i="5"/>
  <c r="D90" i="5"/>
  <c r="E90" i="5"/>
  <c r="F90" i="5"/>
  <c r="G90" i="5"/>
  <c r="H90" i="5"/>
  <c r="I90" i="5"/>
  <c r="J90" i="5"/>
  <c r="K90" i="5"/>
  <c r="L90" i="5"/>
  <c r="M90" i="5"/>
  <c r="N90" i="5"/>
  <c r="O90" i="5"/>
  <c r="P90" i="5"/>
  <c r="X90" i="5"/>
  <c r="Y90" i="5"/>
  <c r="Z90" i="5"/>
  <c r="AA90" i="5"/>
  <c r="AB90" i="5"/>
  <c r="AC90" i="5"/>
  <c r="W91" i="5"/>
  <c r="W92" i="5"/>
  <c r="W93" i="5"/>
  <c r="W94" i="5"/>
  <c r="W95" i="5"/>
  <c r="W96" i="5"/>
  <c r="W97" i="5"/>
  <c r="W98" i="5"/>
  <c r="W99" i="5"/>
  <c r="W100" i="5"/>
  <c r="W101" i="5"/>
  <c r="W103" i="5"/>
  <c r="W104" i="5"/>
  <c r="W105" i="5"/>
  <c r="W106" i="5"/>
  <c r="D106" i="5"/>
  <c r="E106" i="5"/>
  <c r="G106" i="5"/>
  <c r="H106" i="5"/>
  <c r="I106" i="5"/>
  <c r="J106" i="5"/>
  <c r="K106" i="5"/>
  <c r="L106" i="5"/>
  <c r="M106" i="5"/>
  <c r="N106" i="5"/>
  <c r="O106" i="5"/>
  <c r="P106" i="5"/>
  <c r="X106" i="5"/>
  <c r="Y106" i="5"/>
  <c r="Z106" i="5"/>
  <c r="AA106" i="5"/>
  <c r="AB106" i="5"/>
  <c r="AC106" i="5"/>
  <c r="W107" i="5"/>
  <c r="W108" i="5"/>
  <c r="D108" i="5"/>
  <c r="E108" i="5"/>
  <c r="F108" i="5"/>
  <c r="G108" i="5"/>
  <c r="H108" i="5"/>
  <c r="I108" i="5"/>
  <c r="J108" i="5"/>
  <c r="K108" i="5"/>
  <c r="L108" i="5"/>
  <c r="M108" i="5"/>
  <c r="N108" i="5"/>
  <c r="O108" i="5"/>
  <c r="P108" i="5"/>
  <c r="X108" i="5"/>
  <c r="Y108" i="5"/>
  <c r="Y2" i="5"/>
  <c r="Y3" i="5"/>
  <c r="Y4" i="5"/>
  <c r="Y5" i="5"/>
  <c r="Y7" i="5"/>
  <c r="Y8" i="5"/>
  <c r="Y9" i="5"/>
  <c r="Y10" i="5"/>
  <c r="Y11" i="5"/>
  <c r="Y12" i="5"/>
  <c r="Y13" i="5"/>
  <c r="Y14" i="5"/>
  <c r="Y15" i="5"/>
  <c r="Y17" i="5"/>
  <c r="Y18" i="5"/>
  <c r="Y19" i="5"/>
  <c r="Y20" i="5"/>
  <c r="Y21" i="5"/>
  <c r="Y22" i="5"/>
  <c r="Y23" i="5"/>
  <c r="Y24" i="5"/>
  <c r="Y25" i="5"/>
  <c r="Y26" i="5"/>
  <c r="Y27" i="5"/>
  <c r="Y28" i="5"/>
  <c r="Y29" i="5"/>
  <c r="Y30" i="5"/>
  <c r="Y31" i="5"/>
  <c r="Y33" i="5"/>
  <c r="Y35" i="5"/>
  <c r="Y36" i="5"/>
  <c r="Y37" i="5"/>
  <c r="Y38" i="5"/>
  <c r="Y40" i="5"/>
  <c r="Y41" i="5"/>
  <c r="Y42" i="5"/>
  <c r="Y43" i="5"/>
  <c r="Y44" i="5"/>
  <c r="Y46" i="5"/>
  <c r="Y47" i="5"/>
  <c r="Y50" i="5"/>
  <c r="Y51" i="5"/>
  <c r="Y52" i="5"/>
  <c r="Y55" i="5"/>
  <c r="Y56" i="5"/>
  <c r="Y57" i="5"/>
  <c r="Y59" i="5"/>
  <c r="Y61" i="5"/>
  <c r="Y62" i="5"/>
  <c r="Y63" i="5"/>
  <c r="Y64" i="5"/>
  <c r="Y65" i="5"/>
  <c r="Y68" i="5"/>
  <c r="Y70" i="5"/>
  <c r="Y71" i="5"/>
  <c r="Y72" i="5"/>
  <c r="Y73" i="5"/>
  <c r="Y74" i="5"/>
  <c r="Y75" i="5"/>
  <c r="Y76" i="5"/>
  <c r="Y77" i="5"/>
  <c r="Y78" i="5"/>
  <c r="Y79" i="5"/>
  <c r="Y80" i="5"/>
  <c r="Y81" i="5"/>
  <c r="Y82" i="5"/>
  <c r="Y83" i="5"/>
  <c r="Y84" i="5"/>
  <c r="Y86" i="5"/>
  <c r="Y87" i="5"/>
  <c r="Y88" i="5"/>
  <c r="Y89" i="5"/>
  <c r="Y91" i="5"/>
  <c r="Y92" i="5"/>
  <c r="Y93" i="5"/>
  <c r="Y94" i="5"/>
  <c r="Y95" i="5"/>
  <c r="Y96" i="5"/>
  <c r="Y97" i="5"/>
  <c r="Y98" i="5"/>
  <c r="Y99" i="5"/>
  <c r="Y100" i="5"/>
  <c r="Y101" i="5"/>
  <c r="Y103" i="5"/>
  <c r="Y104" i="5"/>
  <c r="Y105" i="5"/>
  <c r="Y107" i="5"/>
  <c r="Y109" i="5"/>
  <c r="Y110" i="5"/>
  <c r="Y111" i="5"/>
  <c r="Y112" i="5"/>
  <c r="Y113" i="5"/>
  <c r="Y114" i="5"/>
  <c r="Y115" i="5"/>
  <c r="Y116" i="5"/>
  <c r="Y117" i="5"/>
  <c r="Y118" i="5"/>
  <c r="Y119" i="5"/>
  <c r="Y120" i="5"/>
  <c r="Y121" i="5"/>
  <c r="Y122" i="5"/>
  <c r="Y123" i="5"/>
  <c r="Y124" i="5"/>
  <c r="Y127" i="5"/>
  <c r="Y128" i="5"/>
  <c r="Y129" i="5"/>
  <c r="Y130" i="5"/>
  <c r="Z108" i="5"/>
  <c r="AA108" i="5"/>
  <c r="AB108" i="5"/>
  <c r="AC108" i="5"/>
  <c r="W109" i="5"/>
  <c r="W110" i="5"/>
  <c r="W111" i="5"/>
  <c r="W112" i="5"/>
  <c r="W113" i="5"/>
  <c r="W114" i="5"/>
  <c r="W115" i="5"/>
  <c r="W116" i="5"/>
  <c r="D116" i="5"/>
  <c r="E116" i="5"/>
  <c r="F116" i="5"/>
  <c r="G116" i="5"/>
  <c r="H116" i="5"/>
  <c r="I116" i="5"/>
  <c r="J116" i="5"/>
  <c r="K116" i="5"/>
  <c r="L116" i="5"/>
  <c r="M116" i="5"/>
  <c r="N116" i="5"/>
  <c r="O116" i="5"/>
  <c r="P116" i="5"/>
  <c r="X116" i="5"/>
  <c r="Z116" i="5"/>
  <c r="AA116" i="5"/>
  <c r="AB116" i="5"/>
  <c r="AC116" i="5"/>
  <c r="W117" i="5"/>
  <c r="W118" i="5"/>
  <c r="W119" i="5"/>
  <c r="D119" i="5"/>
  <c r="E119" i="5"/>
  <c r="F119" i="5"/>
  <c r="G119" i="5"/>
  <c r="H119" i="5"/>
  <c r="I119" i="5"/>
  <c r="K119" i="5"/>
  <c r="L119" i="5"/>
  <c r="M119" i="5"/>
  <c r="N119" i="5"/>
  <c r="O119" i="5"/>
  <c r="P119" i="5"/>
  <c r="X119" i="5"/>
  <c r="Z119" i="5"/>
  <c r="AA119" i="5"/>
  <c r="AB119" i="5"/>
  <c r="AC119" i="5"/>
  <c r="W120" i="5"/>
  <c r="W121" i="5"/>
  <c r="W122" i="5"/>
  <c r="W123" i="5"/>
  <c r="W124" i="5"/>
  <c r="W127" i="5"/>
  <c r="W128" i="5"/>
  <c r="W129" i="5"/>
  <c r="W130" i="5"/>
  <c r="X2" i="5"/>
  <c r="X3" i="5"/>
  <c r="X4" i="5"/>
  <c r="X5" i="5"/>
  <c r="X7" i="5"/>
  <c r="D7" i="5"/>
  <c r="E7" i="5"/>
  <c r="F7" i="5"/>
  <c r="G7" i="5"/>
  <c r="H7" i="5"/>
  <c r="I7" i="5"/>
  <c r="J7" i="5"/>
  <c r="K7" i="5"/>
  <c r="L7" i="5"/>
  <c r="M7" i="5"/>
  <c r="N7" i="5"/>
  <c r="O7" i="5"/>
  <c r="P7" i="5"/>
  <c r="Z7" i="5"/>
  <c r="AA7" i="5"/>
  <c r="AB7" i="5"/>
  <c r="AC7" i="5"/>
  <c r="X8" i="5"/>
  <c r="X9" i="5"/>
  <c r="X10" i="5"/>
  <c r="X11" i="5"/>
  <c r="X12" i="5"/>
  <c r="X13" i="5"/>
  <c r="D13" i="5"/>
  <c r="E13" i="5"/>
  <c r="F13" i="5"/>
  <c r="G13" i="5"/>
  <c r="H13" i="5"/>
  <c r="I13" i="5"/>
  <c r="J13" i="5"/>
  <c r="K13" i="5"/>
  <c r="L13" i="5"/>
  <c r="M13" i="5"/>
  <c r="N13" i="5"/>
  <c r="O13" i="5"/>
  <c r="P13" i="5"/>
  <c r="Z13" i="5"/>
  <c r="AA13" i="5"/>
  <c r="AB13" i="5"/>
  <c r="AC13" i="5"/>
  <c r="X14" i="5"/>
  <c r="D14" i="5"/>
  <c r="E14" i="5"/>
  <c r="F14" i="5"/>
  <c r="G14" i="5"/>
  <c r="H14" i="5"/>
  <c r="I14" i="5"/>
  <c r="J14" i="5"/>
  <c r="K14" i="5"/>
  <c r="L14" i="5"/>
  <c r="M14" i="5"/>
  <c r="N14" i="5"/>
  <c r="O14" i="5"/>
  <c r="P14" i="5"/>
  <c r="Z14" i="5"/>
  <c r="AA14" i="5"/>
  <c r="AB14" i="5"/>
  <c r="X15" i="5"/>
  <c r="X17" i="5"/>
  <c r="X18" i="5"/>
  <c r="X19" i="5"/>
  <c r="X20" i="5"/>
  <c r="X21" i="5"/>
  <c r="X22" i="5"/>
  <c r="X23" i="5"/>
  <c r="X24" i="5"/>
  <c r="X25" i="5"/>
  <c r="X26" i="5"/>
  <c r="X27" i="5"/>
  <c r="X28" i="5"/>
  <c r="X29" i="5"/>
  <c r="X30" i="5"/>
  <c r="X31" i="5"/>
  <c r="X33" i="5"/>
  <c r="X35" i="5"/>
  <c r="D35" i="5"/>
  <c r="E35" i="5"/>
  <c r="F35" i="5"/>
  <c r="G35" i="5"/>
  <c r="H35" i="5"/>
  <c r="I35" i="5"/>
  <c r="J35" i="5"/>
  <c r="K35" i="5"/>
  <c r="L35" i="5"/>
  <c r="M35" i="5"/>
  <c r="N35" i="5"/>
  <c r="O35" i="5"/>
  <c r="P35" i="5"/>
  <c r="Z35" i="5"/>
  <c r="AA35" i="5"/>
  <c r="AB35" i="5"/>
  <c r="AC35" i="5"/>
  <c r="X36" i="5"/>
  <c r="X37" i="5"/>
  <c r="X38" i="5"/>
  <c r="X40" i="5"/>
  <c r="X41" i="5"/>
  <c r="X42" i="5"/>
  <c r="X43" i="5"/>
  <c r="X44" i="5"/>
  <c r="X46" i="5"/>
  <c r="X47" i="5"/>
  <c r="X50" i="5"/>
  <c r="X51" i="5"/>
  <c r="X52" i="5"/>
  <c r="X55" i="5"/>
  <c r="X56" i="5"/>
  <c r="X57" i="5"/>
  <c r="X59" i="5"/>
  <c r="X61" i="5"/>
  <c r="X62" i="5"/>
  <c r="X63" i="5"/>
  <c r="X64" i="5"/>
  <c r="X65" i="5"/>
  <c r="X68" i="5"/>
  <c r="X70" i="5"/>
  <c r="X71" i="5"/>
  <c r="X72" i="5"/>
  <c r="X73" i="5"/>
  <c r="X74" i="5"/>
  <c r="X75" i="5"/>
  <c r="X76" i="5"/>
  <c r="X77" i="5"/>
  <c r="X78" i="5"/>
  <c r="X79" i="5"/>
  <c r="X80" i="5"/>
  <c r="X81" i="5"/>
  <c r="X82" i="5"/>
  <c r="X83" i="5"/>
  <c r="X84" i="5"/>
  <c r="X86" i="5"/>
  <c r="X87" i="5"/>
  <c r="X88" i="5"/>
  <c r="X89" i="5"/>
  <c r="X91" i="5"/>
  <c r="X92" i="5"/>
  <c r="X93" i="5"/>
  <c r="X94" i="5"/>
  <c r="X95" i="5"/>
  <c r="D95" i="5"/>
  <c r="E95" i="5"/>
  <c r="F95" i="5"/>
  <c r="G95" i="5"/>
  <c r="H95" i="5"/>
  <c r="I95" i="5"/>
  <c r="J95" i="5"/>
  <c r="K95" i="5"/>
  <c r="L95" i="5"/>
  <c r="M95" i="5"/>
  <c r="N95" i="5"/>
  <c r="O95" i="5"/>
  <c r="P95" i="5"/>
  <c r="Z95" i="5"/>
  <c r="AA95" i="5"/>
  <c r="AB95" i="5"/>
  <c r="AC95" i="5"/>
  <c r="X96" i="5"/>
  <c r="X97" i="5"/>
  <c r="X98" i="5"/>
  <c r="X99" i="5"/>
  <c r="X100" i="5"/>
  <c r="X101" i="5"/>
  <c r="X103" i="5"/>
  <c r="D103" i="5"/>
  <c r="E103" i="5"/>
  <c r="F103" i="5"/>
  <c r="G103" i="5"/>
  <c r="H103" i="5"/>
  <c r="I103" i="5"/>
  <c r="J103" i="5"/>
  <c r="K103" i="5"/>
  <c r="L103" i="5"/>
  <c r="M103" i="5"/>
  <c r="N103" i="5"/>
  <c r="O103" i="5"/>
  <c r="P103" i="5"/>
  <c r="Z103" i="5"/>
  <c r="AA103" i="5"/>
  <c r="AB103" i="5"/>
  <c r="AC103" i="5"/>
  <c r="X104" i="5"/>
  <c r="X105" i="5"/>
  <c r="X107" i="5"/>
  <c r="X109" i="5"/>
  <c r="X110" i="5"/>
  <c r="X111" i="5"/>
  <c r="X112" i="5"/>
  <c r="X113" i="5"/>
  <c r="X114" i="5"/>
  <c r="X115" i="5"/>
  <c r="X117" i="5"/>
  <c r="X118" i="5"/>
  <c r="X120" i="5"/>
  <c r="X121" i="5"/>
  <c r="X122" i="5"/>
  <c r="X123" i="5"/>
  <c r="X124" i="5"/>
  <c r="X127" i="5"/>
  <c r="X128" i="5"/>
  <c r="X129" i="5"/>
  <c r="X130" i="5"/>
  <c r="D71" i="5"/>
  <c r="E71" i="5"/>
  <c r="F71" i="5"/>
  <c r="G71" i="5"/>
  <c r="H71" i="5"/>
  <c r="I71" i="5"/>
  <c r="J71" i="5"/>
  <c r="K71" i="5"/>
  <c r="L71" i="5"/>
  <c r="M71" i="5"/>
  <c r="N71" i="5"/>
  <c r="O71" i="5"/>
  <c r="P71" i="5"/>
  <c r="Z71" i="5"/>
  <c r="AA71" i="5"/>
  <c r="AB71" i="5"/>
  <c r="AC71" i="5"/>
  <c r="Z2" i="5"/>
  <c r="Z3" i="5"/>
  <c r="Z4" i="5"/>
  <c r="Z5" i="5"/>
  <c r="Z8" i="5"/>
  <c r="Z9" i="5"/>
  <c r="Z10" i="5"/>
  <c r="Z11" i="5"/>
  <c r="Z12" i="5"/>
  <c r="Z15" i="5"/>
  <c r="Z17" i="5"/>
  <c r="Z18" i="5"/>
  <c r="Z19" i="5"/>
  <c r="Z20" i="5"/>
  <c r="Z21" i="5"/>
  <c r="Z22" i="5"/>
  <c r="Z23" i="5"/>
  <c r="Z24" i="5"/>
  <c r="Z25" i="5"/>
  <c r="Z26" i="5"/>
  <c r="Z27" i="5"/>
  <c r="Z28" i="5"/>
  <c r="Z29" i="5"/>
  <c r="Z30" i="5"/>
  <c r="Z31" i="5"/>
  <c r="Z33" i="5"/>
  <c r="Z36" i="5"/>
  <c r="Z37" i="5"/>
  <c r="Z38" i="5"/>
  <c r="Z40" i="5"/>
  <c r="Z41" i="5"/>
  <c r="Z42" i="5"/>
  <c r="Z43" i="5"/>
  <c r="Z44" i="5"/>
  <c r="Z46" i="5"/>
  <c r="Z47" i="5"/>
  <c r="Z50" i="5"/>
  <c r="Z51" i="5"/>
  <c r="Z52" i="5"/>
  <c r="Z55" i="5"/>
  <c r="Z56" i="5"/>
  <c r="Z57" i="5"/>
  <c r="Z59" i="5"/>
  <c r="Z61" i="5"/>
  <c r="Z62" i="5"/>
  <c r="Z63" i="5"/>
  <c r="Z64" i="5"/>
  <c r="Z65" i="5"/>
  <c r="Z68" i="5"/>
  <c r="Z70" i="5"/>
  <c r="Z72" i="5"/>
  <c r="Z73" i="5"/>
  <c r="Z74" i="5"/>
  <c r="Z75" i="5"/>
  <c r="Z76" i="5"/>
  <c r="Z77" i="5"/>
  <c r="Z78" i="5"/>
  <c r="Z79" i="5"/>
  <c r="Z80" i="5"/>
  <c r="Z81" i="5"/>
  <c r="Z82" i="5"/>
  <c r="Z83" i="5"/>
  <c r="Z84" i="5"/>
  <c r="Z86" i="5"/>
  <c r="Z87" i="5"/>
  <c r="Z88" i="5"/>
  <c r="Z89" i="5"/>
  <c r="Z91" i="5"/>
  <c r="Z92" i="5"/>
  <c r="Z93" i="5"/>
  <c r="Z94" i="5"/>
  <c r="Z96" i="5"/>
  <c r="Z97" i="5"/>
  <c r="Z98" i="5"/>
  <c r="Z99" i="5"/>
  <c r="Z100" i="5"/>
  <c r="Z101" i="5"/>
  <c r="Z104" i="5"/>
  <c r="Z105" i="5"/>
  <c r="Z107" i="5"/>
  <c r="Z109" i="5"/>
  <c r="Z110" i="5"/>
  <c r="Z111" i="5"/>
  <c r="Z112" i="5"/>
  <c r="Z113" i="5"/>
  <c r="Z114" i="5"/>
  <c r="Z115" i="5"/>
  <c r="Z117" i="5"/>
  <c r="Z118" i="5"/>
  <c r="Z120" i="5"/>
  <c r="Z121" i="5"/>
  <c r="Z122" i="5"/>
  <c r="Z123" i="5"/>
  <c r="Z124" i="5"/>
  <c r="Z127" i="5"/>
  <c r="Z128" i="5"/>
  <c r="Z129" i="5"/>
  <c r="Z130" i="5"/>
  <c r="Z131" i="5"/>
  <c r="AA2" i="5"/>
  <c r="AA3" i="5"/>
  <c r="AA4" i="5"/>
  <c r="AA5" i="5"/>
  <c r="AA8" i="5"/>
  <c r="AA9" i="5"/>
  <c r="AA10" i="5"/>
  <c r="AA11" i="5"/>
  <c r="AA12" i="5"/>
  <c r="AA15" i="5"/>
  <c r="AA17" i="5"/>
  <c r="AA18" i="5"/>
  <c r="AA19" i="5"/>
  <c r="AA20" i="5"/>
  <c r="AA21" i="5"/>
  <c r="AA22" i="5"/>
  <c r="AA23" i="5"/>
  <c r="AA24" i="5"/>
  <c r="AA25" i="5"/>
  <c r="AA26" i="5"/>
  <c r="AA27" i="5"/>
  <c r="AA28" i="5"/>
  <c r="AA29" i="5"/>
  <c r="AA30" i="5"/>
  <c r="AA31" i="5"/>
  <c r="AA33" i="5"/>
  <c r="AA36" i="5"/>
  <c r="AA37" i="5"/>
  <c r="AA38" i="5"/>
  <c r="AA40" i="5"/>
  <c r="AA41" i="5"/>
  <c r="AA42" i="5"/>
  <c r="AA43" i="5"/>
  <c r="AA44" i="5"/>
  <c r="AA46" i="5"/>
  <c r="AA47" i="5"/>
  <c r="AA50" i="5"/>
  <c r="AA51" i="5"/>
  <c r="AA52" i="5"/>
  <c r="AA55" i="5"/>
  <c r="AA56" i="5"/>
  <c r="AA57" i="5"/>
  <c r="AA59" i="5"/>
  <c r="AA61" i="5"/>
  <c r="AA62" i="5"/>
  <c r="AA63" i="5"/>
  <c r="AA64" i="5"/>
  <c r="AA65" i="5"/>
  <c r="AA68" i="5"/>
  <c r="AA70" i="5"/>
  <c r="AA72" i="5"/>
  <c r="AA73" i="5"/>
  <c r="AA74" i="5"/>
  <c r="AA75" i="5"/>
  <c r="AA76" i="5"/>
  <c r="AA77" i="5"/>
  <c r="AA78" i="5"/>
  <c r="AA79" i="5"/>
  <c r="AA80" i="5"/>
  <c r="AA81" i="5"/>
  <c r="AA82" i="5"/>
  <c r="AA83" i="5"/>
  <c r="AA84" i="5"/>
  <c r="AA86" i="5"/>
  <c r="AA87" i="5"/>
  <c r="AA88" i="5"/>
  <c r="AA89" i="5"/>
  <c r="AA91" i="5"/>
  <c r="AA92" i="5"/>
  <c r="AA93" i="5"/>
  <c r="AA94" i="5"/>
  <c r="AA96" i="5"/>
  <c r="AA97" i="5"/>
  <c r="AA98" i="5"/>
  <c r="AA99" i="5"/>
  <c r="AA100" i="5"/>
  <c r="AA101" i="5"/>
  <c r="AA104" i="5"/>
  <c r="AA105" i="5"/>
  <c r="AA107" i="5"/>
  <c r="AA109" i="5"/>
  <c r="AA110" i="5"/>
  <c r="AA111" i="5"/>
  <c r="AA112" i="5"/>
  <c r="AA113" i="5"/>
  <c r="AA114" i="5"/>
  <c r="AA115" i="5"/>
  <c r="AA117" i="5"/>
  <c r="AA118" i="5"/>
  <c r="AA120" i="5"/>
  <c r="AA121" i="5"/>
  <c r="AA122" i="5"/>
  <c r="AA123" i="5"/>
  <c r="AA124" i="5"/>
  <c r="AA127" i="5"/>
  <c r="AA128" i="5"/>
  <c r="AA129" i="5"/>
  <c r="AA130" i="5"/>
  <c r="AA131" i="5"/>
  <c r="D19" i="5"/>
  <c r="E19" i="5"/>
  <c r="F19" i="5"/>
  <c r="G19" i="5"/>
  <c r="H19" i="5"/>
  <c r="I19" i="5"/>
  <c r="J19" i="5"/>
  <c r="K19" i="5"/>
  <c r="L19" i="5"/>
  <c r="M19" i="5"/>
  <c r="N19" i="5"/>
  <c r="O19" i="5"/>
  <c r="P19" i="5"/>
  <c r="AB19" i="5"/>
  <c r="AC19" i="5"/>
  <c r="D21" i="5"/>
  <c r="E21" i="5"/>
  <c r="F21" i="5"/>
  <c r="G21" i="5"/>
  <c r="H21" i="5"/>
  <c r="I21" i="5"/>
  <c r="J21" i="5"/>
  <c r="K21" i="5"/>
  <c r="L21" i="5"/>
  <c r="M21" i="5"/>
  <c r="N21" i="5"/>
  <c r="O21" i="5"/>
  <c r="P21" i="5"/>
  <c r="AB21" i="5"/>
  <c r="D23" i="5"/>
  <c r="E23" i="5"/>
  <c r="F23" i="5"/>
  <c r="G23" i="5"/>
  <c r="H23" i="5"/>
  <c r="I23" i="5"/>
  <c r="J23" i="5"/>
  <c r="K23" i="5"/>
  <c r="L23" i="5"/>
  <c r="M23" i="5"/>
  <c r="N23" i="5"/>
  <c r="O23" i="5"/>
  <c r="P23" i="5"/>
  <c r="AB23" i="5"/>
  <c r="AC23" i="5"/>
  <c r="D40" i="5"/>
  <c r="E40" i="5"/>
  <c r="F40" i="5"/>
  <c r="G40" i="5"/>
  <c r="H40" i="5"/>
  <c r="I40" i="5"/>
  <c r="J40" i="5"/>
  <c r="K40" i="5"/>
  <c r="L40" i="5"/>
  <c r="M40" i="5"/>
  <c r="N40" i="5"/>
  <c r="O40" i="5"/>
  <c r="P40" i="5"/>
  <c r="AB40" i="5"/>
  <c r="AC40" i="5"/>
  <c r="D62" i="5"/>
  <c r="E62" i="5"/>
  <c r="F62" i="5"/>
  <c r="G62" i="5"/>
  <c r="H62" i="5"/>
  <c r="I62" i="5"/>
  <c r="J62" i="5"/>
  <c r="K62" i="5"/>
  <c r="L62" i="5"/>
  <c r="M62" i="5"/>
  <c r="N62" i="5"/>
  <c r="O62" i="5"/>
  <c r="P62" i="5"/>
  <c r="AB62" i="5"/>
  <c r="AB2" i="5"/>
  <c r="AB3" i="5"/>
  <c r="AB4" i="5"/>
  <c r="AB5" i="5"/>
  <c r="AB8" i="5"/>
  <c r="AB9" i="5"/>
  <c r="AB10" i="5"/>
  <c r="AB11" i="5"/>
  <c r="AB12" i="5"/>
  <c r="AB15" i="5"/>
  <c r="AB17" i="5"/>
  <c r="AB18" i="5"/>
  <c r="AB20" i="5"/>
  <c r="AB22" i="5"/>
  <c r="AB24" i="5"/>
  <c r="AB25" i="5"/>
  <c r="AB26" i="5"/>
  <c r="AB27" i="5"/>
  <c r="AB28" i="5"/>
  <c r="AB29" i="5"/>
  <c r="AB30" i="5"/>
  <c r="AB31" i="5"/>
  <c r="AB33" i="5"/>
  <c r="AB36" i="5"/>
  <c r="AB37" i="5"/>
  <c r="AB38" i="5"/>
  <c r="AB41" i="5"/>
  <c r="AB42" i="5"/>
  <c r="AB43" i="5"/>
  <c r="AB44" i="5"/>
  <c r="AB46" i="5"/>
  <c r="AB47" i="5"/>
  <c r="AB50" i="5"/>
  <c r="AB51" i="5"/>
  <c r="AB52" i="5"/>
  <c r="AB55" i="5"/>
  <c r="AB56" i="5"/>
  <c r="AB57" i="5"/>
  <c r="AB59" i="5"/>
  <c r="AB61" i="5"/>
  <c r="AB63" i="5"/>
  <c r="AB64" i="5"/>
  <c r="AB65" i="5"/>
  <c r="AB68" i="5"/>
  <c r="AB70" i="5"/>
  <c r="AB72" i="5"/>
  <c r="AB73" i="5"/>
  <c r="AB74" i="5"/>
  <c r="AB75" i="5"/>
  <c r="AB76" i="5"/>
  <c r="AB77" i="5"/>
  <c r="AB78" i="5"/>
  <c r="AB79" i="5"/>
  <c r="AB80" i="5"/>
  <c r="AB81" i="5"/>
  <c r="AB82" i="5"/>
  <c r="AB83" i="5"/>
  <c r="AB84" i="5"/>
  <c r="AB86" i="5"/>
  <c r="AB87" i="5"/>
  <c r="AB88" i="5"/>
  <c r="AB89" i="5"/>
  <c r="AB91" i="5"/>
  <c r="AB92" i="5"/>
  <c r="AB93" i="5"/>
  <c r="AB94" i="5"/>
  <c r="AB96" i="5"/>
  <c r="AB97" i="5"/>
  <c r="AB98" i="5"/>
  <c r="AB99" i="5"/>
  <c r="AB100" i="5"/>
  <c r="AB101" i="5"/>
  <c r="AB104" i="5"/>
  <c r="AB105" i="5"/>
  <c r="AB107" i="5"/>
  <c r="AB109" i="5"/>
  <c r="AB110" i="5"/>
  <c r="AB111" i="5"/>
  <c r="AB112" i="5"/>
  <c r="AB113" i="5"/>
  <c r="AB114" i="5"/>
  <c r="AB115" i="5"/>
  <c r="AB117" i="5"/>
  <c r="AB118" i="5"/>
  <c r="AB120" i="5"/>
  <c r="AB121" i="5"/>
  <c r="AB122" i="5"/>
  <c r="AB123" i="5"/>
  <c r="AB124" i="5"/>
  <c r="AB127" i="5"/>
  <c r="AB128" i="5"/>
  <c r="AB129" i="5"/>
  <c r="AB130" i="5"/>
  <c r="AB131" i="5"/>
  <c r="O737" i="1"/>
  <c r="N737" i="1"/>
  <c r="M737" i="1"/>
  <c r="O736" i="1"/>
  <c r="N736" i="1"/>
  <c r="M736" i="1"/>
  <c r="O735" i="1"/>
  <c r="N735" i="1"/>
  <c r="M735" i="1"/>
  <c r="O734" i="1"/>
  <c r="N734" i="1"/>
  <c r="M734" i="1"/>
  <c r="O733" i="1"/>
  <c r="N733" i="1"/>
  <c r="M733" i="1"/>
  <c r="N732" i="1"/>
  <c r="M732" i="1"/>
  <c r="O731" i="1"/>
  <c r="N731" i="1"/>
  <c r="M731" i="1"/>
  <c r="O730" i="1"/>
  <c r="N730" i="1"/>
  <c r="M730" i="1"/>
  <c r="O729" i="1"/>
  <c r="N729" i="1"/>
  <c r="M729" i="1"/>
  <c r="O728" i="1"/>
  <c r="N728" i="1"/>
  <c r="M728" i="1"/>
  <c r="O727" i="1"/>
  <c r="N727" i="1"/>
  <c r="M727" i="1"/>
  <c r="O726" i="1"/>
  <c r="N726" i="1"/>
  <c r="M726" i="1"/>
  <c r="O725" i="1"/>
  <c r="N725" i="1"/>
  <c r="M725" i="1"/>
  <c r="O724" i="1"/>
  <c r="N724" i="1"/>
  <c r="M724" i="1"/>
  <c r="O723" i="1"/>
  <c r="N723" i="1"/>
  <c r="M723" i="1"/>
  <c r="O722" i="1"/>
  <c r="N722" i="1"/>
  <c r="M722" i="1"/>
  <c r="O721" i="1"/>
  <c r="N721" i="1"/>
  <c r="M721" i="1"/>
  <c r="O720" i="1"/>
  <c r="N720" i="1"/>
  <c r="M720" i="1"/>
  <c r="N719" i="1"/>
  <c r="M719" i="1"/>
  <c r="O718" i="1"/>
  <c r="N718" i="1"/>
  <c r="M718" i="1"/>
  <c r="O717" i="1"/>
  <c r="N717" i="1"/>
  <c r="M717" i="1"/>
  <c r="O716" i="1"/>
  <c r="N716" i="1"/>
  <c r="M716" i="1"/>
  <c r="O681" i="1"/>
  <c r="N715" i="1"/>
  <c r="M715" i="1"/>
  <c r="O714" i="1"/>
  <c r="N714" i="1"/>
  <c r="M714" i="1"/>
  <c r="N713" i="1"/>
  <c r="M713" i="1"/>
  <c r="O712" i="1"/>
  <c r="N712" i="1"/>
  <c r="M712" i="1"/>
  <c r="O711" i="1"/>
  <c r="N711" i="1"/>
  <c r="M711" i="1"/>
  <c r="O710" i="1"/>
  <c r="N710" i="1"/>
  <c r="M710" i="1"/>
  <c r="O709" i="1"/>
  <c r="N709" i="1"/>
  <c r="M709" i="1"/>
  <c r="O708" i="1"/>
  <c r="N708" i="1"/>
  <c r="M708" i="1"/>
  <c r="O707" i="1"/>
  <c r="N707" i="1"/>
  <c r="M707" i="1"/>
  <c r="N706" i="1"/>
  <c r="M706" i="1"/>
  <c r="O706" i="1"/>
  <c r="P1" i="5"/>
  <c r="O1" i="5"/>
  <c r="N1" i="5"/>
  <c r="M1" i="5"/>
  <c r="L1" i="5"/>
  <c r="K1" i="5"/>
  <c r="J1" i="5"/>
  <c r="I1" i="5"/>
  <c r="H1" i="5"/>
  <c r="G1" i="5"/>
  <c r="F1" i="5"/>
  <c r="E1" i="5"/>
  <c r="D1" i="5"/>
  <c r="O705" i="1"/>
  <c r="N705" i="1"/>
  <c r="M705" i="1"/>
  <c r="O704" i="1"/>
  <c r="N704" i="1"/>
  <c r="M704" i="1"/>
  <c r="O703" i="1"/>
  <c r="N703" i="1"/>
  <c r="M703" i="1"/>
  <c r="O702" i="1"/>
  <c r="N702" i="1"/>
  <c r="M702" i="1"/>
  <c r="O701" i="1"/>
  <c r="N701" i="1"/>
  <c r="M701" i="1"/>
  <c r="O700" i="1"/>
  <c r="N700" i="1"/>
  <c r="M700" i="1"/>
  <c r="O698" i="1"/>
  <c r="N698" i="1"/>
  <c r="M698" i="1"/>
  <c r="O699" i="1"/>
  <c r="N699" i="1"/>
  <c r="M699" i="1"/>
  <c r="O697" i="1"/>
  <c r="N697" i="1"/>
  <c r="M697" i="1"/>
  <c r="O696" i="1"/>
  <c r="N696" i="1"/>
  <c r="M696" i="1"/>
  <c r="AC96" i="9"/>
  <c r="C96" i="9"/>
  <c r="AC17" i="9"/>
  <c r="AC112" i="9"/>
  <c r="C112" i="9"/>
  <c r="AC32" i="9"/>
  <c r="AC84" i="9"/>
  <c r="C84" i="9"/>
  <c r="AC86" i="9"/>
  <c r="C86" i="9"/>
  <c r="AC102" i="9"/>
  <c r="C102" i="9"/>
  <c r="O581" i="1"/>
  <c r="O612" i="1"/>
  <c r="O624" i="1"/>
  <c r="O635" i="1"/>
  <c r="O645" i="1"/>
  <c r="O659" i="1"/>
  <c r="AC63" i="9"/>
  <c r="C63" i="9"/>
  <c r="O663" i="1"/>
  <c r="O670" i="1"/>
  <c r="O675" i="1"/>
  <c r="O688" i="1"/>
  <c r="O689" i="1"/>
  <c r="O693" i="1"/>
  <c r="AC125" i="9"/>
  <c r="O672" i="1"/>
  <c r="AC85" i="9"/>
  <c r="C85" i="9"/>
  <c r="AC115" i="9"/>
  <c r="AC2" i="9"/>
  <c r="C2" i="9"/>
  <c r="AC64" i="9"/>
  <c r="AC68" i="9"/>
  <c r="C68" i="9"/>
  <c r="AC106" i="9"/>
  <c r="C106" i="9"/>
  <c r="AC42" i="9"/>
  <c r="C42" i="9"/>
  <c r="AC130" i="9"/>
  <c r="AC129" i="9"/>
  <c r="C129" i="9"/>
  <c r="AC128" i="9"/>
  <c r="AC127" i="9"/>
  <c r="C127" i="9" s="1"/>
  <c r="AC126" i="9"/>
  <c r="C126" i="9"/>
  <c r="AC124" i="9"/>
  <c r="C124" i="9"/>
  <c r="AC123" i="9"/>
  <c r="AC122" i="9"/>
  <c r="AC121" i="9"/>
  <c r="AC120" i="9"/>
  <c r="C120" i="9"/>
  <c r="AC116" i="9"/>
  <c r="C116" i="9"/>
  <c r="AC114" i="9"/>
  <c r="AC113" i="9"/>
  <c r="AC111" i="9"/>
  <c r="AC110" i="9"/>
  <c r="C110" i="9"/>
  <c r="AC105" i="9"/>
  <c r="AC104" i="9"/>
  <c r="C104" i="9"/>
  <c r="AC103" i="9"/>
  <c r="C103" i="9"/>
  <c r="AC95" i="9"/>
  <c r="C95" i="9"/>
  <c r="AC94" i="9"/>
  <c r="C94" i="9"/>
  <c r="AC93" i="9"/>
  <c r="AC92" i="9"/>
  <c r="AC91" i="9"/>
  <c r="C91" i="9"/>
  <c r="AC90" i="9"/>
  <c r="AC89" i="9"/>
  <c r="AC88" i="9"/>
  <c r="C88" i="9"/>
  <c r="AC87" i="9"/>
  <c r="C87" i="9"/>
  <c r="AC83" i="9"/>
  <c r="AC82" i="9"/>
  <c r="AC81" i="9"/>
  <c r="AC79" i="9"/>
  <c r="AC78" i="9"/>
  <c r="C78" i="9"/>
  <c r="AC77" i="9"/>
  <c r="C77" i="9"/>
  <c r="AC75" i="9"/>
  <c r="AC74" i="9"/>
  <c r="C74" i="9"/>
  <c r="AC73" i="9"/>
  <c r="C73" i="9"/>
  <c r="AC72" i="9"/>
  <c r="C72" i="9"/>
  <c r="AC71" i="9"/>
  <c r="AC70" i="9"/>
  <c r="AC69" i="9"/>
  <c r="C69" i="9"/>
  <c r="AC67" i="9"/>
  <c r="AC66" i="9"/>
  <c r="C66" i="9"/>
  <c r="AC65" i="9"/>
  <c r="AC62" i="9"/>
  <c r="C62" i="9"/>
  <c r="AC61" i="9"/>
  <c r="C61" i="9"/>
  <c r="AC58" i="9"/>
  <c r="C58" i="9"/>
  <c r="AC57" i="9"/>
  <c r="C57" i="9"/>
  <c r="AC56" i="9"/>
  <c r="AC55" i="9"/>
  <c r="C55" i="9"/>
  <c r="AC54" i="9"/>
  <c r="C54" i="9"/>
  <c r="AC53" i="9"/>
  <c r="C53" i="9"/>
  <c r="AC52" i="9"/>
  <c r="C52" i="9"/>
  <c r="AC51" i="9"/>
  <c r="C51" i="9"/>
  <c r="AC50" i="9"/>
  <c r="AC47" i="9"/>
  <c r="AC45" i="9"/>
  <c r="C45" i="9"/>
  <c r="AC44" i="9"/>
  <c r="C44" i="9"/>
  <c r="AC43" i="9"/>
  <c r="C43" i="9"/>
  <c r="AC39" i="9"/>
  <c r="AC38" i="9"/>
  <c r="C38" i="9"/>
  <c r="AC36" i="9"/>
  <c r="C36" i="9"/>
  <c r="AC35" i="9"/>
  <c r="C35" i="9"/>
  <c r="AC31" i="9"/>
  <c r="C31" i="9"/>
  <c r="AC30" i="9"/>
  <c r="C30" i="9"/>
  <c r="AC29" i="9"/>
  <c r="AC28" i="9"/>
  <c r="C28" i="9"/>
  <c r="AC27" i="9"/>
  <c r="AC26" i="9"/>
  <c r="C26" i="9"/>
  <c r="AC25" i="9"/>
  <c r="AC24" i="9"/>
  <c r="C24" i="9"/>
  <c r="AC23" i="9"/>
  <c r="AC22" i="9"/>
  <c r="C22" i="9"/>
  <c r="AC21" i="9"/>
  <c r="AC20" i="9"/>
  <c r="C20" i="9"/>
  <c r="AC19" i="9"/>
  <c r="AC18" i="9"/>
  <c r="C18" i="9"/>
  <c r="AC16" i="9"/>
  <c r="AC15" i="9"/>
  <c r="C15" i="9"/>
  <c r="AC14" i="9"/>
  <c r="C14" i="9"/>
  <c r="AC12" i="9"/>
  <c r="C12" i="9"/>
  <c r="AC11" i="9"/>
  <c r="AC10" i="9"/>
  <c r="C10" i="9"/>
  <c r="AC9" i="9"/>
  <c r="C9" i="9"/>
  <c r="AC8" i="9"/>
  <c r="AC7" i="9"/>
  <c r="C7" i="9"/>
  <c r="AC4" i="9"/>
  <c r="C4" i="9"/>
  <c r="AC3" i="9"/>
  <c r="N695" i="1"/>
  <c r="M695" i="1"/>
  <c r="N694" i="1"/>
  <c r="M694" i="1"/>
  <c r="N693" i="1"/>
  <c r="M693" i="1"/>
  <c r="O692" i="1"/>
  <c r="N692" i="1"/>
  <c r="M692" i="1"/>
  <c r="O691" i="1"/>
  <c r="N691" i="1"/>
  <c r="M691" i="1"/>
  <c r="O690" i="1"/>
  <c r="N690" i="1"/>
  <c r="M690" i="1"/>
  <c r="N689" i="1"/>
  <c r="M689" i="1"/>
  <c r="N688" i="1"/>
  <c r="M688" i="1"/>
  <c r="O687" i="1"/>
  <c r="N687" i="1"/>
  <c r="M687" i="1"/>
  <c r="O686" i="1"/>
  <c r="N686" i="1"/>
  <c r="M686" i="1"/>
  <c r="O685" i="1"/>
  <c r="N685" i="1"/>
  <c r="M685" i="1"/>
  <c r="O684" i="1"/>
  <c r="N684" i="1"/>
  <c r="M684" i="1"/>
  <c r="O683" i="1"/>
  <c r="N683" i="1"/>
  <c r="M683" i="1"/>
  <c r="O682" i="1"/>
  <c r="N682" i="1"/>
  <c r="M682" i="1"/>
  <c r="N681" i="1"/>
  <c r="M681" i="1"/>
  <c r="O680" i="1"/>
  <c r="N680" i="1"/>
  <c r="M680" i="1"/>
  <c r="O679" i="1"/>
  <c r="N679" i="1"/>
  <c r="M679" i="1"/>
  <c r="O678" i="1"/>
  <c r="N678" i="1"/>
  <c r="M678" i="1"/>
  <c r="O677" i="1"/>
  <c r="N677" i="1"/>
  <c r="M677" i="1"/>
  <c r="N676" i="1"/>
  <c r="M676" i="1"/>
  <c r="N675" i="1"/>
  <c r="M675" i="1"/>
  <c r="O674" i="1"/>
  <c r="N674" i="1"/>
  <c r="M674" i="1"/>
  <c r="O673" i="1"/>
  <c r="N673" i="1"/>
  <c r="M673" i="1"/>
  <c r="N672" i="1"/>
  <c r="M672" i="1"/>
  <c r="O671" i="1"/>
  <c r="N671" i="1"/>
  <c r="M671" i="1"/>
  <c r="N670" i="1"/>
  <c r="M670" i="1"/>
  <c r="O669" i="1"/>
  <c r="N669" i="1"/>
  <c r="M669" i="1"/>
  <c r="O668" i="1"/>
  <c r="N668" i="1"/>
  <c r="M668" i="1"/>
  <c r="O667" i="1"/>
  <c r="N667" i="1"/>
  <c r="M667" i="1"/>
  <c r="O666" i="1"/>
  <c r="N666" i="1"/>
  <c r="M666" i="1"/>
  <c r="O665" i="1"/>
  <c r="N665" i="1"/>
  <c r="M665" i="1"/>
  <c r="O664" i="1"/>
  <c r="N664" i="1"/>
  <c r="M664" i="1"/>
  <c r="N663" i="1"/>
  <c r="M663" i="1"/>
  <c r="O662" i="1"/>
  <c r="N662" i="1"/>
  <c r="M662" i="1"/>
  <c r="N661" i="1"/>
  <c r="M661" i="1"/>
  <c r="O660" i="1"/>
  <c r="N660" i="1"/>
  <c r="M660" i="1"/>
  <c r="N659" i="1"/>
  <c r="M659" i="1"/>
  <c r="N658" i="1"/>
  <c r="M658" i="1"/>
  <c r="O657" i="1"/>
  <c r="N657" i="1"/>
  <c r="M657" i="1"/>
  <c r="O656" i="1"/>
  <c r="N656" i="1"/>
  <c r="M656" i="1"/>
  <c r="O655" i="1"/>
  <c r="N655" i="1"/>
  <c r="M655" i="1"/>
  <c r="O654" i="1"/>
  <c r="N654" i="1"/>
  <c r="M654" i="1"/>
  <c r="O653" i="1"/>
  <c r="N653" i="1"/>
  <c r="M653" i="1"/>
  <c r="O652" i="1"/>
  <c r="N652" i="1"/>
  <c r="M652" i="1"/>
  <c r="O651" i="1"/>
  <c r="N651" i="1"/>
  <c r="M651" i="1"/>
  <c r="O650" i="1"/>
  <c r="N650" i="1"/>
  <c r="M650" i="1"/>
  <c r="O649" i="1"/>
  <c r="N649" i="1"/>
  <c r="M649" i="1"/>
  <c r="O648" i="1"/>
  <c r="N648" i="1"/>
  <c r="M648" i="1"/>
  <c r="O647" i="1"/>
  <c r="N647" i="1"/>
  <c r="M647" i="1"/>
  <c r="O646" i="1"/>
  <c r="N646" i="1"/>
  <c r="M646" i="1"/>
  <c r="N645" i="1"/>
  <c r="M645" i="1"/>
  <c r="O644" i="1"/>
  <c r="N644" i="1"/>
  <c r="M644" i="1"/>
  <c r="O643" i="1"/>
  <c r="N643" i="1"/>
  <c r="M643" i="1"/>
  <c r="O642" i="1"/>
  <c r="N642" i="1"/>
  <c r="M642" i="1"/>
  <c r="O641" i="1"/>
  <c r="N641" i="1"/>
  <c r="M641" i="1"/>
  <c r="O640" i="1"/>
  <c r="N640" i="1"/>
  <c r="M640" i="1"/>
  <c r="O639" i="1"/>
  <c r="N639" i="1"/>
  <c r="M639" i="1"/>
  <c r="O638" i="1"/>
  <c r="N638" i="1"/>
  <c r="M638" i="1"/>
  <c r="O637" i="1"/>
  <c r="N637" i="1"/>
  <c r="M637" i="1"/>
  <c r="O636" i="1"/>
  <c r="N636" i="1"/>
  <c r="M636" i="1"/>
  <c r="N635" i="1"/>
  <c r="M635" i="1"/>
  <c r="O634" i="1"/>
  <c r="N634" i="1"/>
  <c r="M634" i="1"/>
  <c r="O633" i="1"/>
  <c r="N633" i="1"/>
  <c r="M633" i="1"/>
  <c r="O632" i="1"/>
  <c r="N632" i="1"/>
  <c r="M632" i="1"/>
  <c r="O631" i="1"/>
  <c r="N631" i="1"/>
  <c r="M631" i="1"/>
  <c r="O630" i="1"/>
  <c r="N630" i="1"/>
  <c r="M630" i="1"/>
  <c r="O629" i="1"/>
  <c r="N629" i="1"/>
  <c r="M629" i="1"/>
  <c r="O628" i="1"/>
  <c r="N628" i="1"/>
  <c r="M628" i="1"/>
  <c r="O627" i="1"/>
  <c r="N627" i="1"/>
  <c r="M627" i="1"/>
  <c r="P70" i="5"/>
  <c r="O70" i="5"/>
  <c r="D70" i="5"/>
  <c r="E70" i="5"/>
  <c r="F70" i="5"/>
  <c r="G70" i="5"/>
  <c r="H70" i="5"/>
  <c r="I70" i="5"/>
  <c r="J70" i="5"/>
  <c r="K70" i="5"/>
  <c r="L70" i="5"/>
  <c r="M70" i="5"/>
  <c r="N70" i="5"/>
  <c r="AC70" i="5"/>
  <c r="O626" i="1"/>
  <c r="N626" i="1"/>
  <c r="M626" i="1"/>
  <c r="O625" i="1"/>
  <c r="N625" i="1"/>
  <c r="M625" i="1"/>
  <c r="N624" i="1"/>
  <c r="M624" i="1"/>
  <c r="O623" i="1"/>
  <c r="N623" i="1"/>
  <c r="M623" i="1"/>
  <c r="O622" i="1"/>
  <c r="N622" i="1"/>
  <c r="M622" i="1"/>
  <c r="O621" i="1"/>
  <c r="N621" i="1"/>
  <c r="M621" i="1"/>
  <c r="O620" i="1"/>
  <c r="N620" i="1"/>
  <c r="M620" i="1"/>
  <c r="O619" i="1"/>
  <c r="N619" i="1"/>
  <c r="M619" i="1"/>
  <c r="O618" i="1"/>
  <c r="N618" i="1"/>
  <c r="M618" i="1"/>
  <c r="O617" i="1"/>
  <c r="N617" i="1"/>
  <c r="M617" i="1"/>
  <c r="O616" i="1"/>
  <c r="N616" i="1"/>
  <c r="M616" i="1"/>
  <c r="O615" i="1"/>
  <c r="N615" i="1"/>
  <c r="M615" i="1"/>
  <c r="O614" i="1"/>
  <c r="N614" i="1"/>
  <c r="M614" i="1"/>
  <c r="O613" i="1"/>
  <c r="N613" i="1"/>
  <c r="M613" i="1"/>
  <c r="N612" i="1"/>
  <c r="M612" i="1"/>
  <c r="O611" i="1"/>
  <c r="N611" i="1"/>
  <c r="M611" i="1"/>
  <c r="O610" i="1"/>
  <c r="N610" i="1"/>
  <c r="M610" i="1"/>
  <c r="O609" i="1"/>
  <c r="N609" i="1"/>
  <c r="M609" i="1"/>
  <c r="O608" i="1"/>
  <c r="N608" i="1"/>
  <c r="M608" i="1"/>
  <c r="O607" i="1"/>
  <c r="N607" i="1"/>
  <c r="M607" i="1"/>
  <c r="O606" i="1"/>
  <c r="N606" i="1"/>
  <c r="M606" i="1"/>
  <c r="O605" i="1"/>
  <c r="N605" i="1"/>
  <c r="M605" i="1"/>
  <c r="O604" i="1"/>
  <c r="N604" i="1"/>
  <c r="M604" i="1"/>
  <c r="O603" i="1"/>
  <c r="N603" i="1"/>
  <c r="M603" i="1"/>
  <c r="O602" i="1"/>
  <c r="N602" i="1"/>
  <c r="M602" i="1"/>
  <c r="O601" i="1"/>
  <c r="N601" i="1"/>
  <c r="M601" i="1"/>
  <c r="O600" i="1"/>
  <c r="N600" i="1"/>
  <c r="M600" i="1"/>
  <c r="O599" i="1"/>
  <c r="N599" i="1"/>
  <c r="M599" i="1"/>
  <c r="O598" i="1"/>
  <c r="N598" i="1"/>
  <c r="M598" i="1"/>
  <c r="O597" i="1"/>
  <c r="N597" i="1"/>
  <c r="M597" i="1"/>
  <c r="O596" i="1"/>
  <c r="N596" i="1"/>
  <c r="M596" i="1"/>
  <c r="O595" i="1"/>
  <c r="N595" i="1"/>
  <c r="M595" i="1"/>
  <c r="O594" i="1"/>
  <c r="N594" i="1"/>
  <c r="M594" i="1"/>
  <c r="O593" i="1"/>
  <c r="N593" i="1"/>
  <c r="M593" i="1"/>
  <c r="O592" i="1"/>
  <c r="N592" i="1"/>
  <c r="M592" i="1"/>
  <c r="O591" i="1"/>
  <c r="N591" i="1"/>
  <c r="M591" i="1"/>
  <c r="O590" i="1"/>
  <c r="N590" i="1"/>
  <c r="M590" i="1"/>
  <c r="O589" i="1"/>
  <c r="N589" i="1"/>
  <c r="M589" i="1"/>
  <c r="O588" i="1"/>
  <c r="N588" i="1"/>
  <c r="M588" i="1"/>
  <c r="O587" i="1"/>
  <c r="N587" i="1"/>
  <c r="M587" i="1"/>
  <c r="O586" i="1"/>
  <c r="N586" i="1"/>
  <c r="M586" i="1"/>
  <c r="O585" i="1"/>
  <c r="N585" i="1"/>
  <c r="M585" i="1"/>
  <c r="O584" i="1"/>
  <c r="N584" i="1"/>
  <c r="M584" i="1"/>
  <c r="O583" i="1"/>
  <c r="N583" i="1"/>
  <c r="M583" i="1"/>
  <c r="O582" i="1"/>
  <c r="N582" i="1"/>
  <c r="M582" i="1"/>
  <c r="N581" i="1"/>
  <c r="M581" i="1"/>
  <c r="O580" i="1"/>
  <c r="N580" i="1"/>
  <c r="M580" i="1"/>
  <c r="O579" i="1"/>
  <c r="N579" i="1"/>
  <c r="M579" i="1"/>
  <c r="O578" i="1"/>
  <c r="N578" i="1"/>
  <c r="M578" i="1"/>
  <c r="O577" i="1"/>
  <c r="N577" i="1"/>
  <c r="M577" i="1"/>
  <c r="O576" i="1"/>
  <c r="N576" i="1"/>
  <c r="M576" i="1"/>
  <c r="O575" i="1"/>
  <c r="N575" i="1"/>
  <c r="M575" i="1"/>
  <c r="O574" i="1"/>
  <c r="N574" i="1"/>
  <c r="M574" i="1"/>
  <c r="O573" i="1"/>
  <c r="N573" i="1"/>
  <c r="M573" i="1"/>
  <c r="O572" i="1"/>
  <c r="N572" i="1"/>
  <c r="M572" i="1"/>
  <c r="P2" i="5"/>
  <c r="P3" i="5"/>
  <c r="P4" i="5"/>
  <c r="P5" i="5"/>
  <c r="P8" i="5"/>
  <c r="P9" i="5"/>
  <c r="D9" i="5"/>
  <c r="E9" i="5"/>
  <c r="F9" i="5"/>
  <c r="G9" i="5"/>
  <c r="H9" i="5"/>
  <c r="I9" i="5"/>
  <c r="J9" i="5"/>
  <c r="K9" i="5"/>
  <c r="L9" i="5"/>
  <c r="M9" i="5"/>
  <c r="N9" i="5"/>
  <c r="O9" i="5"/>
  <c r="AC9" i="5"/>
  <c r="P10" i="5"/>
  <c r="P11" i="5"/>
  <c r="D11" i="5"/>
  <c r="E11" i="5"/>
  <c r="F11" i="5"/>
  <c r="G11" i="5"/>
  <c r="H11" i="5"/>
  <c r="I11" i="5"/>
  <c r="J11" i="5"/>
  <c r="K11" i="5"/>
  <c r="L11" i="5"/>
  <c r="M11" i="5"/>
  <c r="N11" i="5"/>
  <c r="O11" i="5"/>
  <c r="P12" i="5"/>
  <c r="P15" i="5"/>
  <c r="P17" i="5"/>
  <c r="P18" i="5"/>
  <c r="P20" i="5"/>
  <c r="P22" i="5"/>
  <c r="P24" i="5"/>
  <c r="P25" i="5"/>
  <c r="P26" i="5"/>
  <c r="P27" i="5"/>
  <c r="P28" i="5"/>
  <c r="P29" i="5"/>
  <c r="P30" i="5"/>
  <c r="P31" i="5"/>
  <c r="P33" i="5"/>
  <c r="P36" i="5"/>
  <c r="P37" i="5"/>
  <c r="P38" i="5"/>
  <c r="P41" i="5"/>
  <c r="P42" i="5"/>
  <c r="P43" i="5"/>
  <c r="P44" i="5"/>
  <c r="P46" i="5"/>
  <c r="P47" i="5"/>
  <c r="P50" i="5"/>
  <c r="P51" i="5"/>
  <c r="P52" i="5"/>
  <c r="P55" i="5"/>
  <c r="D55" i="5"/>
  <c r="E55" i="5"/>
  <c r="F55" i="5"/>
  <c r="G55" i="5"/>
  <c r="H55" i="5"/>
  <c r="I55" i="5"/>
  <c r="J55" i="5"/>
  <c r="K55" i="5"/>
  <c r="L55" i="5"/>
  <c r="M55" i="5"/>
  <c r="N55" i="5"/>
  <c r="O55" i="5"/>
  <c r="AC55" i="5"/>
  <c r="P56" i="5"/>
  <c r="P57" i="5"/>
  <c r="P59" i="5"/>
  <c r="P61" i="5"/>
  <c r="P63" i="5"/>
  <c r="D63" i="5"/>
  <c r="E63" i="5"/>
  <c r="F63" i="5"/>
  <c r="G63" i="5"/>
  <c r="H63" i="5"/>
  <c r="I63" i="5"/>
  <c r="J63" i="5"/>
  <c r="K63" i="5"/>
  <c r="L63" i="5"/>
  <c r="M63" i="5"/>
  <c r="N63" i="5"/>
  <c r="O63" i="5"/>
  <c r="AC63" i="5"/>
  <c r="P64" i="5"/>
  <c r="P65" i="5"/>
  <c r="P68" i="5"/>
  <c r="P72" i="5"/>
  <c r="P73" i="5"/>
  <c r="P74" i="5"/>
  <c r="P75" i="5"/>
  <c r="P76" i="5"/>
  <c r="P77" i="5"/>
  <c r="P78" i="5"/>
  <c r="P79" i="5"/>
  <c r="P80" i="5"/>
  <c r="P81" i="5"/>
  <c r="P82" i="5"/>
  <c r="P83" i="5"/>
  <c r="P84" i="5"/>
  <c r="P86" i="5"/>
  <c r="P87" i="5"/>
  <c r="P88" i="5"/>
  <c r="P89" i="5"/>
  <c r="P91" i="5"/>
  <c r="P92" i="5"/>
  <c r="P93" i="5"/>
  <c r="P94" i="5"/>
  <c r="P96" i="5"/>
  <c r="P97" i="5"/>
  <c r="P98" i="5"/>
  <c r="P99" i="5"/>
  <c r="P100" i="5"/>
  <c r="P101" i="5"/>
  <c r="P104" i="5"/>
  <c r="P105" i="5"/>
  <c r="P107" i="5"/>
  <c r="P109" i="5"/>
  <c r="P110" i="5"/>
  <c r="P111" i="5"/>
  <c r="P112" i="5"/>
  <c r="P113" i="5"/>
  <c r="P114" i="5"/>
  <c r="P115" i="5"/>
  <c r="P117" i="5"/>
  <c r="P118" i="5"/>
  <c r="P120" i="5"/>
  <c r="P121" i="5"/>
  <c r="P122" i="5"/>
  <c r="P123" i="5"/>
  <c r="P124" i="5"/>
  <c r="P127" i="5"/>
  <c r="P128" i="5"/>
  <c r="P129" i="5"/>
  <c r="P130" i="5"/>
  <c r="D38" i="5"/>
  <c r="E38" i="5"/>
  <c r="F38" i="5"/>
  <c r="G38" i="5"/>
  <c r="H38" i="5"/>
  <c r="I38" i="5"/>
  <c r="J38" i="5"/>
  <c r="K38" i="5"/>
  <c r="L38" i="5"/>
  <c r="M38" i="5"/>
  <c r="N38" i="5"/>
  <c r="O38" i="5"/>
  <c r="AC38" i="5"/>
  <c r="E2" i="5"/>
  <c r="E3" i="5"/>
  <c r="D3" i="5"/>
  <c r="F3" i="5"/>
  <c r="G3" i="5"/>
  <c r="H3" i="5"/>
  <c r="H2" i="5"/>
  <c r="H4" i="5"/>
  <c r="H5" i="5"/>
  <c r="H8" i="5"/>
  <c r="H10" i="5"/>
  <c r="H12" i="5"/>
  <c r="H15" i="5"/>
  <c r="H17" i="5"/>
  <c r="H18" i="5"/>
  <c r="H20" i="5"/>
  <c r="H22" i="5"/>
  <c r="H24" i="5"/>
  <c r="H25" i="5"/>
  <c r="H26" i="5"/>
  <c r="H27" i="5"/>
  <c r="H28" i="5"/>
  <c r="H29" i="5"/>
  <c r="H30" i="5"/>
  <c r="H31" i="5"/>
  <c r="H33" i="5"/>
  <c r="H36" i="5"/>
  <c r="H37" i="5"/>
  <c r="H41" i="5"/>
  <c r="H42" i="5"/>
  <c r="H43" i="5"/>
  <c r="H44" i="5"/>
  <c r="H46" i="5"/>
  <c r="H47" i="5"/>
  <c r="H50" i="5"/>
  <c r="H51" i="5"/>
  <c r="H52" i="5"/>
  <c r="H56" i="5"/>
  <c r="H57" i="5"/>
  <c r="H59" i="5"/>
  <c r="H61" i="5"/>
  <c r="H64" i="5"/>
  <c r="H65" i="5"/>
  <c r="H68" i="5"/>
  <c r="H72" i="5"/>
  <c r="H73" i="5"/>
  <c r="H74" i="5"/>
  <c r="H75" i="5"/>
  <c r="H76" i="5"/>
  <c r="H77" i="5"/>
  <c r="H78" i="5"/>
  <c r="H79" i="5"/>
  <c r="H80" i="5"/>
  <c r="H81" i="5"/>
  <c r="H82" i="5"/>
  <c r="H83" i="5"/>
  <c r="H84" i="5"/>
  <c r="H86" i="5"/>
  <c r="H87" i="5"/>
  <c r="H88" i="5"/>
  <c r="H89" i="5"/>
  <c r="H91" i="5"/>
  <c r="H92" i="5"/>
  <c r="H93" i="5"/>
  <c r="H94" i="5"/>
  <c r="H96" i="5"/>
  <c r="H97" i="5"/>
  <c r="H98" i="5"/>
  <c r="H99" i="5"/>
  <c r="H100" i="5"/>
  <c r="H101" i="5"/>
  <c r="H104" i="5"/>
  <c r="H105" i="5"/>
  <c r="H107" i="5"/>
  <c r="H109" i="5"/>
  <c r="H110" i="5"/>
  <c r="H111" i="5"/>
  <c r="H112" i="5"/>
  <c r="H113" i="5"/>
  <c r="H114" i="5"/>
  <c r="H115" i="5"/>
  <c r="H117" i="5"/>
  <c r="H118" i="5"/>
  <c r="H120" i="5"/>
  <c r="H121" i="5"/>
  <c r="H122" i="5"/>
  <c r="H123" i="5"/>
  <c r="H124" i="5"/>
  <c r="H127" i="5"/>
  <c r="H128" i="5"/>
  <c r="H129" i="5"/>
  <c r="H130" i="5"/>
  <c r="H131" i="5"/>
  <c r="I3" i="5"/>
  <c r="J3" i="5"/>
  <c r="K3" i="5"/>
  <c r="L3" i="5"/>
  <c r="M3" i="5"/>
  <c r="N3" i="5"/>
  <c r="O3" i="5"/>
  <c r="AC3" i="5"/>
  <c r="E4" i="5"/>
  <c r="E5" i="5"/>
  <c r="E8" i="5"/>
  <c r="E10" i="5"/>
  <c r="E12" i="5"/>
  <c r="E15" i="5"/>
  <c r="E17" i="5"/>
  <c r="E18" i="5"/>
  <c r="E20" i="5"/>
  <c r="E22" i="5"/>
  <c r="D22" i="5"/>
  <c r="F22" i="5"/>
  <c r="G22" i="5"/>
  <c r="I22" i="5"/>
  <c r="J22" i="5"/>
  <c r="K22" i="5"/>
  <c r="L22" i="5"/>
  <c r="M22" i="5"/>
  <c r="N22" i="5"/>
  <c r="O22" i="5"/>
  <c r="AC22" i="5"/>
  <c r="E24" i="5"/>
  <c r="E25" i="5"/>
  <c r="E26" i="5"/>
  <c r="E27" i="5"/>
  <c r="E28" i="5"/>
  <c r="E29" i="5"/>
  <c r="E30" i="5"/>
  <c r="E31" i="5"/>
  <c r="E33" i="5"/>
  <c r="D33" i="5"/>
  <c r="F33" i="5"/>
  <c r="G33" i="5"/>
  <c r="I33" i="5"/>
  <c r="J33" i="5"/>
  <c r="K33" i="5"/>
  <c r="L33" i="5"/>
  <c r="M33" i="5"/>
  <c r="N33" i="5"/>
  <c r="O33" i="5"/>
  <c r="AC33" i="5"/>
  <c r="E36" i="5"/>
  <c r="E37" i="5"/>
  <c r="E41" i="5"/>
  <c r="E42" i="5"/>
  <c r="E43" i="5"/>
  <c r="E46" i="5"/>
  <c r="D46" i="5"/>
  <c r="F46" i="5"/>
  <c r="G46" i="5"/>
  <c r="I46" i="5"/>
  <c r="J46" i="5"/>
  <c r="K46" i="5"/>
  <c r="L46" i="5"/>
  <c r="M46" i="5"/>
  <c r="N46" i="5"/>
  <c r="O46" i="5"/>
  <c r="AC46" i="5"/>
  <c r="E47" i="5"/>
  <c r="D47" i="5"/>
  <c r="F47" i="5"/>
  <c r="G47" i="5"/>
  <c r="I47" i="5"/>
  <c r="J47" i="5"/>
  <c r="K47" i="5"/>
  <c r="L47" i="5"/>
  <c r="M47" i="5"/>
  <c r="N47" i="5"/>
  <c r="O47" i="5"/>
  <c r="AC47" i="5"/>
  <c r="E50" i="5"/>
  <c r="D50" i="5"/>
  <c r="F50" i="5"/>
  <c r="G50" i="5"/>
  <c r="I50" i="5"/>
  <c r="J50" i="5"/>
  <c r="K50" i="5"/>
  <c r="L50" i="5"/>
  <c r="M50" i="5"/>
  <c r="N50" i="5"/>
  <c r="O50" i="5"/>
  <c r="E51" i="5"/>
  <c r="E52" i="5"/>
  <c r="E56" i="5"/>
  <c r="E57" i="5"/>
  <c r="E59" i="5"/>
  <c r="E61" i="5"/>
  <c r="D61" i="5"/>
  <c r="F61" i="5"/>
  <c r="G61" i="5"/>
  <c r="I61" i="5"/>
  <c r="J61" i="5"/>
  <c r="K61" i="5"/>
  <c r="L61" i="5"/>
  <c r="M61" i="5"/>
  <c r="N61" i="5"/>
  <c r="O61" i="5"/>
  <c r="AC61" i="5"/>
  <c r="E64" i="5"/>
  <c r="E65" i="5"/>
  <c r="D65" i="5"/>
  <c r="F65" i="5"/>
  <c r="G65" i="5"/>
  <c r="I65" i="5"/>
  <c r="J65" i="5"/>
  <c r="K65" i="5"/>
  <c r="L65" i="5"/>
  <c r="M65" i="5"/>
  <c r="N65" i="5"/>
  <c r="O65" i="5"/>
  <c r="AC65" i="5"/>
  <c r="E68" i="5"/>
  <c r="E72" i="5"/>
  <c r="E73" i="5"/>
  <c r="D73" i="5"/>
  <c r="F73" i="5"/>
  <c r="G73" i="5"/>
  <c r="I73" i="5"/>
  <c r="J73" i="5"/>
  <c r="K73" i="5"/>
  <c r="L73" i="5"/>
  <c r="M73" i="5"/>
  <c r="N73" i="5"/>
  <c r="O73" i="5"/>
  <c r="AC73" i="5"/>
  <c r="E74" i="5"/>
  <c r="E75" i="5"/>
  <c r="E76" i="5"/>
  <c r="D76" i="5"/>
  <c r="F76" i="5"/>
  <c r="G76" i="5"/>
  <c r="I76" i="5"/>
  <c r="J76" i="5"/>
  <c r="K76" i="5"/>
  <c r="L76" i="5"/>
  <c r="M76" i="5"/>
  <c r="N76" i="5"/>
  <c r="O76" i="5"/>
  <c r="E77" i="5"/>
  <c r="E78" i="5"/>
  <c r="D78" i="5"/>
  <c r="F78" i="5"/>
  <c r="G78" i="5"/>
  <c r="I78" i="5"/>
  <c r="J78" i="5"/>
  <c r="K78" i="5"/>
  <c r="L78" i="5"/>
  <c r="M78" i="5"/>
  <c r="N78" i="5"/>
  <c r="O78" i="5"/>
  <c r="AC78" i="5"/>
  <c r="E79" i="5"/>
  <c r="E80" i="5"/>
  <c r="D80" i="5"/>
  <c r="F80" i="5"/>
  <c r="G80" i="5"/>
  <c r="I80" i="5"/>
  <c r="J80" i="5"/>
  <c r="K80" i="5"/>
  <c r="L80" i="5"/>
  <c r="M80" i="5"/>
  <c r="N80" i="5"/>
  <c r="O80" i="5"/>
  <c r="E81" i="5"/>
  <c r="E82" i="5"/>
  <c r="E83" i="5"/>
  <c r="E84" i="5"/>
  <c r="E86" i="5"/>
  <c r="E87" i="5"/>
  <c r="E88" i="5"/>
  <c r="E89" i="5"/>
  <c r="D89" i="5"/>
  <c r="F89" i="5"/>
  <c r="G89" i="5"/>
  <c r="I89" i="5"/>
  <c r="J89" i="5"/>
  <c r="K89" i="5"/>
  <c r="L89" i="5"/>
  <c r="M89" i="5"/>
  <c r="N89" i="5"/>
  <c r="O89" i="5"/>
  <c r="AC89" i="5"/>
  <c r="E91" i="5"/>
  <c r="E92" i="5"/>
  <c r="E93" i="5"/>
  <c r="D93" i="5"/>
  <c r="F93" i="5"/>
  <c r="G93" i="5"/>
  <c r="I93" i="5"/>
  <c r="J93" i="5"/>
  <c r="K93" i="5"/>
  <c r="L93" i="5"/>
  <c r="M93" i="5"/>
  <c r="N93" i="5"/>
  <c r="O93" i="5"/>
  <c r="E94" i="5"/>
  <c r="E96" i="5"/>
  <c r="E97" i="5"/>
  <c r="E98" i="5"/>
  <c r="E99" i="5"/>
  <c r="E100" i="5"/>
  <c r="D100" i="5"/>
  <c r="F100" i="5"/>
  <c r="G100" i="5"/>
  <c r="I100" i="5"/>
  <c r="J100" i="5"/>
  <c r="K100" i="5"/>
  <c r="L100" i="5"/>
  <c r="M100" i="5"/>
  <c r="N100" i="5"/>
  <c r="O100" i="5"/>
  <c r="AC100" i="5"/>
  <c r="E101" i="5"/>
  <c r="E104" i="5"/>
  <c r="E105" i="5"/>
  <c r="E107" i="5"/>
  <c r="E109" i="5"/>
  <c r="E110" i="5"/>
  <c r="E111" i="5"/>
  <c r="E112" i="5"/>
  <c r="E113" i="5"/>
  <c r="E114" i="5"/>
  <c r="E115" i="5"/>
  <c r="D115" i="5"/>
  <c r="F115" i="5"/>
  <c r="G115" i="5"/>
  <c r="I115" i="5"/>
  <c r="J115" i="5"/>
  <c r="K115" i="5"/>
  <c r="L115" i="5"/>
  <c r="M115" i="5"/>
  <c r="N115" i="5"/>
  <c r="O115" i="5"/>
  <c r="AC115" i="5"/>
  <c r="E117" i="5"/>
  <c r="D117" i="5"/>
  <c r="F117" i="5"/>
  <c r="G117" i="5"/>
  <c r="I117" i="5"/>
  <c r="J117" i="5"/>
  <c r="K117" i="5"/>
  <c r="L117" i="5"/>
  <c r="M117" i="5"/>
  <c r="N117" i="5"/>
  <c r="O117" i="5"/>
  <c r="E118" i="5"/>
  <c r="E120" i="5"/>
  <c r="D120" i="5"/>
  <c r="F120" i="5"/>
  <c r="G120" i="5"/>
  <c r="I120" i="5"/>
  <c r="J120" i="5"/>
  <c r="K120" i="5"/>
  <c r="L120" i="5"/>
  <c r="M120" i="5"/>
  <c r="N120" i="5"/>
  <c r="O120" i="5"/>
  <c r="E121" i="5"/>
  <c r="E122" i="5"/>
  <c r="E123" i="5"/>
  <c r="E124" i="5"/>
  <c r="E127" i="5"/>
  <c r="E128" i="5"/>
  <c r="E129" i="5"/>
  <c r="F2" i="5"/>
  <c r="F4" i="5"/>
  <c r="F5" i="5"/>
  <c r="F8" i="5"/>
  <c r="D8" i="5"/>
  <c r="G8" i="5"/>
  <c r="I8" i="5"/>
  <c r="J8" i="5"/>
  <c r="K8" i="5"/>
  <c r="L8" i="5"/>
  <c r="M8" i="5"/>
  <c r="N8" i="5"/>
  <c r="O8" i="5"/>
  <c r="AC8" i="5"/>
  <c r="F10" i="5"/>
  <c r="F12" i="5"/>
  <c r="F15" i="5"/>
  <c r="F17" i="5"/>
  <c r="F18" i="5"/>
  <c r="F20" i="5"/>
  <c r="F24" i="5"/>
  <c r="D24" i="5"/>
  <c r="G24" i="5"/>
  <c r="I24" i="5"/>
  <c r="J24" i="5"/>
  <c r="K24" i="5"/>
  <c r="L24" i="5"/>
  <c r="M24" i="5"/>
  <c r="N24" i="5"/>
  <c r="O24" i="5"/>
  <c r="AC24" i="5"/>
  <c r="F25" i="5"/>
  <c r="F26" i="5"/>
  <c r="F27" i="5"/>
  <c r="F28" i="5"/>
  <c r="F29" i="5"/>
  <c r="F30" i="5"/>
  <c r="F31" i="5"/>
  <c r="F36" i="5"/>
  <c r="F37" i="5"/>
  <c r="F41" i="5"/>
  <c r="F42" i="5"/>
  <c r="D42" i="5"/>
  <c r="G42" i="5"/>
  <c r="I42" i="5"/>
  <c r="J42" i="5"/>
  <c r="K42" i="5"/>
  <c r="L42" i="5"/>
  <c r="M42" i="5"/>
  <c r="N42" i="5"/>
  <c r="O42" i="5"/>
  <c r="AC42" i="5"/>
  <c r="F43" i="5"/>
  <c r="F44" i="5"/>
  <c r="F51" i="5"/>
  <c r="D51" i="5"/>
  <c r="G51" i="5"/>
  <c r="I51" i="5"/>
  <c r="J51" i="5"/>
  <c r="K51" i="5"/>
  <c r="L51" i="5"/>
  <c r="M51" i="5"/>
  <c r="N51" i="5"/>
  <c r="O51" i="5"/>
  <c r="F52" i="5"/>
  <c r="F56" i="5"/>
  <c r="F57" i="5"/>
  <c r="F59" i="5"/>
  <c r="F64" i="5"/>
  <c r="F68" i="5"/>
  <c r="F72" i="5"/>
  <c r="F74" i="5"/>
  <c r="F75" i="5"/>
  <c r="D75" i="5"/>
  <c r="G75" i="5"/>
  <c r="I75" i="5"/>
  <c r="J75" i="5"/>
  <c r="K75" i="5"/>
  <c r="L75" i="5"/>
  <c r="M75" i="5"/>
  <c r="N75" i="5"/>
  <c r="O75" i="5"/>
  <c r="AC75" i="5"/>
  <c r="F77" i="5"/>
  <c r="F79" i="5"/>
  <c r="F81" i="5"/>
  <c r="F82" i="5"/>
  <c r="F83" i="5"/>
  <c r="F84" i="5"/>
  <c r="F86" i="5"/>
  <c r="D86" i="5"/>
  <c r="G86" i="5"/>
  <c r="I86" i="5"/>
  <c r="J86" i="5"/>
  <c r="K86" i="5"/>
  <c r="L86" i="5"/>
  <c r="M86" i="5"/>
  <c r="N86" i="5"/>
  <c r="O86" i="5"/>
  <c r="AC86" i="5"/>
  <c r="F87" i="5"/>
  <c r="D87" i="5"/>
  <c r="G87" i="5"/>
  <c r="I87" i="5"/>
  <c r="J87" i="5"/>
  <c r="K87" i="5"/>
  <c r="L87" i="5"/>
  <c r="M87" i="5"/>
  <c r="N87" i="5"/>
  <c r="O87" i="5"/>
  <c r="AC87" i="5"/>
  <c r="F88" i="5"/>
  <c r="F91" i="5"/>
  <c r="F92" i="5"/>
  <c r="F94" i="5"/>
  <c r="F96" i="5"/>
  <c r="F97" i="5"/>
  <c r="F98" i="5"/>
  <c r="F99" i="5"/>
  <c r="F101" i="5"/>
  <c r="D101" i="5"/>
  <c r="G101" i="5"/>
  <c r="I101" i="5"/>
  <c r="J101" i="5"/>
  <c r="K101" i="5"/>
  <c r="L101" i="5"/>
  <c r="M101" i="5"/>
  <c r="N101" i="5"/>
  <c r="O101" i="5"/>
  <c r="AC101" i="5"/>
  <c r="F104" i="5"/>
  <c r="F105" i="5"/>
  <c r="F107" i="5"/>
  <c r="F109" i="5"/>
  <c r="D109" i="5"/>
  <c r="G109" i="5"/>
  <c r="I109" i="5"/>
  <c r="J109" i="5"/>
  <c r="K109" i="5"/>
  <c r="L109" i="5"/>
  <c r="M109" i="5"/>
  <c r="N109" i="5"/>
  <c r="O109" i="5"/>
  <c r="AC109" i="5"/>
  <c r="F110" i="5"/>
  <c r="F111" i="5"/>
  <c r="F112" i="5"/>
  <c r="F113" i="5"/>
  <c r="F114" i="5"/>
  <c r="D114" i="5"/>
  <c r="G114" i="5"/>
  <c r="I114" i="5"/>
  <c r="J114" i="5"/>
  <c r="K114" i="5"/>
  <c r="L114" i="5"/>
  <c r="M114" i="5"/>
  <c r="N114" i="5"/>
  <c r="O114" i="5"/>
  <c r="AC114" i="5"/>
  <c r="F118" i="5"/>
  <c r="F121" i="5"/>
  <c r="F122" i="5"/>
  <c r="D122" i="5"/>
  <c r="G122" i="5"/>
  <c r="I122" i="5"/>
  <c r="J122" i="5"/>
  <c r="K122" i="5"/>
  <c r="L122" i="5"/>
  <c r="M122" i="5"/>
  <c r="N122" i="5"/>
  <c r="O122" i="5"/>
  <c r="AC122" i="5"/>
  <c r="F123" i="5"/>
  <c r="F124" i="5"/>
  <c r="F127" i="5"/>
  <c r="D127" i="5"/>
  <c r="G127" i="5"/>
  <c r="I127" i="5"/>
  <c r="J127" i="5"/>
  <c r="K127" i="5"/>
  <c r="L127" i="5"/>
  <c r="M127" i="5"/>
  <c r="N127" i="5"/>
  <c r="O127" i="5"/>
  <c r="AC127" i="5"/>
  <c r="F128" i="5"/>
  <c r="F129" i="5"/>
  <c r="F130" i="5"/>
  <c r="D105" i="5"/>
  <c r="G105" i="5"/>
  <c r="I105" i="5"/>
  <c r="J105" i="5"/>
  <c r="K105" i="5"/>
  <c r="L105" i="5"/>
  <c r="M105" i="5"/>
  <c r="N105" i="5"/>
  <c r="O105" i="5"/>
  <c r="G2" i="5"/>
  <c r="G4" i="5"/>
  <c r="G5" i="5"/>
  <c r="G10" i="5"/>
  <c r="G12" i="5"/>
  <c r="G15" i="5"/>
  <c r="G17" i="5"/>
  <c r="G18" i="5"/>
  <c r="G20" i="5"/>
  <c r="G25" i="5"/>
  <c r="G26" i="5"/>
  <c r="G27" i="5"/>
  <c r="G28" i="5"/>
  <c r="G29" i="5"/>
  <c r="G30" i="5"/>
  <c r="G31" i="5"/>
  <c r="G36" i="5"/>
  <c r="G37" i="5"/>
  <c r="G41" i="5"/>
  <c r="G43" i="5"/>
  <c r="G44" i="5"/>
  <c r="G52" i="5"/>
  <c r="G56" i="5"/>
  <c r="G57" i="5"/>
  <c r="G59" i="5"/>
  <c r="G64" i="5"/>
  <c r="G68" i="5"/>
  <c r="G72" i="5"/>
  <c r="G74" i="5"/>
  <c r="G77" i="5"/>
  <c r="G79" i="5"/>
  <c r="G81" i="5"/>
  <c r="G82" i="5"/>
  <c r="G83" i="5"/>
  <c r="G84" i="5"/>
  <c r="G88" i="5"/>
  <c r="G91" i="5"/>
  <c r="G92" i="5"/>
  <c r="G94" i="5"/>
  <c r="G96" i="5"/>
  <c r="G97" i="5"/>
  <c r="G98" i="5"/>
  <c r="G99" i="5"/>
  <c r="G104" i="5"/>
  <c r="G107" i="5"/>
  <c r="G110" i="5"/>
  <c r="G111" i="5"/>
  <c r="G112" i="5"/>
  <c r="G113" i="5"/>
  <c r="G118" i="5"/>
  <c r="G121" i="5"/>
  <c r="G123" i="5"/>
  <c r="G124" i="5"/>
  <c r="G128" i="5"/>
  <c r="G129" i="5"/>
  <c r="G130" i="5"/>
  <c r="G131" i="5"/>
  <c r="D28" i="5"/>
  <c r="I28" i="5"/>
  <c r="J28" i="5"/>
  <c r="K28" i="5"/>
  <c r="L28" i="5"/>
  <c r="M28" i="5"/>
  <c r="N28" i="5"/>
  <c r="O28" i="5"/>
  <c r="AC28" i="5"/>
  <c r="D36" i="5"/>
  <c r="I36" i="5"/>
  <c r="J36" i="5"/>
  <c r="K36" i="5"/>
  <c r="L36" i="5"/>
  <c r="M36" i="5"/>
  <c r="N36" i="5"/>
  <c r="O36" i="5"/>
  <c r="D98" i="5"/>
  <c r="I98" i="5"/>
  <c r="J98" i="5"/>
  <c r="K98" i="5"/>
  <c r="L98" i="5"/>
  <c r="M98" i="5"/>
  <c r="N98" i="5"/>
  <c r="O98" i="5"/>
  <c r="AC98" i="5"/>
  <c r="D113" i="5"/>
  <c r="I113" i="5"/>
  <c r="J113" i="5"/>
  <c r="K113" i="5"/>
  <c r="L113" i="5"/>
  <c r="M113" i="5"/>
  <c r="N113" i="5"/>
  <c r="O113" i="5"/>
  <c r="AC113" i="5"/>
  <c r="D129" i="5"/>
  <c r="I129" i="5"/>
  <c r="J129" i="5"/>
  <c r="K129" i="5"/>
  <c r="L129" i="5"/>
  <c r="M129" i="5"/>
  <c r="N129" i="5"/>
  <c r="O129" i="5"/>
  <c r="D30" i="5"/>
  <c r="I30" i="5"/>
  <c r="J30" i="5"/>
  <c r="K30" i="5"/>
  <c r="L30" i="5"/>
  <c r="M30" i="5"/>
  <c r="N30" i="5"/>
  <c r="O30" i="5"/>
  <c r="I2" i="5"/>
  <c r="I4" i="5"/>
  <c r="I5" i="5"/>
  <c r="I10" i="5"/>
  <c r="I12" i="5"/>
  <c r="I15" i="5"/>
  <c r="I17" i="5"/>
  <c r="I18" i="5"/>
  <c r="I20" i="5"/>
  <c r="I25" i="5"/>
  <c r="I26" i="5"/>
  <c r="I27" i="5"/>
  <c r="I29" i="5"/>
  <c r="I31" i="5"/>
  <c r="I37" i="5"/>
  <c r="I41" i="5"/>
  <c r="I43" i="5"/>
  <c r="I44" i="5"/>
  <c r="I52" i="5"/>
  <c r="I56" i="5"/>
  <c r="I57" i="5"/>
  <c r="I59" i="5"/>
  <c r="I64" i="5"/>
  <c r="I68" i="5"/>
  <c r="I72" i="5"/>
  <c r="I74" i="5"/>
  <c r="I77" i="5"/>
  <c r="I79" i="5"/>
  <c r="I81" i="5"/>
  <c r="I82" i="5"/>
  <c r="I83" i="5"/>
  <c r="I84" i="5"/>
  <c r="I88" i="5"/>
  <c r="I91" i="5"/>
  <c r="I92" i="5"/>
  <c r="I94" i="5"/>
  <c r="I96" i="5"/>
  <c r="I97" i="5"/>
  <c r="I99" i="5"/>
  <c r="I104" i="5"/>
  <c r="I107" i="5"/>
  <c r="I110" i="5"/>
  <c r="I111" i="5"/>
  <c r="I112" i="5"/>
  <c r="I118" i="5"/>
  <c r="I121" i="5"/>
  <c r="I123" i="5"/>
  <c r="I124" i="5"/>
  <c r="I128" i="5"/>
  <c r="I130" i="5"/>
  <c r="I131" i="5"/>
  <c r="J2" i="5"/>
  <c r="J4" i="5"/>
  <c r="J5" i="5"/>
  <c r="J10" i="5"/>
  <c r="J12" i="5"/>
  <c r="J15" i="5"/>
  <c r="J17" i="5"/>
  <c r="J18" i="5"/>
  <c r="J20" i="5"/>
  <c r="J25" i="5"/>
  <c r="J26" i="5"/>
  <c r="J27" i="5"/>
  <c r="J29" i="5"/>
  <c r="J31" i="5"/>
  <c r="J37" i="5"/>
  <c r="J41" i="5"/>
  <c r="J43" i="5"/>
  <c r="J44" i="5"/>
  <c r="J52" i="5"/>
  <c r="J56" i="5"/>
  <c r="J57" i="5"/>
  <c r="D57" i="5"/>
  <c r="K57" i="5"/>
  <c r="L57" i="5"/>
  <c r="M57" i="5"/>
  <c r="N57" i="5"/>
  <c r="O57" i="5"/>
  <c r="AC57" i="5"/>
  <c r="J59" i="5"/>
  <c r="J64" i="5"/>
  <c r="J68" i="5"/>
  <c r="J72" i="5"/>
  <c r="J74" i="5"/>
  <c r="J77" i="5"/>
  <c r="J79" i="5"/>
  <c r="J81" i="5"/>
  <c r="J82" i="5"/>
  <c r="J83" i="5"/>
  <c r="J84" i="5"/>
  <c r="J88" i="5"/>
  <c r="J91" i="5"/>
  <c r="J92" i="5"/>
  <c r="J94" i="5"/>
  <c r="J96" i="5"/>
  <c r="J97" i="5"/>
  <c r="J99" i="5"/>
  <c r="J104" i="5"/>
  <c r="J107" i="5"/>
  <c r="J110" i="5"/>
  <c r="J111" i="5"/>
  <c r="J112" i="5"/>
  <c r="J118" i="5"/>
  <c r="J121" i="5"/>
  <c r="J123" i="5"/>
  <c r="J124" i="5"/>
  <c r="J128" i="5"/>
  <c r="J130" i="5"/>
  <c r="K2" i="5"/>
  <c r="K4" i="5"/>
  <c r="K5" i="5"/>
  <c r="K10" i="5"/>
  <c r="K12" i="5"/>
  <c r="K15" i="5"/>
  <c r="K17" i="5"/>
  <c r="K18" i="5"/>
  <c r="K20" i="5"/>
  <c r="K25" i="5"/>
  <c r="K26" i="5"/>
  <c r="K27" i="5"/>
  <c r="K29" i="5"/>
  <c r="K31" i="5"/>
  <c r="K37" i="5"/>
  <c r="K41" i="5"/>
  <c r="K43" i="5"/>
  <c r="K44" i="5"/>
  <c r="K52" i="5"/>
  <c r="K56" i="5"/>
  <c r="K59" i="5"/>
  <c r="K64" i="5"/>
  <c r="K68" i="5"/>
  <c r="K72" i="5"/>
  <c r="K74" i="5"/>
  <c r="K77" i="5"/>
  <c r="D77" i="5"/>
  <c r="L77" i="5"/>
  <c r="M77" i="5"/>
  <c r="N77" i="5"/>
  <c r="O77" i="5"/>
  <c r="K79" i="5"/>
  <c r="K81" i="5"/>
  <c r="D81" i="5"/>
  <c r="L81" i="5"/>
  <c r="M81" i="5"/>
  <c r="N81" i="5"/>
  <c r="O81" i="5"/>
  <c r="AC81" i="5"/>
  <c r="K82" i="5"/>
  <c r="K83" i="5"/>
  <c r="K84" i="5"/>
  <c r="K88" i="5"/>
  <c r="K91" i="5"/>
  <c r="K92" i="5"/>
  <c r="D92" i="5"/>
  <c r="L92" i="5"/>
  <c r="M92" i="5"/>
  <c r="N92" i="5"/>
  <c r="O92" i="5"/>
  <c r="K94" i="5"/>
  <c r="K96" i="5"/>
  <c r="K97" i="5"/>
  <c r="K99" i="5"/>
  <c r="D99" i="5"/>
  <c r="L99" i="5"/>
  <c r="M99" i="5"/>
  <c r="N99" i="5"/>
  <c r="O99" i="5"/>
  <c r="K104" i="5"/>
  <c r="K107" i="5"/>
  <c r="K110" i="5"/>
  <c r="K111" i="5"/>
  <c r="K112" i="5"/>
  <c r="D112" i="5"/>
  <c r="L112" i="5"/>
  <c r="M112" i="5"/>
  <c r="N112" i="5"/>
  <c r="O112" i="5"/>
  <c r="K118" i="5"/>
  <c r="K121" i="5"/>
  <c r="K123" i="5"/>
  <c r="K124" i="5"/>
  <c r="K128" i="5"/>
  <c r="K130" i="5"/>
  <c r="L2" i="5"/>
  <c r="L4" i="5"/>
  <c r="L5" i="5"/>
  <c r="L10" i="5"/>
  <c r="L12" i="5"/>
  <c r="L15" i="5"/>
  <c r="L17" i="5"/>
  <c r="L18" i="5"/>
  <c r="L20" i="5"/>
  <c r="L25" i="5"/>
  <c r="L26" i="5"/>
  <c r="L27" i="5"/>
  <c r="L29" i="5"/>
  <c r="L31" i="5"/>
  <c r="L37" i="5"/>
  <c r="L41" i="5"/>
  <c r="L43" i="5"/>
  <c r="L44" i="5"/>
  <c r="L52" i="5"/>
  <c r="L56" i="5"/>
  <c r="L59" i="5"/>
  <c r="L64" i="5"/>
  <c r="L68" i="5"/>
  <c r="L72" i="5"/>
  <c r="L74" i="5"/>
  <c r="L79" i="5"/>
  <c r="L82" i="5"/>
  <c r="L83" i="5"/>
  <c r="L84" i="5"/>
  <c r="L88" i="5"/>
  <c r="L91" i="5"/>
  <c r="L94" i="5"/>
  <c r="L96" i="5"/>
  <c r="L97" i="5"/>
  <c r="L104" i="5"/>
  <c r="L107" i="5"/>
  <c r="L110" i="5"/>
  <c r="L111" i="5"/>
  <c r="L118" i="5"/>
  <c r="L121" i="5"/>
  <c r="L123" i="5"/>
  <c r="L124" i="5"/>
  <c r="L128" i="5"/>
  <c r="L130" i="5"/>
  <c r="L131" i="5"/>
  <c r="D97" i="5"/>
  <c r="M97" i="5"/>
  <c r="N97" i="5"/>
  <c r="O97" i="5"/>
  <c r="AC97" i="5"/>
  <c r="D107" i="5"/>
  <c r="M107" i="5"/>
  <c r="N107" i="5"/>
  <c r="O107" i="5"/>
  <c r="AC107" i="5"/>
  <c r="M2" i="5"/>
  <c r="M4" i="5"/>
  <c r="M5" i="5"/>
  <c r="M10" i="5"/>
  <c r="M12" i="5"/>
  <c r="M15" i="5"/>
  <c r="M17" i="5"/>
  <c r="M18" i="5"/>
  <c r="M20" i="5"/>
  <c r="M25" i="5"/>
  <c r="M26" i="5"/>
  <c r="M27" i="5"/>
  <c r="M29" i="5"/>
  <c r="M31" i="5"/>
  <c r="M37" i="5"/>
  <c r="M41" i="5"/>
  <c r="M43" i="5"/>
  <c r="M44" i="5"/>
  <c r="M52" i="5"/>
  <c r="M56" i="5"/>
  <c r="M59" i="5"/>
  <c r="M64" i="5"/>
  <c r="M68" i="5"/>
  <c r="M72" i="5"/>
  <c r="M74" i="5"/>
  <c r="M79" i="5"/>
  <c r="M82" i="5"/>
  <c r="M83" i="5"/>
  <c r="M84" i="5"/>
  <c r="M88" i="5"/>
  <c r="M91" i="5"/>
  <c r="M94" i="5"/>
  <c r="M96" i="5"/>
  <c r="M104" i="5"/>
  <c r="M110" i="5"/>
  <c r="M111" i="5"/>
  <c r="M118" i="5"/>
  <c r="M121" i="5"/>
  <c r="M123" i="5"/>
  <c r="M124" i="5"/>
  <c r="M128" i="5"/>
  <c r="M130" i="5"/>
  <c r="M131" i="5"/>
  <c r="N2" i="5"/>
  <c r="N4" i="5"/>
  <c r="N5" i="5"/>
  <c r="N10" i="5"/>
  <c r="N12" i="5"/>
  <c r="N15" i="5"/>
  <c r="N17" i="5"/>
  <c r="N18" i="5"/>
  <c r="N20" i="5"/>
  <c r="N25" i="5"/>
  <c r="N26" i="5"/>
  <c r="N27" i="5"/>
  <c r="N29" i="5"/>
  <c r="N31" i="5"/>
  <c r="N37" i="5"/>
  <c r="N41" i="5"/>
  <c r="N43" i="5"/>
  <c r="N44" i="5"/>
  <c r="N52" i="5"/>
  <c r="N56" i="5"/>
  <c r="N59" i="5"/>
  <c r="N64" i="5"/>
  <c r="N68" i="5"/>
  <c r="N72" i="5"/>
  <c r="N74" i="5"/>
  <c r="N79" i="5"/>
  <c r="N82" i="5"/>
  <c r="N83" i="5"/>
  <c r="N84" i="5"/>
  <c r="N88" i="5"/>
  <c r="N91" i="5"/>
  <c r="N94" i="5"/>
  <c r="N96" i="5"/>
  <c r="N104" i="5"/>
  <c r="N110" i="5"/>
  <c r="N111" i="5"/>
  <c r="N118" i="5"/>
  <c r="N121" i="5"/>
  <c r="N123" i="5"/>
  <c r="N124" i="5"/>
  <c r="N128" i="5"/>
  <c r="N130" i="5"/>
  <c r="N131" i="5"/>
  <c r="O2" i="5"/>
  <c r="O4" i="5"/>
  <c r="O5" i="5"/>
  <c r="O10" i="5"/>
  <c r="O12" i="5"/>
  <c r="O15" i="5"/>
  <c r="O17" i="5"/>
  <c r="O18" i="5"/>
  <c r="O20" i="5"/>
  <c r="O25" i="5"/>
  <c r="O26" i="5"/>
  <c r="O27" i="5"/>
  <c r="O29" i="5"/>
  <c r="O31" i="5"/>
  <c r="O37" i="5"/>
  <c r="O41" i="5"/>
  <c r="O43" i="5"/>
  <c r="O44" i="5"/>
  <c r="O52" i="5"/>
  <c r="O56" i="5"/>
  <c r="O59" i="5"/>
  <c r="O64" i="5"/>
  <c r="O68" i="5"/>
  <c r="O72" i="5"/>
  <c r="O74" i="5"/>
  <c r="O79" i="5"/>
  <c r="O82" i="5"/>
  <c r="O83" i="5"/>
  <c r="O84" i="5"/>
  <c r="O88" i="5"/>
  <c r="O91" i="5"/>
  <c r="O94" i="5"/>
  <c r="O96" i="5"/>
  <c r="D96" i="5"/>
  <c r="AC96" i="5"/>
  <c r="O104" i="5"/>
  <c r="O110" i="5"/>
  <c r="O111" i="5"/>
  <c r="O118" i="5"/>
  <c r="O121" i="5"/>
  <c r="O123" i="5"/>
  <c r="O124" i="5"/>
  <c r="D124" i="5"/>
  <c r="AC124" i="5"/>
  <c r="O128" i="5"/>
  <c r="O130" i="5"/>
  <c r="D18" i="5"/>
  <c r="AC18" i="5"/>
  <c r="D94" i="5"/>
  <c r="AC94" i="5"/>
  <c r="D104" i="5"/>
  <c r="AC104" i="5"/>
  <c r="D110" i="5"/>
  <c r="D128" i="5"/>
  <c r="AC128" i="5"/>
  <c r="D130" i="5"/>
  <c r="AC130" i="5"/>
  <c r="D2" i="5"/>
  <c r="AC2" i="5"/>
  <c r="D4" i="5"/>
  <c r="AC4" i="5"/>
  <c r="D25" i="5"/>
  <c r="D29" i="5"/>
  <c r="D31" i="5"/>
  <c r="D37" i="5"/>
  <c r="D52" i="5"/>
  <c r="D72" i="5"/>
  <c r="AC72" i="5"/>
  <c r="D74" i="5"/>
  <c r="AC74" i="5"/>
  <c r="D84" i="5"/>
  <c r="AC84" i="5"/>
  <c r="D5" i="5"/>
  <c r="AC5" i="5"/>
  <c r="D10" i="5"/>
  <c r="AC10" i="5"/>
  <c r="D12" i="5"/>
  <c r="AC12" i="5"/>
  <c r="D15" i="5"/>
  <c r="AC15" i="5"/>
  <c r="D17" i="5"/>
  <c r="AC17" i="5"/>
  <c r="D20" i="5"/>
  <c r="AC20" i="5"/>
  <c r="D26" i="5"/>
  <c r="AC26" i="5"/>
  <c r="D27" i="5"/>
  <c r="AC27" i="5"/>
  <c r="D41" i="5"/>
  <c r="D43" i="5"/>
  <c r="D44" i="5"/>
  <c r="D56" i="5"/>
  <c r="D59" i="5"/>
  <c r="AC59" i="5"/>
  <c r="D64" i="5"/>
  <c r="D68" i="5"/>
  <c r="D79" i="5"/>
  <c r="AC79" i="5"/>
  <c r="D82" i="5"/>
  <c r="D83" i="5"/>
  <c r="D88" i="5"/>
  <c r="D91" i="5"/>
  <c r="D111" i="5"/>
  <c r="AC111" i="5"/>
  <c r="D118" i="5"/>
  <c r="AC118" i="5"/>
  <c r="D121" i="5"/>
  <c r="D123" i="5"/>
  <c r="AC123" i="5"/>
  <c r="C130" i="9"/>
  <c r="C128" i="9"/>
  <c r="C121" i="9"/>
  <c r="C114" i="9"/>
  <c r="C105" i="9"/>
  <c r="C93" i="9"/>
  <c r="C92" i="9"/>
  <c r="C90" i="9"/>
  <c r="C89" i="9"/>
  <c r="C83" i="9"/>
  <c r="C81" i="9"/>
  <c r="C75" i="9"/>
  <c r="C71" i="9"/>
  <c r="C67" i="9"/>
  <c r="C65" i="9"/>
  <c r="C56" i="9"/>
  <c r="C50" i="9"/>
  <c r="C39" i="9"/>
  <c r="C29" i="9"/>
  <c r="C27" i="9"/>
  <c r="C25" i="9"/>
  <c r="C23" i="9"/>
  <c r="C21" i="9"/>
  <c r="C19" i="9"/>
  <c r="C16" i="9"/>
  <c r="C11" i="9"/>
  <c r="C8" i="9"/>
  <c r="C3" i="9"/>
  <c r="N571" i="1"/>
  <c r="M571" i="1"/>
  <c r="O570" i="1"/>
  <c r="N570" i="1"/>
  <c r="M570" i="1"/>
  <c r="O569" i="1"/>
  <c r="N569" i="1"/>
  <c r="M569" i="1"/>
  <c r="O568" i="1"/>
  <c r="N568" i="1"/>
  <c r="M568" i="1"/>
  <c r="O567" i="1"/>
  <c r="N567" i="1"/>
  <c r="M567" i="1"/>
  <c r="O566" i="1"/>
  <c r="N566" i="1"/>
  <c r="M566" i="1"/>
  <c r="O565" i="1"/>
  <c r="N565" i="1"/>
  <c r="M565" i="1"/>
  <c r="O564" i="1"/>
  <c r="N564" i="1"/>
  <c r="M564" i="1"/>
  <c r="O563" i="1"/>
  <c r="N563" i="1"/>
  <c r="M563" i="1"/>
  <c r="O562" i="1"/>
  <c r="N562" i="1"/>
  <c r="M562" i="1"/>
  <c r="O561" i="1"/>
  <c r="N561" i="1"/>
  <c r="M561" i="1"/>
  <c r="O560" i="1"/>
  <c r="N560" i="1"/>
  <c r="M560" i="1"/>
  <c r="O559" i="1"/>
  <c r="N559" i="1"/>
  <c r="M559" i="1"/>
  <c r="O558" i="1"/>
  <c r="N558" i="1"/>
  <c r="M558" i="1"/>
  <c r="O557" i="1"/>
  <c r="N557" i="1"/>
  <c r="M557" i="1"/>
  <c r="O556" i="1"/>
  <c r="N556" i="1"/>
  <c r="M556" i="1"/>
  <c r="O555" i="1"/>
  <c r="N555" i="1"/>
  <c r="M555" i="1"/>
  <c r="O554" i="1"/>
  <c r="N554" i="1"/>
  <c r="M554" i="1"/>
  <c r="O553" i="1"/>
  <c r="N553" i="1"/>
  <c r="M553" i="1"/>
  <c r="O552" i="1"/>
  <c r="N552" i="1"/>
  <c r="M552" i="1"/>
  <c r="O551" i="1"/>
  <c r="N551" i="1"/>
  <c r="M551" i="1"/>
  <c r="O550" i="1"/>
  <c r="N550" i="1"/>
  <c r="M550" i="1"/>
  <c r="O549" i="1"/>
  <c r="N549" i="1"/>
  <c r="M549" i="1"/>
  <c r="O548" i="1"/>
  <c r="N548" i="1"/>
  <c r="M548" i="1"/>
  <c r="O547" i="1"/>
  <c r="N547" i="1"/>
  <c r="M547" i="1"/>
  <c r="O546" i="1"/>
  <c r="N546" i="1"/>
  <c r="M546" i="1"/>
  <c r="O545" i="1"/>
  <c r="N545" i="1"/>
  <c r="M545" i="1"/>
  <c r="N544" i="1"/>
  <c r="M544" i="1"/>
  <c r="O543" i="1"/>
  <c r="N543" i="1"/>
  <c r="M543" i="1"/>
  <c r="O542" i="1"/>
  <c r="N542" i="1"/>
  <c r="M542" i="1"/>
  <c r="O541" i="1"/>
  <c r="N541" i="1"/>
  <c r="M541" i="1"/>
  <c r="O540" i="1"/>
  <c r="N540" i="1"/>
  <c r="M540" i="1"/>
  <c r="O539" i="1"/>
  <c r="N539" i="1"/>
  <c r="M539" i="1"/>
  <c r="O538" i="1"/>
  <c r="N538" i="1"/>
  <c r="M538" i="1"/>
  <c r="O537" i="1"/>
  <c r="N537" i="1"/>
  <c r="M537" i="1"/>
  <c r="O536" i="1"/>
  <c r="N536" i="1"/>
  <c r="M536" i="1"/>
  <c r="O535" i="1"/>
  <c r="N535" i="1"/>
  <c r="M535" i="1"/>
  <c r="O534" i="1"/>
  <c r="N534" i="1"/>
  <c r="M534" i="1"/>
  <c r="O533" i="1"/>
  <c r="N533" i="1"/>
  <c r="M533" i="1"/>
  <c r="O532" i="1"/>
  <c r="N532" i="1"/>
  <c r="M532" i="1"/>
  <c r="O531" i="1"/>
  <c r="N531" i="1"/>
  <c r="M531" i="1"/>
  <c r="O530" i="1"/>
  <c r="N530" i="1"/>
  <c r="M530" i="1"/>
  <c r="O529" i="1"/>
  <c r="N529" i="1"/>
  <c r="M529" i="1"/>
  <c r="O528" i="1"/>
  <c r="N528" i="1"/>
  <c r="M528" i="1"/>
  <c r="O527" i="1"/>
  <c r="N527" i="1"/>
  <c r="M527" i="1"/>
  <c r="O526" i="1"/>
  <c r="N526" i="1"/>
  <c r="M526" i="1"/>
  <c r="O525" i="1"/>
  <c r="N525" i="1"/>
  <c r="M525" i="1"/>
  <c r="O524" i="1"/>
  <c r="N524" i="1"/>
  <c r="M524" i="1"/>
  <c r="O523" i="1"/>
  <c r="N523" i="1"/>
  <c r="M523" i="1"/>
  <c r="O522" i="1"/>
  <c r="N522" i="1"/>
  <c r="M522" i="1"/>
  <c r="O521" i="1"/>
  <c r="N521" i="1"/>
  <c r="M521" i="1"/>
  <c r="O520" i="1"/>
  <c r="N520" i="1"/>
  <c r="M520" i="1"/>
  <c r="O519" i="1"/>
  <c r="N519" i="1"/>
  <c r="M519" i="1"/>
  <c r="O518" i="1"/>
  <c r="N518" i="1"/>
  <c r="M518" i="1"/>
  <c r="O517" i="1"/>
  <c r="N517" i="1"/>
  <c r="M517" i="1"/>
  <c r="O516" i="1"/>
  <c r="N516" i="1"/>
  <c r="M516" i="1"/>
  <c r="O515" i="1"/>
  <c r="N515" i="1"/>
  <c r="M515" i="1"/>
  <c r="O514" i="1"/>
  <c r="N514" i="1"/>
  <c r="M514" i="1"/>
  <c r="O513" i="1"/>
  <c r="N513" i="1"/>
  <c r="M513" i="1"/>
  <c r="O512" i="1"/>
  <c r="N512" i="1"/>
  <c r="M512" i="1"/>
  <c r="O511" i="1"/>
  <c r="N511" i="1"/>
  <c r="M511" i="1"/>
  <c r="O510" i="1"/>
  <c r="N510" i="1"/>
  <c r="M510" i="1"/>
  <c r="O509" i="1"/>
  <c r="N509" i="1"/>
  <c r="M509" i="1"/>
  <c r="O508" i="1"/>
  <c r="N508" i="1"/>
  <c r="M508" i="1"/>
  <c r="O507" i="1"/>
  <c r="N507" i="1"/>
  <c r="M507" i="1"/>
  <c r="O506" i="1"/>
  <c r="N506" i="1"/>
  <c r="M506" i="1"/>
  <c r="O505" i="1"/>
  <c r="N505" i="1"/>
  <c r="M505" i="1"/>
  <c r="O504" i="1"/>
  <c r="N504" i="1"/>
  <c r="M504" i="1"/>
  <c r="O503" i="1"/>
  <c r="N503" i="1"/>
  <c r="M503" i="1"/>
  <c r="O502" i="1"/>
  <c r="N502" i="1"/>
  <c r="M502" i="1"/>
  <c r="O501" i="1"/>
  <c r="N501" i="1"/>
  <c r="M501" i="1"/>
  <c r="O500" i="1"/>
  <c r="N500" i="1"/>
  <c r="M500" i="1"/>
  <c r="O499" i="1"/>
  <c r="N499" i="1"/>
  <c r="M499" i="1"/>
  <c r="O498" i="1"/>
  <c r="N498" i="1"/>
  <c r="M498" i="1"/>
  <c r="O497" i="1"/>
  <c r="N497" i="1"/>
  <c r="M497" i="1"/>
  <c r="O496" i="1"/>
  <c r="N496" i="1"/>
  <c r="M496" i="1"/>
  <c r="O495" i="1"/>
  <c r="N495" i="1"/>
  <c r="M495" i="1"/>
  <c r="O494" i="1"/>
  <c r="N494" i="1"/>
  <c r="M494" i="1"/>
  <c r="O493" i="1"/>
  <c r="N493" i="1"/>
  <c r="M493" i="1"/>
  <c r="O492" i="1"/>
  <c r="N492" i="1"/>
  <c r="M492" i="1"/>
  <c r="O491" i="1"/>
  <c r="N491" i="1"/>
  <c r="M491" i="1"/>
  <c r="O490" i="1"/>
  <c r="N490" i="1"/>
  <c r="M490" i="1"/>
  <c r="O489" i="1"/>
  <c r="N489" i="1"/>
  <c r="M489" i="1"/>
  <c r="O488" i="1"/>
  <c r="N488" i="1"/>
  <c r="M488" i="1"/>
  <c r="O487" i="1"/>
  <c r="N487" i="1"/>
  <c r="M487" i="1"/>
  <c r="O486" i="1"/>
  <c r="N486" i="1"/>
  <c r="M486" i="1"/>
  <c r="O485" i="1"/>
  <c r="N485" i="1"/>
  <c r="M485" i="1"/>
  <c r="O484" i="1"/>
  <c r="N484" i="1"/>
  <c r="M484" i="1"/>
  <c r="O483" i="1"/>
  <c r="N483" i="1"/>
  <c r="M483" i="1"/>
  <c r="O482" i="1"/>
  <c r="N482" i="1"/>
  <c r="M482" i="1"/>
  <c r="O481" i="1"/>
  <c r="N481" i="1"/>
  <c r="M481" i="1"/>
  <c r="O480" i="1"/>
  <c r="N480" i="1"/>
  <c r="M480" i="1"/>
  <c r="O479" i="1"/>
  <c r="N479" i="1"/>
  <c r="M479" i="1"/>
  <c r="O478" i="1"/>
  <c r="N478" i="1"/>
  <c r="M478" i="1"/>
  <c r="O477" i="1"/>
  <c r="N477" i="1"/>
  <c r="M477" i="1"/>
  <c r="O476" i="1"/>
  <c r="N476" i="1"/>
  <c r="M476" i="1"/>
  <c r="O475" i="1"/>
  <c r="N475" i="1"/>
  <c r="M475" i="1"/>
  <c r="O474" i="1"/>
  <c r="N474" i="1"/>
  <c r="M474" i="1"/>
  <c r="O473" i="1"/>
  <c r="N473" i="1"/>
  <c r="M473" i="1"/>
  <c r="O472" i="1"/>
  <c r="N472" i="1"/>
  <c r="M472" i="1"/>
  <c r="O471" i="1"/>
  <c r="N471" i="1"/>
  <c r="M471" i="1"/>
  <c r="O470" i="1"/>
  <c r="N470" i="1"/>
  <c r="M470" i="1"/>
  <c r="O469" i="1"/>
  <c r="N469" i="1"/>
  <c r="M469" i="1"/>
  <c r="O468" i="1"/>
  <c r="N468" i="1"/>
  <c r="M468" i="1"/>
  <c r="O467" i="1"/>
  <c r="N467" i="1"/>
  <c r="M467" i="1"/>
  <c r="O466" i="1"/>
  <c r="N466" i="1"/>
  <c r="M466" i="1"/>
  <c r="O465" i="1"/>
  <c r="N465" i="1"/>
  <c r="M465" i="1"/>
  <c r="O464" i="1"/>
  <c r="N464" i="1"/>
  <c r="M464" i="1"/>
  <c r="O463" i="1"/>
  <c r="N463" i="1"/>
  <c r="M463" i="1"/>
  <c r="O462" i="1"/>
  <c r="N462" i="1"/>
  <c r="M462" i="1"/>
  <c r="O461" i="1"/>
  <c r="N461" i="1"/>
  <c r="M461" i="1"/>
  <c r="O460" i="1"/>
  <c r="N460" i="1"/>
  <c r="M460" i="1"/>
  <c r="O459" i="1"/>
  <c r="N459" i="1"/>
  <c r="M459" i="1"/>
  <c r="O458" i="1"/>
  <c r="N458" i="1"/>
  <c r="M458" i="1"/>
  <c r="O457" i="1"/>
  <c r="N457" i="1"/>
  <c r="M457" i="1"/>
  <c r="O456" i="1"/>
  <c r="N456" i="1"/>
  <c r="M456" i="1"/>
  <c r="O455" i="1"/>
  <c r="N455" i="1"/>
  <c r="M455" i="1"/>
  <c r="O454" i="1"/>
  <c r="N454" i="1"/>
  <c r="M454" i="1"/>
  <c r="O453" i="1"/>
  <c r="N453" i="1"/>
  <c r="M453" i="1"/>
  <c r="O452" i="1"/>
  <c r="N452" i="1"/>
  <c r="M452" i="1"/>
  <c r="O451" i="1"/>
  <c r="N451" i="1"/>
  <c r="M451" i="1"/>
  <c r="O450" i="1"/>
  <c r="N450" i="1"/>
  <c r="M450" i="1"/>
  <c r="O449" i="1"/>
  <c r="N449" i="1"/>
  <c r="M449" i="1"/>
  <c r="O448" i="1"/>
  <c r="N448" i="1"/>
  <c r="M448" i="1"/>
  <c r="O447" i="1"/>
  <c r="N447" i="1"/>
  <c r="M447" i="1"/>
  <c r="O446" i="1"/>
  <c r="N446" i="1"/>
  <c r="M446" i="1"/>
  <c r="O445" i="1"/>
  <c r="N445" i="1"/>
  <c r="M445" i="1"/>
  <c r="O444" i="1"/>
  <c r="N444" i="1"/>
  <c r="M444" i="1"/>
  <c r="O443" i="1"/>
  <c r="N443" i="1"/>
  <c r="M443" i="1"/>
  <c r="O442" i="1"/>
  <c r="N442" i="1"/>
  <c r="M442" i="1"/>
  <c r="O441" i="1"/>
  <c r="N441" i="1"/>
  <c r="M441" i="1"/>
  <c r="O440" i="1"/>
  <c r="N440" i="1"/>
  <c r="M440" i="1"/>
  <c r="O439" i="1"/>
  <c r="N439" i="1"/>
  <c r="M439" i="1"/>
  <c r="O438" i="1"/>
  <c r="N438" i="1"/>
  <c r="M438" i="1"/>
  <c r="O437" i="1"/>
  <c r="N437" i="1"/>
  <c r="M437" i="1"/>
  <c r="O436" i="1"/>
  <c r="N436" i="1"/>
  <c r="M436" i="1"/>
  <c r="O435" i="1"/>
  <c r="N435" i="1"/>
  <c r="M435" i="1"/>
  <c r="O434" i="1"/>
  <c r="N434" i="1"/>
  <c r="M434" i="1"/>
  <c r="O433" i="1"/>
  <c r="N433" i="1"/>
  <c r="M433" i="1"/>
  <c r="O432" i="1"/>
  <c r="N432" i="1"/>
  <c r="M432" i="1"/>
  <c r="O431" i="1"/>
  <c r="N431" i="1"/>
  <c r="M431" i="1"/>
  <c r="O430" i="1"/>
  <c r="N430" i="1"/>
  <c r="M430" i="1"/>
  <c r="O429" i="1"/>
  <c r="N429" i="1"/>
  <c r="M429" i="1"/>
  <c r="O428" i="1"/>
  <c r="N428" i="1"/>
  <c r="M428" i="1"/>
  <c r="O427" i="1"/>
  <c r="N427" i="1"/>
  <c r="M427" i="1"/>
  <c r="O426" i="1"/>
  <c r="N426" i="1"/>
  <c r="M426" i="1"/>
  <c r="O425" i="1"/>
  <c r="N425" i="1"/>
  <c r="M425" i="1"/>
  <c r="O424" i="1"/>
  <c r="N424" i="1"/>
  <c r="M424" i="1"/>
  <c r="O423" i="1"/>
  <c r="N423" i="1"/>
  <c r="M423" i="1"/>
  <c r="O422" i="1"/>
  <c r="N422" i="1"/>
  <c r="M422" i="1"/>
  <c r="O421" i="1"/>
  <c r="N421" i="1"/>
  <c r="M421" i="1"/>
  <c r="O420" i="1"/>
  <c r="N420" i="1"/>
  <c r="M420" i="1"/>
  <c r="O419" i="1"/>
  <c r="N419" i="1"/>
  <c r="M419" i="1"/>
  <c r="O418" i="1"/>
  <c r="N418" i="1"/>
  <c r="M418" i="1"/>
  <c r="O417" i="1"/>
  <c r="N417" i="1"/>
  <c r="M417" i="1"/>
  <c r="O416" i="1"/>
  <c r="N416" i="1"/>
  <c r="M416" i="1"/>
  <c r="O415" i="1"/>
  <c r="N415" i="1"/>
  <c r="M415" i="1"/>
  <c r="O414" i="1"/>
  <c r="N414" i="1"/>
  <c r="M414" i="1"/>
  <c r="O413" i="1"/>
  <c r="N413" i="1"/>
  <c r="M413" i="1"/>
  <c r="N412" i="1"/>
  <c r="M412" i="1"/>
  <c r="O412" i="1"/>
  <c r="O411" i="1"/>
  <c r="N411" i="1"/>
  <c r="M411" i="1"/>
  <c r="O410" i="1"/>
  <c r="N410" i="1"/>
  <c r="M410" i="1"/>
  <c r="O409" i="1"/>
  <c r="N409" i="1"/>
  <c r="M409" i="1"/>
  <c r="O408" i="1"/>
  <c r="N408" i="1"/>
  <c r="M408" i="1"/>
  <c r="O407" i="1"/>
  <c r="N407" i="1"/>
  <c r="M407" i="1"/>
  <c r="N406" i="1"/>
  <c r="M406" i="1"/>
  <c r="O406" i="1"/>
  <c r="M405" i="1"/>
  <c r="N405" i="1"/>
  <c r="N404" i="1"/>
  <c r="M404" i="1"/>
  <c r="O404" i="1"/>
  <c r="O403" i="1"/>
  <c r="N403" i="1"/>
  <c r="M403" i="1"/>
  <c r="O402" i="1"/>
  <c r="N402" i="1"/>
  <c r="M402" i="1"/>
  <c r="O401" i="1"/>
  <c r="N401" i="1"/>
  <c r="M401" i="1"/>
  <c r="O400" i="1"/>
  <c r="N400" i="1"/>
  <c r="M400" i="1"/>
  <c r="O399" i="1"/>
  <c r="N399" i="1"/>
  <c r="M399" i="1"/>
  <c r="O398" i="1"/>
  <c r="N398" i="1"/>
  <c r="M398" i="1"/>
  <c r="O397" i="1"/>
  <c r="N397" i="1"/>
  <c r="M397" i="1"/>
  <c r="O396" i="1"/>
  <c r="N396" i="1"/>
  <c r="M396" i="1"/>
  <c r="O395" i="1"/>
  <c r="N395" i="1"/>
  <c r="M395" i="1"/>
  <c r="O394" i="1"/>
  <c r="N394" i="1"/>
  <c r="M394" i="1"/>
  <c r="O393" i="1"/>
  <c r="N393" i="1"/>
  <c r="M393" i="1"/>
  <c r="O392" i="1"/>
  <c r="N392" i="1"/>
  <c r="M392" i="1"/>
  <c r="O391" i="1"/>
  <c r="N391" i="1"/>
  <c r="M391" i="1"/>
  <c r="O390" i="1"/>
  <c r="N390" i="1"/>
  <c r="M390" i="1"/>
  <c r="O389" i="1"/>
  <c r="N389" i="1"/>
  <c r="M389" i="1"/>
  <c r="O388" i="1"/>
  <c r="N388" i="1"/>
  <c r="M388" i="1"/>
  <c r="O387" i="1"/>
  <c r="N387" i="1"/>
  <c r="M387" i="1"/>
  <c r="N386" i="1"/>
  <c r="M386" i="1"/>
  <c r="O386" i="1"/>
  <c r="O385" i="1"/>
  <c r="N385" i="1"/>
  <c r="M385" i="1"/>
  <c r="O384" i="1"/>
  <c r="N384" i="1"/>
  <c r="M384" i="1"/>
  <c r="O383" i="1"/>
  <c r="N383" i="1"/>
  <c r="M383" i="1"/>
  <c r="O382" i="1"/>
  <c r="N382" i="1"/>
  <c r="M382" i="1"/>
  <c r="O381" i="1"/>
  <c r="N381" i="1"/>
  <c r="M381" i="1"/>
  <c r="O380" i="1"/>
  <c r="N380" i="1"/>
  <c r="M380" i="1"/>
  <c r="O379" i="1"/>
  <c r="N379" i="1"/>
  <c r="M379" i="1"/>
  <c r="O378" i="1"/>
  <c r="N378" i="1"/>
  <c r="M378" i="1"/>
  <c r="N377" i="1"/>
  <c r="M377" i="1"/>
  <c r="O377" i="1"/>
  <c r="O376" i="1"/>
  <c r="N376" i="1"/>
  <c r="M376" i="1"/>
  <c r="O375" i="1"/>
  <c r="N375" i="1"/>
  <c r="M375" i="1"/>
  <c r="O374" i="1"/>
  <c r="N374" i="1"/>
  <c r="M374" i="1"/>
  <c r="N373" i="1"/>
  <c r="M373" i="1"/>
  <c r="O373" i="1"/>
  <c r="O372" i="1"/>
  <c r="N372" i="1"/>
  <c r="M372" i="1"/>
  <c r="O371" i="1"/>
  <c r="N371" i="1"/>
  <c r="M371" i="1"/>
  <c r="O370" i="1"/>
  <c r="N370" i="1"/>
  <c r="M370" i="1"/>
  <c r="O369" i="1"/>
  <c r="N369" i="1"/>
  <c r="M369" i="1"/>
  <c r="O368" i="1"/>
  <c r="N368" i="1"/>
  <c r="M368" i="1"/>
  <c r="N367" i="1"/>
  <c r="M367" i="1"/>
  <c r="O367" i="1"/>
  <c r="O366" i="1"/>
  <c r="N366" i="1"/>
  <c r="M366" i="1"/>
  <c r="O365" i="1"/>
  <c r="N365" i="1"/>
  <c r="M365" i="1"/>
  <c r="O364" i="1"/>
  <c r="N364" i="1"/>
  <c r="M364" i="1"/>
  <c r="O363" i="1"/>
  <c r="N363" i="1"/>
  <c r="M363" i="1"/>
  <c r="O362" i="1"/>
  <c r="N362" i="1"/>
  <c r="M362" i="1"/>
  <c r="O361" i="1"/>
  <c r="N361" i="1"/>
  <c r="M361" i="1"/>
  <c r="O360" i="1"/>
  <c r="N360" i="1"/>
  <c r="M360" i="1"/>
  <c r="O359" i="1"/>
  <c r="N359" i="1"/>
  <c r="M359" i="1"/>
  <c r="O358" i="1"/>
  <c r="N358" i="1"/>
  <c r="M358" i="1"/>
  <c r="O357" i="1"/>
  <c r="N357" i="1"/>
  <c r="M357" i="1"/>
  <c r="O356" i="1"/>
  <c r="N356" i="1"/>
  <c r="M356" i="1"/>
  <c r="O355" i="1"/>
  <c r="N355" i="1"/>
  <c r="M355" i="1"/>
  <c r="O354" i="1"/>
  <c r="N354" i="1"/>
  <c r="M354" i="1"/>
  <c r="O353" i="1"/>
  <c r="N353" i="1"/>
  <c r="M353" i="1"/>
  <c r="O352" i="1"/>
  <c r="N352" i="1"/>
  <c r="M352" i="1"/>
  <c r="O351" i="1"/>
  <c r="N351" i="1"/>
  <c r="M351" i="1"/>
  <c r="O350" i="1"/>
  <c r="N350" i="1"/>
  <c r="M350" i="1"/>
  <c r="N349" i="1"/>
  <c r="M349" i="1"/>
  <c r="O349" i="1"/>
  <c r="O348" i="1"/>
  <c r="N348" i="1"/>
  <c r="M348" i="1"/>
  <c r="O347" i="1"/>
  <c r="N347" i="1"/>
  <c r="M347" i="1"/>
  <c r="O346" i="1"/>
  <c r="N346" i="1"/>
  <c r="M346" i="1"/>
  <c r="O345" i="1"/>
  <c r="N345" i="1"/>
  <c r="M345" i="1"/>
  <c r="O344" i="1"/>
  <c r="N344" i="1"/>
  <c r="M344" i="1"/>
  <c r="O343" i="1"/>
  <c r="N343" i="1"/>
  <c r="M343" i="1"/>
  <c r="O342" i="1"/>
  <c r="N342" i="1"/>
  <c r="M342" i="1"/>
  <c r="N341" i="1"/>
  <c r="M341" i="1"/>
  <c r="O341" i="1"/>
  <c r="N340" i="1"/>
  <c r="M340" i="1"/>
  <c r="O340" i="1"/>
  <c r="N339" i="1"/>
  <c r="M339" i="1"/>
  <c r="O339" i="1"/>
  <c r="O338" i="1"/>
  <c r="N338" i="1"/>
  <c r="M338" i="1"/>
  <c r="O337" i="1"/>
  <c r="N337" i="1"/>
  <c r="M337" i="1"/>
  <c r="N336" i="1"/>
  <c r="M336" i="1"/>
  <c r="O336" i="1"/>
  <c r="O335" i="1"/>
  <c r="N335" i="1"/>
  <c r="M335" i="1"/>
  <c r="O334" i="1"/>
  <c r="N334" i="1"/>
  <c r="M334" i="1"/>
  <c r="O333" i="1"/>
  <c r="N333" i="1"/>
  <c r="M333" i="1"/>
  <c r="O332" i="1"/>
  <c r="N332" i="1"/>
  <c r="M332" i="1"/>
  <c r="O331" i="1"/>
  <c r="N331" i="1"/>
  <c r="M331" i="1"/>
  <c r="O329" i="1"/>
  <c r="N329" i="1"/>
  <c r="M329" i="1"/>
  <c r="O330" i="1"/>
  <c r="N330" i="1"/>
  <c r="M330" i="1"/>
  <c r="O328" i="1"/>
  <c r="N328" i="1"/>
  <c r="M328" i="1"/>
  <c r="O327" i="1"/>
  <c r="N327" i="1"/>
  <c r="M327" i="1"/>
  <c r="O326" i="1"/>
  <c r="N326" i="1"/>
  <c r="M326" i="1"/>
  <c r="O325" i="1"/>
  <c r="N325" i="1"/>
  <c r="M325" i="1"/>
  <c r="O324" i="1"/>
  <c r="N324" i="1"/>
  <c r="M324" i="1"/>
  <c r="N323" i="1"/>
  <c r="M323" i="1"/>
  <c r="O323" i="1"/>
  <c r="O322" i="1"/>
  <c r="N322" i="1"/>
  <c r="M322" i="1"/>
  <c r="O321" i="1"/>
  <c r="N321" i="1"/>
  <c r="M321" i="1"/>
  <c r="O320" i="1"/>
  <c r="N320" i="1"/>
  <c r="M320" i="1"/>
  <c r="O319" i="1"/>
  <c r="N319" i="1"/>
  <c r="M319" i="1"/>
  <c r="O318" i="1"/>
  <c r="N318" i="1"/>
  <c r="M318" i="1"/>
  <c r="O317" i="1"/>
  <c r="N317" i="1"/>
  <c r="M317" i="1"/>
  <c r="N316" i="1"/>
  <c r="M316" i="1"/>
  <c r="O316" i="1"/>
  <c r="O315" i="1"/>
  <c r="N315" i="1"/>
  <c r="M315" i="1"/>
  <c r="O314" i="1"/>
  <c r="N314" i="1"/>
  <c r="M314" i="1"/>
  <c r="O313" i="1"/>
  <c r="N313" i="1"/>
  <c r="M313" i="1"/>
  <c r="O312" i="1"/>
  <c r="N312" i="1"/>
  <c r="M312" i="1"/>
  <c r="N311" i="1"/>
  <c r="M311" i="1"/>
  <c r="O311" i="1"/>
  <c r="N310" i="1"/>
  <c r="M310" i="1"/>
  <c r="N309" i="1"/>
  <c r="M309" i="1"/>
  <c r="O309" i="1"/>
  <c r="N308" i="1"/>
  <c r="M308" i="1"/>
  <c r="O308" i="1"/>
  <c r="O307" i="1"/>
  <c r="N307" i="1"/>
  <c r="M307" i="1"/>
  <c r="O306" i="1"/>
  <c r="N306" i="1"/>
  <c r="M306" i="1"/>
  <c r="O305" i="1"/>
  <c r="N305" i="1"/>
  <c r="M305" i="1"/>
  <c r="O304" i="1"/>
  <c r="N304"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M264" i="1"/>
  <c r="O310" i="1"/>
  <c r="O303" i="1"/>
  <c r="N303" i="1"/>
  <c r="O302" i="1"/>
  <c r="N302" i="1"/>
  <c r="N301" i="1"/>
  <c r="O301" i="1"/>
  <c r="O300" i="1"/>
  <c r="N300" i="1"/>
  <c r="O299" i="1"/>
  <c r="N299" i="1"/>
  <c r="O298" i="1"/>
  <c r="N298" i="1"/>
  <c r="O297" i="1"/>
  <c r="N297" i="1"/>
  <c r="O296" i="1"/>
  <c r="N296" i="1"/>
  <c r="O295" i="1"/>
  <c r="N295" i="1"/>
  <c r="N294" i="1"/>
  <c r="O294" i="1"/>
  <c r="O293" i="1"/>
  <c r="N293" i="1"/>
  <c r="O292" i="1"/>
  <c r="N292" i="1"/>
  <c r="O291" i="1"/>
  <c r="N291" i="1"/>
  <c r="O290" i="1"/>
  <c r="N290" i="1"/>
  <c r="O289" i="1"/>
  <c r="N289" i="1"/>
  <c r="O288" i="1"/>
  <c r="N288" i="1"/>
  <c r="O287" i="1"/>
  <c r="N287" i="1"/>
  <c r="O286" i="1"/>
  <c r="N286" i="1"/>
  <c r="O285" i="1"/>
  <c r="N285" i="1"/>
  <c r="O284" i="1"/>
  <c r="N284" i="1"/>
  <c r="O283" i="1"/>
  <c r="N283" i="1"/>
  <c r="O282" i="1"/>
  <c r="N282" i="1"/>
  <c r="O281" i="1"/>
  <c r="N281" i="1"/>
  <c r="O280" i="1"/>
  <c r="N280" i="1"/>
  <c r="N277" i="1"/>
  <c r="O277" i="1"/>
  <c r="N278" i="1"/>
  <c r="O278" i="1"/>
  <c r="N279" i="1"/>
  <c r="O279" i="1"/>
  <c r="O97" i="1"/>
  <c r="O117" i="1"/>
  <c r="O276" i="1"/>
  <c r="N276" i="1"/>
  <c r="O275" i="1"/>
  <c r="N275" i="1"/>
  <c r="L3"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70" i="1"/>
  <c r="O71" i="1"/>
  <c r="O72" i="1"/>
  <c r="O73" i="1"/>
  <c r="O74" i="1"/>
  <c r="O75" i="1"/>
  <c r="O76" i="1"/>
  <c r="O77" i="1"/>
  <c r="O78" i="1"/>
  <c r="O79" i="1"/>
  <c r="O80" i="1"/>
  <c r="O81" i="1"/>
  <c r="O82" i="1"/>
  <c r="O83" i="1"/>
  <c r="O84" i="1"/>
  <c r="O85" i="1"/>
  <c r="O86" i="1"/>
  <c r="O87" i="1"/>
  <c r="O88" i="1"/>
  <c r="O89" i="1"/>
  <c r="O90" i="1"/>
  <c r="O91" i="1"/>
  <c r="O92" i="1"/>
  <c r="O93" i="1"/>
  <c r="O94" i="1"/>
  <c r="O95" i="1"/>
  <c r="O96" i="1"/>
  <c r="O98" i="1"/>
  <c r="O100" i="1"/>
  <c r="O101" i="1"/>
  <c r="O102" i="1"/>
  <c r="O103" i="1"/>
  <c r="O104" i="1"/>
  <c r="O105" i="1"/>
  <c r="O106" i="1"/>
  <c r="O107" i="1"/>
  <c r="O108" i="1"/>
  <c r="O109" i="1"/>
  <c r="O110" i="1"/>
  <c r="O111" i="1"/>
  <c r="O112" i="1"/>
  <c r="O113" i="1"/>
  <c r="O114" i="1"/>
  <c r="O115" i="1"/>
  <c r="O116" i="1"/>
  <c r="O118"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8" i="1"/>
  <c r="O199" i="1"/>
  <c r="O200" i="1"/>
  <c r="O202" i="1"/>
  <c r="O203" i="1"/>
  <c r="O204" i="1"/>
  <c r="O205" i="1"/>
  <c r="O206" i="1"/>
  <c r="O207" i="1"/>
  <c r="O208" i="1"/>
  <c r="O209" i="1"/>
  <c r="O210" i="1"/>
  <c r="O211" i="1"/>
  <c r="O212" i="1"/>
  <c r="O213" i="1"/>
  <c r="O214" i="1"/>
  <c r="O215" i="1"/>
  <c r="O216" i="1"/>
  <c r="O217" i="1"/>
  <c r="O218" i="1"/>
  <c r="O219" i="1"/>
  <c r="O220"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4" i="1"/>
  <c r="O265" i="1"/>
  <c r="O266" i="1"/>
  <c r="O267" i="1"/>
  <c r="O268" i="1"/>
  <c r="O269" i="1"/>
  <c r="O270" i="1"/>
  <c r="O271" i="1"/>
  <c r="O272" i="1"/>
  <c r="O274" i="1"/>
  <c r="N2" i="1"/>
  <c r="L2" i="1"/>
  <c r="O2" i="1"/>
  <c r="O273" i="1"/>
  <c r="O263" i="1"/>
  <c r="O221" i="1"/>
  <c r="O201" i="1"/>
  <c r="O197" i="1"/>
  <c r="O119" i="1"/>
  <c r="O99" i="1"/>
  <c r="O69" i="1"/>
  <c r="C123" i="9"/>
  <c r="C64" i="9"/>
  <c r="C115" i="9"/>
  <c r="O694" i="1"/>
  <c r="C49" i="9"/>
  <c r="C125" i="9"/>
  <c r="O715" i="1"/>
  <c r="O571" i="1"/>
  <c r="C79" i="9"/>
  <c r="AC37" i="5"/>
  <c r="C32" i="9"/>
  <c r="AC30" i="5"/>
  <c r="AC54" i="5"/>
  <c r="F131" i="5"/>
  <c r="D131" i="5"/>
  <c r="AC82" i="5"/>
  <c r="AC31" i="5"/>
  <c r="AC129" i="5"/>
  <c r="AC29" i="5"/>
  <c r="J131" i="5"/>
  <c r="AC16" i="5"/>
  <c r="AC60" i="9"/>
  <c r="C60" i="9"/>
  <c r="E44" i="5"/>
  <c r="AC44" i="5"/>
  <c r="E132" i="9"/>
  <c r="AC6" i="9"/>
  <c r="C6" i="9"/>
  <c r="F132" i="9"/>
  <c r="F132" i="5"/>
  <c r="G132" i="9"/>
  <c r="G132" i="5"/>
  <c r="AC59" i="9"/>
  <c r="C59" i="9"/>
  <c r="N132" i="9"/>
  <c r="N132" i="5"/>
  <c r="AC40" i="9"/>
  <c r="C40" i="9"/>
  <c r="AC117" i="9"/>
  <c r="C117" i="9"/>
  <c r="O131" i="5"/>
  <c r="O132" i="9"/>
  <c r="O132" i="5"/>
  <c r="I132" i="9"/>
  <c r="I132" i="5"/>
  <c r="AC56" i="5"/>
  <c r="J132" i="9"/>
  <c r="J132" i="5"/>
  <c r="Q105" i="5"/>
  <c r="AC105" i="5"/>
  <c r="AC108" i="9"/>
  <c r="C108" i="9"/>
  <c r="Q120" i="5"/>
  <c r="AC120" i="5"/>
  <c r="AC101" i="9"/>
  <c r="C101" i="9"/>
  <c r="AC37" i="9"/>
  <c r="C37" i="9"/>
  <c r="K132" i="9"/>
  <c r="K132" i="5"/>
  <c r="L132" i="9"/>
  <c r="L132" i="5"/>
  <c r="M132" i="9"/>
  <c r="M132" i="5"/>
  <c r="P132" i="9"/>
  <c r="P132" i="5"/>
  <c r="AC119" i="9"/>
  <c r="C119" i="9"/>
  <c r="E132" i="5"/>
  <c r="Q131" i="5"/>
  <c r="Q1" i="5"/>
  <c r="E131" i="5"/>
  <c r="R1" i="5"/>
  <c r="S1" i="5"/>
  <c r="T1" i="5"/>
  <c r="U1" i="5"/>
  <c r="V1" i="5"/>
  <c r="W1" i="5"/>
  <c r="X1" i="5"/>
  <c r="Z1" i="9"/>
  <c r="Y1" i="5"/>
  <c r="Z1" i="5"/>
  <c r="AA1" i="9"/>
  <c r="AB1" i="9"/>
  <c r="AB1" i="5"/>
  <c r="AA1" i="5"/>
  <c r="K131" i="5"/>
  <c r="AC52" i="5"/>
  <c r="AC88" i="5"/>
  <c r="AC121" i="5"/>
  <c r="AC91" i="5"/>
  <c r="AC64" i="5"/>
  <c r="AC41" i="5"/>
  <c r="AC43" i="5"/>
  <c r="AC25" i="5"/>
  <c r="AC77" i="5"/>
  <c r="AC76" i="5"/>
  <c r="AC50" i="5"/>
  <c r="AC21" i="5"/>
  <c r="AC34" i="5"/>
  <c r="AC68" i="5"/>
  <c r="AC110" i="5"/>
  <c r="AC112" i="5"/>
  <c r="AC51" i="5"/>
  <c r="AC80" i="5"/>
  <c r="AC36" i="5"/>
  <c r="P131" i="5"/>
  <c r="AC67" i="5"/>
  <c r="AC125" i="5"/>
  <c r="D11" i="4"/>
  <c r="L4" i="1"/>
  <c r="E137" i="8"/>
  <c r="K8" i="11" s="1"/>
  <c r="AC83" i="5"/>
  <c r="AA19" i="10"/>
  <c r="AC19" i="10"/>
  <c r="H131" i="8"/>
  <c r="AC62" i="5"/>
  <c r="D132" i="8"/>
  <c r="AC11" i="5"/>
  <c r="AC92" i="5"/>
  <c r="D137" i="8"/>
  <c r="E8" i="11" s="1"/>
  <c r="AC14" i="5"/>
  <c r="C47" i="9"/>
  <c r="C70" i="9"/>
  <c r="C82" i="9"/>
  <c r="C111" i="9"/>
  <c r="C113" i="9"/>
  <c r="C122" i="9"/>
  <c r="O732" i="1"/>
  <c r="C13" i="9"/>
  <c r="C17" i="9"/>
  <c r="AC93" i="5"/>
  <c r="W131" i="5"/>
  <c r="X131" i="5"/>
  <c r="AC117" i="5"/>
  <c r="A6" i="1"/>
  <c r="L6" i="1" s="1"/>
  <c r="L5" i="1"/>
  <c r="A7" i="1"/>
  <c r="D9" i="4" l="1"/>
  <c r="AM9" i="4"/>
  <c r="AM10" i="4" s="1"/>
  <c r="AM11" i="4" s="1"/>
  <c r="AM12" i="4" s="1"/>
  <c r="D12" i="4"/>
  <c r="AC17" i="4"/>
  <c r="AC18" i="4" s="1"/>
  <c r="AC19" i="4" s="1"/>
  <c r="AC20" i="4" s="1"/>
  <c r="D10" i="4"/>
  <c r="D6" i="4"/>
  <c r="D7" i="4"/>
  <c r="L7" i="1"/>
  <c r="A8" i="1"/>
  <c r="Y131" i="5"/>
  <c r="V131" i="5"/>
  <c r="R131" i="5"/>
  <c r="S131" i="5"/>
  <c r="T131" i="5"/>
  <c r="D136" i="8"/>
  <c r="C8" i="11" s="1"/>
  <c r="E138" i="8"/>
  <c r="I9" i="11" s="1"/>
  <c r="F131" i="8"/>
  <c r="Y131" i="9"/>
  <c r="Y134" i="9" s="1"/>
  <c r="Y132" i="9"/>
  <c r="Y132" i="5" s="1"/>
  <c r="Y133" i="9"/>
  <c r="Y133" i="5" s="1"/>
  <c r="Q131" i="9"/>
  <c r="Q132" i="9"/>
  <c r="Q132" i="5" s="1"/>
  <c r="Q133" i="9"/>
  <c r="Q133" i="5" s="1"/>
  <c r="R131" i="9"/>
  <c r="R132" i="9"/>
  <c r="R132" i="5" s="1"/>
  <c r="R133" i="9"/>
  <c r="R133" i="5" s="1"/>
  <c r="S131" i="9"/>
  <c r="S132" i="9"/>
  <c r="S132" i="5" s="1"/>
  <c r="S133" i="9"/>
  <c r="S133" i="5" s="1"/>
  <c r="T131" i="9"/>
  <c r="T132" i="9"/>
  <c r="T132" i="5" s="1"/>
  <c r="T133" i="9"/>
  <c r="T133" i="5" s="1"/>
  <c r="U131" i="9"/>
  <c r="U132" i="9"/>
  <c r="U132" i="5" s="1"/>
  <c r="U133" i="9"/>
  <c r="U133" i="5" s="1"/>
  <c r="V131" i="9"/>
  <c r="V132" i="9"/>
  <c r="V132" i="5" s="1"/>
  <c r="V133" i="9"/>
  <c r="V133" i="5" s="1"/>
  <c r="W131" i="9"/>
  <c r="W132" i="9"/>
  <c r="W132" i="5" s="1"/>
  <c r="W133" i="9"/>
  <c r="W133" i="5" s="1"/>
  <c r="X131" i="9"/>
  <c r="X132" i="9"/>
  <c r="X132" i="5" s="1"/>
  <c r="X133" i="9"/>
  <c r="X133" i="5" s="1"/>
  <c r="D135" i="8"/>
  <c r="E7" i="11" s="1"/>
  <c r="E132" i="8"/>
  <c r="D134" i="8"/>
  <c r="C7" i="11" s="1"/>
  <c r="E135" i="8"/>
  <c r="K7" i="11" s="1"/>
  <c r="F132" i="8"/>
  <c r="F140" i="8" s="1"/>
  <c r="G131" i="8"/>
  <c r="H132" i="8"/>
  <c r="H140" i="8" s="1"/>
  <c r="I131" i="8"/>
  <c r="D131" i="8"/>
  <c r="D140" i="8" s="1"/>
  <c r="D139" i="8"/>
  <c r="E9" i="11" s="1"/>
  <c r="D138" i="8"/>
  <c r="C9" i="11" s="1"/>
  <c r="E139" i="8"/>
  <c r="K9" i="11" s="1"/>
  <c r="E136" i="8"/>
  <c r="I8" i="11" s="1"/>
  <c r="G132" i="8"/>
  <c r="G140" i="8" s="1"/>
  <c r="I132" i="8"/>
  <c r="I140" i="8" s="1"/>
  <c r="E134" i="8"/>
  <c r="I7" i="11" s="1"/>
  <c r="E131" i="8"/>
  <c r="E10" i="11"/>
  <c r="E21" i="11" s="1"/>
  <c r="C132" i="8"/>
  <c r="C135" i="8"/>
  <c r="AC132" i="5"/>
  <c r="AC99" i="5"/>
  <c r="AC133" i="5"/>
  <c r="AC131" i="5"/>
  <c r="AC132" i="9"/>
  <c r="AC133" i="9"/>
  <c r="C134" i="8"/>
  <c r="C137" i="8"/>
  <c r="C136" i="8"/>
  <c r="C131" i="8"/>
  <c r="C139" i="8"/>
  <c r="C138" i="8"/>
  <c r="K10" i="11"/>
  <c r="K21" i="11" s="1"/>
  <c r="L8" i="1" l="1"/>
  <c r="A9" i="1"/>
  <c r="C140" i="8"/>
  <c r="X134" i="9"/>
  <c r="N22" i="10"/>
  <c r="O22" i="10" s="1"/>
  <c r="W134" i="9"/>
  <c r="N21" i="10"/>
  <c r="O21" i="10" s="1"/>
  <c r="V134" i="9"/>
  <c r="N20" i="10"/>
  <c r="O20" i="10" s="1"/>
  <c r="U134" i="9"/>
  <c r="N19" i="10"/>
  <c r="O19" i="10" s="1"/>
  <c r="T134" i="9"/>
  <c r="N18" i="10"/>
  <c r="O18" i="10" s="1"/>
  <c r="S134" i="9"/>
  <c r="N17" i="10"/>
  <c r="O17" i="10" s="1"/>
  <c r="R134" i="9"/>
  <c r="N16" i="10"/>
  <c r="O16" i="10" s="1"/>
  <c r="Q134" i="9"/>
  <c r="AC134" i="9" s="1"/>
  <c r="N15" i="10"/>
  <c r="AC131" i="9"/>
  <c r="C1" i="9" s="1"/>
  <c r="C131" i="9" s="1"/>
  <c r="E140" i="8"/>
  <c r="AD133" i="9"/>
  <c r="P1380" i="1"/>
  <c r="P1376" i="1"/>
  <c r="P1366" i="1"/>
  <c r="P834" i="1"/>
  <c r="P1329" i="1"/>
  <c r="P712" i="1"/>
  <c r="P28" i="1"/>
  <c r="P795" i="1"/>
  <c r="P1002" i="1"/>
  <c r="P885" i="1"/>
  <c r="P682" i="1"/>
  <c r="P406" i="1"/>
  <c r="P1276" i="1"/>
  <c r="P1299" i="1"/>
  <c r="P1144" i="1"/>
  <c r="P255" i="1"/>
  <c r="P460" i="1"/>
  <c r="P1333" i="1"/>
  <c r="P53" i="1"/>
  <c r="P239" i="1"/>
  <c r="P806" i="1"/>
  <c r="P820" i="1"/>
  <c r="P1127" i="1"/>
  <c r="P204" i="1"/>
  <c r="P504" i="1"/>
  <c r="P1265" i="1"/>
  <c r="P548" i="1"/>
  <c r="P1004" i="1"/>
  <c r="P1035" i="1"/>
  <c r="P1319" i="1"/>
  <c r="P1064" i="1"/>
  <c r="P904" i="1"/>
  <c r="P1374" i="1"/>
  <c r="P1179" i="1"/>
  <c r="P921" i="1"/>
  <c r="P1136" i="1"/>
  <c r="P643" i="1"/>
  <c r="P721" i="1"/>
  <c r="P176" i="1"/>
  <c r="P732" i="1"/>
  <c r="P1147" i="1"/>
  <c r="P543" i="1"/>
  <c r="P148" i="1"/>
  <c r="P126" i="1"/>
  <c r="P86" i="1"/>
  <c r="P483" i="1"/>
  <c r="P747" i="1"/>
  <c r="P916" i="1"/>
  <c r="P232" i="1"/>
  <c r="P792" i="1"/>
  <c r="P1262" i="1"/>
  <c r="P1070" i="1"/>
  <c r="P939" i="1"/>
  <c r="P1318" i="1"/>
  <c r="P816" i="1"/>
  <c r="P731" i="1"/>
  <c r="P570" i="1"/>
  <c r="P118" i="1"/>
  <c r="P1133" i="1"/>
  <c r="P479" i="1"/>
  <c r="P327" i="1"/>
  <c r="P862" i="1"/>
  <c r="P888" i="1"/>
  <c r="P1379" i="1"/>
  <c r="P1369" i="1"/>
  <c r="P105" i="1"/>
  <c r="P574" i="1"/>
  <c r="P482" i="1"/>
  <c r="P1344" i="1"/>
  <c r="P458" i="1"/>
  <c r="P473" i="1"/>
  <c r="P882" i="1"/>
  <c r="P991" i="1"/>
  <c r="P336" i="1"/>
  <c r="P268" i="1"/>
  <c r="P166" i="1"/>
  <c r="P573" i="1"/>
  <c r="P456" i="1"/>
  <c r="P550" i="1"/>
  <c r="P75" i="1"/>
  <c r="P728" i="1"/>
  <c r="P1099" i="1"/>
  <c r="P1249" i="1"/>
  <c r="P850" i="1"/>
  <c r="P1170" i="1"/>
  <c r="P507" i="1"/>
  <c r="P1253" i="1"/>
  <c r="P1244" i="1"/>
  <c r="P366" i="1"/>
  <c r="P337" i="1"/>
  <c r="P132" i="1"/>
  <c r="P150" i="1"/>
  <c r="P703" i="1"/>
  <c r="P903" i="1"/>
  <c r="P293" i="1"/>
  <c r="P1375" i="1"/>
  <c r="P463" i="1"/>
  <c r="P1096" i="1"/>
  <c r="P1277" i="1"/>
  <c r="P364" i="1"/>
  <c r="P626" i="1"/>
  <c r="P328" i="1"/>
  <c r="P699" i="1"/>
  <c r="P635" i="1"/>
  <c r="P43" i="1"/>
  <c r="P70" i="1"/>
  <c r="P1250" i="1"/>
  <c r="P97" i="1"/>
  <c r="P776" i="1"/>
  <c r="P379" i="1"/>
  <c r="P1102" i="1"/>
  <c r="P513" i="1"/>
  <c r="P386" i="1"/>
  <c r="P791" i="1"/>
  <c r="P167" i="1"/>
  <c r="P1076" i="1"/>
  <c r="P388" i="1"/>
  <c r="P403" i="1"/>
  <c r="P920" i="1"/>
  <c r="P1131" i="1"/>
  <c r="P26" i="1"/>
  <c r="P445" i="1"/>
  <c r="P1152" i="1"/>
  <c r="P83" i="1"/>
  <c r="P805" i="1"/>
  <c r="P538" i="1"/>
  <c r="P1205" i="1"/>
  <c r="P1378" i="1"/>
  <c r="P1370" i="1"/>
  <c r="P1263" i="1"/>
  <c r="P745" i="1"/>
  <c r="P1347" i="1"/>
  <c r="P604" i="1"/>
  <c r="P1191" i="1"/>
  <c r="P1132" i="1"/>
  <c r="P1330" i="1"/>
  <c r="P861" i="1"/>
  <c r="P1334" i="1"/>
  <c r="P1159" i="1"/>
  <c r="P1117" i="1"/>
  <c r="P638" i="1"/>
  <c r="P1225" i="1"/>
  <c r="P233" i="1"/>
  <c r="P715" i="1"/>
  <c r="P785" i="1"/>
  <c r="P855" i="1"/>
  <c r="P542" i="1"/>
  <c r="P835" i="1"/>
  <c r="P476" i="1"/>
  <c r="P1010" i="1"/>
  <c r="P261" i="1"/>
  <c r="P419" i="1"/>
  <c r="P1022" i="1"/>
  <c r="P319" i="1"/>
  <c r="P704" i="1"/>
  <c r="P497" i="1"/>
  <c r="P818" i="1"/>
  <c r="P1188" i="1"/>
  <c r="P468" i="1"/>
  <c r="P1371" i="1"/>
  <c r="P727" i="1"/>
  <c r="P246" i="1"/>
  <c r="P1058" i="1"/>
  <c r="P4" i="1"/>
  <c r="P948" i="1"/>
  <c r="P71" i="1"/>
  <c r="P358" i="1"/>
  <c r="P1316" i="1"/>
  <c r="P1256" i="1"/>
  <c r="P509" i="1"/>
  <c r="P1311" i="1"/>
  <c r="P217" i="1"/>
  <c r="P438" i="1"/>
  <c r="P1088" i="1"/>
  <c r="P487" i="1"/>
  <c r="P209" i="1"/>
  <c r="P448" i="1"/>
  <c r="P572" i="1"/>
  <c r="P315" i="1"/>
  <c r="P853" i="1"/>
  <c r="P298" i="1"/>
  <c r="P798" i="1"/>
  <c r="P707" i="1"/>
  <c r="P1230" i="1"/>
  <c r="P962" i="1"/>
  <c r="P647" i="1"/>
  <c r="P434" i="1"/>
  <c r="P859" i="1"/>
  <c r="P680" i="1"/>
  <c r="P271" i="1"/>
  <c r="P1372" i="1"/>
  <c r="P1365" i="1"/>
  <c r="P1355" i="1"/>
  <c r="P130" i="1"/>
  <c r="P1069" i="1"/>
  <c r="P1353" i="1"/>
  <c r="P613" i="1"/>
  <c r="P992" i="1"/>
  <c r="P1245" i="1"/>
  <c r="P1361" i="1"/>
  <c r="P672" i="1"/>
  <c r="P877" i="1"/>
  <c r="P864" i="1"/>
  <c r="P793" i="1"/>
  <c r="P534" i="1"/>
  <c r="P1020" i="1"/>
  <c r="P1373" i="1"/>
  <c r="P1266" i="1"/>
  <c r="P357" i="1"/>
  <c r="P1254" i="1"/>
  <c r="P1033" i="1"/>
  <c r="P1348" i="1"/>
  <c r="P984" i="1"/>
  <c r="P363" i="1"/>
  <c r="P289" i="1"/>
  <c r="P954" i="1"/>
  <c r="P1275" i="1"/>
  <c r="P192" i="1"/>
  <c r="P653" i="1"/>
  <c r="P240" i="1"/>
  <c r="P338" i="1"/>
  <c r="P1218" i="1"/>
  <c r="P1190" i="1"/>
  <c r="P25" i="1"/>
  <c r="P1234" i="1"/>
  <c r="P1145" i="1"/>
  <c r="P1036" i="1"/>
  <c r="P516" i="1"/>
  <c r="P602" i="1"/>
  <c r="P1336" i="1"/>
  <c r="P213" i="1"/>
  <c r="P868" i="1"/>
  <c r="P1059" i="1"/>
  <c r="P1115" i="1"/>
  <c r="P1303" i="1"/>
  <c r="P1194" i="1"/>
  <c r="P402" i="1"/>
  <c r="P1095" i="1"/>
  <c r="P416" i="1"/>
  <c r="P1341" i="1"/>
  <c r="P205" i="1"/>
  <c r="P884" i="1"/>
  <c r="P1287" i="1"/>
  <c r="P214" i="1"/>
  <c r="P219" i="1"/>
  <c r="P280" i="1"/>
  <c r="P1067" i="1"/>
  <c r="P491" i="1"/>
  <c r="P494" i="1"/>
  <c r="P676" i="1"/>
  <c r="P453" i="1"/>
  <c r="P394" i="1"/>
  <c r="P266" i="1"/>
  <c r="P708" i="1"/>
  <c r="P122" i="1"/>
  <c r="P1073" i="1"/>
  <c r="P1012" i="1"/>
  <c r="P1139" i="1"/>
  <c r="P377" i="1"/>
  <c r="P645" i="1"/>
  <c r="P418" i="1"/>
  <c r="P215" i="1"/>
  <c r="P259" i="1"/>
  <c r="P555" i="1"/>
  <c r="P901" i="1"/>
  <c r="P276" i="1"/>
  <c r="P878" i="1"/>
  <c r="P546" i="1"/>
  <c r="P621" i="1"/>
  <c r="P846" i="1"/>
  <c r="P1135" i="1"/>
  <c r="P300" i="1"/>
  <c r="P435" i="1"/>
  <c r="P113" i="1"/>
  <c r="P1112" i="1"/>
  <c r="P1075" i="1"/>
  <c r="P1203" i="1"/>
  <c r="P876" i="1"/>
  <c r="P208" i="1"/>
  <c r="P1143" i="1"/>
  <c r="P718" i="1"/>
  <c r="P1216" i="1"/>
  <c r="P1229" i="1"/>
  <c r="P528" i="1"/>
  <c r="P790" i="1"/>
  <c r="P1028" i="1"/>
  <c r="P474" i="1"/>
  <c r="P610" i="1"/>
  <c r="P964" i="1"/>
  <c r="P1103" i="1"/>
  <c r="P928" i="1"/>
  <c r="P1184" i="1"/>
  <c r="P131" i="1"/>
  <c r="P251" i="1"/>
  <c r="P586" i="1"/>
  <c r="P1255" i="1"/>
  <c r="P758" i="1"/>
  <c r="P922" i="1"/>
  <c r="P19" i="1"/>
  <c r="P936" i="1"/>
  <c r="P104" i="1"/>
  <c r="P316" i="1"/>
  <c r="P1237" i="1"/>
  <c r="P566" i="1"/>
  <c r="P863" i="1"/>
  <c r="P589" i="1"/>
  <c r="P801" i="1"/>
  <c r="P1150" i="1"/>
  <c r="P45" i="1"/>
  <c r="P1052" i="1"/>
  <c r="P873" i="1"/>
  <c r="P976" i="1"/>
  <c r="P614" i="1"/>
  <c r="P1126" i="1"/>
  <c r="P937" i="1"/>
  <c r="P1134" i="1"/>
  <c r="P498" i="1"/>
  <c r="P302" i="1"/>
  <c r="P1016" i="1"/>
  <c r="P518" i="1"/>
  <c r="P486" i="1"/>
  <c r="P127" i="1"/>
  <c r="P60" i="1"/>
  <c r="P111" i="1"/>
  <c r="P1000" i="1"/>
  <c r="P662" i="1"/>
  <c r="P145" i="1"/>
  <c r="P695" i="1"/>
  <c r="P429" i="1"/>
  <c r="P306" i="1"/>
  <c r="P660" i="1"/>
  <c r="P190" i="1"/>
  <c r="P17" i="1"/>
  <c r="P269" i="1"/>
  <c r="P1367" i="1"/>
  <c r="P325" i="1"/>
  <c r="P1078" i="1"/>
  <c r="P1284" i="1"/>
  <c r="P344" i="1"/>
  <c r="P582" i="1"/>
  <c r="P531" i="1"/>
  <c r="P810" i="1"/>
  <c r="P270" i="1"/>
  <c r="P37" i="1"/>
  <c r="P153" i="1"/>
  <c r="P343" i="1"/>
  <c r="P228" i="1"/>
  <c r="P245" i="1"/>
  <c r="P1167" i="1"/>
  <c r="P287" i="1"/>
  <c r="P157" i="1"/>
  <c r="P523" i="1"/>
  <c r="P1349" i="1"/>
  <c r="P1042" i="1"/>
  <c r="P823" i="1"/>
  <c r="P609" i="1"/>
  <c r="P1046" i="1"/>
  <c r="P1220" i="1"/>
  <c r="P147" i="1"/>
  <c r="P152" i="1"/>
  <c r="P257" i="1"/>
  <c r="P773" i="1"/>
  <c r="P1202" i="1"/>
  <c r="P1093" i="1"/>
  <c r="P900" i="1"/>
  <c r="P724" i="1"/>
  <c r="P375" i="1"/>
  <c r="P185" i="1"/>
  <c r="P384" i="1"/>
  <c r="P108" i="1"/>
  <c r="P696" i="1"/>
  <c r="P1264" i="1"/>
  <c r="P1182" i="1"/>
  <c r="P447" i="1"/>
  <c r="P1290" i="1"/>
  <c r="P764" i="1"/>
  <c r="P593" i="1"/>
  <c r="P1208" i="1"/>
  <c r="P799" i="1"/>
  <c r="P178" i="1"/>
  <c r="P335" i="1"/>
  <c r="P673" i="1"/>
  <c r="P1129" i="1"/>
  <c r="P880" i="1"/>
  <c r="P752" i="1"/>
  <c r="P309" i="1"/>
  <c r="P420" i="1"/>
  <c r="P664" i="1"/>
  <c r="P383" i="1"/>
  <c r="P576" i="1"/>
  <c r="P607" i="1"/>
  <c r="P783" i="1"/>
  <c r="P353" i="1"/>
  <c r="P488" i="1"/>
  <c r="P21" i="1"/>
  <c r="P265" i="1"/>
  <c r="P477" i="1"/>
  <c r="P615" i="1"/>
  <c r="P381" i="1"/>
  <c r="P587" i="1"/>
  <c r="P1214" i="1"/>
  <c r="P98" i="1"/>
  <c r="P1356" i="1"/>
  <c r="P1106" i="1"/>
  <c r="P625" i="1"/>
  <c r="P1014" i="1"/>
  <c r="P899" i="1"/>
  <c r="P69" i="1"/>
  <c r="P918" i="1"/>
  <c r="P216" i="1"/>
  <c r="P1008" i="1"/>
  <c r="P1048" i="1"/>
  <c r="P404" i="1"/>
  <c r="P770" i="1"/>
  <c r="P932" i="1"/>
  <c r="P678" i="1"/>
  <c r="P985" i="1"/>
  <c r="P1193" i="1"/>
  <c r="P88" i="1"/>
  <c r="P734" i="1"/>
  <c r="P1063" i="1"/>
  <c r="P1282" i="1"/>
  <c r="P449" i="1"/>
  <c r="P102" i="1"/>
  <c r="P68" i="1"/>
  <c r="P517" i="1"/>
  <c r="P700" i="1"/>
  <c r="P1125" i="1"/>
  <c r="P430" i="1"/>
  <c r="P1111" i="1"/>
  <c r="P1362" i="1"/>
  <c r="P76" i="1"/>
  <c r="P952" i="1"/>
  <c r="P996" i="1"/>
  <c r="P290" i="1"/>
  <c r="P329" i="1"/>
  <c r="P36" i="1"/>
  <c r="P1054" i="1"/>
  <c r="P106" i="1"/>
  <c r="P135" i="1"/>
  <c r="P739" i="1"/>
  <c r="P521" i="1"/>
  <c r="P552" i="1"/>
  <c r="P608" i="1"/>
  <c r="P396" i="1"/>
  <c r="P323" i="1"/>
  <c r="P847" i="1"/>
  <c r="P706" i="1"/>
  <c r="P422" i="1"/>
  <c r="P848" i="1"/>
  <c r="P424" i="1"/>
  <c r="P227" i="1"/>
  <c r="P947" i="1"/>
  <c r="P231" i="1"/>
  <c r="P275" i="1"/>
  <c r="P446" i="1"/>
  <c r="P1157" i="1"/>
  <c r="P262" i="1"/>
  <c r="P870" i="1"/>
  <c r="P312" i="1"/>
  <c r="P110" i="1"/>
  <c r="P819" i="1"/>
  <c r="P376" i="1"/>
  <c r="P746" i="1"/>
  <c r="P768" i="1"/>
  <c r="P180" i="1"/>
  <c r="P1274" i="1"/>
  <c r="P1221" i="1"/>
  <c r="P771" i="1"/>
  <c r="P1038" i="1"/>
  <c r="P64" i="1"/>
  <c r="P1082" i="1"/>
  <c r="P354" i="1"/>
  <c r="P633" i="1"/>
  <c r="P723" i="1"/>
  <c r="P481" i="1"/>
  <c r="P1328" i="1"/>
  <c r="P30" i="1"/>
  <c r="P693" i="1"/>
  <c r="P129" i="1"/>
  <c r="P96" i="1"/>
  <c r="P843" i="1"/>
  <c r="P116" i="1"/>
  <c r="P1291" i="1"/>
  <c r="P1100" i="1"/>
  <c r="P844" i="1"/>
  <c r="P520" i="1"/>
  <c r="P927" i="1"/>
  <c r="P968" i="1"/>
  <c r="P553" i="1"/>
  <c r="P828" i="1"/>
  <c r="P1161" i="1"/>
  <c r="P978" i="1"/>
  <c r="P663" i="1"/>
  <c r="P510" i="1"/>
  <c r="P698" i="1"/>
  <c r="P1024" i="1"/>
  <c r="P713" i="1"/>
  <c r="P636" i="1"/>
  <c r="P753" i="1"/>
  <c r="P549" i="1"/>
  <c r="P77" i="1"/>
  <c r="P778" i="1"/>
  <c r="P169" i="1"/>
  <c r="P1160" i="1"/>
  <c r="P1061" i="1"/>
  <c r="P969" i="1"/>
  <c r="P1019" i="1"/>
  <c r="P1098" i="1"/>
  <c r="P370" i="1"/>
  <c r="P762" i="1"/>
  <c r="P710" i="1"/>
  <c r="P195" i="1"/>
  <c r="P565" i="1"/>
  <c r="P1279" i="1"/>
  <c r="P688" i="1"/>
  <c r="P852" i="1"/>
  <c r="P1168" i="1"/>
  <c r="P886" i="1"/>
  <c r="P691" i="1"/>
  <c r="P163" i="1"/>
  <c r="P994" i="1"/>
  <c r="P1211" i="1"/>
  <c r="P616" i="1"/>
  <c r="P125" i="1"/>
  <c r="P155" i="1"/>
  <c r="P1047" i="1"/>
  <c r="P294" i="1"/>
  <c r="P409" i="1"/>
  <c r="P1368" i="1"/>
  <c r="P838" i="1"/>
  <c r="P784" i="1"/>
  <c r="P72" i="1"/>
  <c r="P1066" i="1"/>
  <c r="P196" i="1"/>
  <c r="P11" i="1"/>
  <c r="P774" i="1"/>
  <c r="P1308" i="1"/>
  <c r="P349" i="1"/>
  <c r="P1089" i="1"/>
  <c r="P544" i="1"/>
  <c r="P656" i="1"/>
  <c r="P57" i="1"/>
  <c r="P742" i="1"/>
  <c r="P580" i="1"/>
  <c r="P551" i="1"/>
  <c r="P61" i="1"/>
  <c r="P681" i="1"/>
  <c r="P55" i="1"/>
  <c r="P579" i="1"/>
  <c r="P470" i="1"/>
  <c r="P361" i="1"/>
  <c r="P1357" i="1"/>
  <c r="P56" i="1"/>
  <c r="P332" i="1"/>
  <c r="P1350" i="1"/>
  <c r="P797" i="1"/>
  <c r="P829" i="1"/>
  <c r="P840" i="1"/>
  <c r="P24" i="1"/>
  <c r="P51" i="1"/>
  <c r="P472" i="1"/>
  <c r="P685" i="1"/>
  <c r="P100" i="1"/>
  <c r="P654" i="1"/>
  <c r="P78" i="1"/>
  <c r="P1164" i="1"/>
  <c r="P665" i="1"/>
  <c r="P822" i="1"/>
  <c r="P596" i="1"/>
  <c r="P1288" i="1"/>
  <c r="P563" i="1"/>
  <c r="P13" i="1"/>
  <c r="P617" i="1"/>
  <c r="P600" i="1"/>
  <c r="P658" i="1"/>
  <c r="P912" i="1"/>
  <c r="P1258" i="1"/>
  <c r="P796" i="1"/>
  <c r="P393" i="1"/>
  <c r="P650" i="1"/>
  <c r="P935" i="1"/>
  <c r="P1224" i="1"/>
  <c r="P1296" i="1"/>
  <c r="P249" i="1"/>
  <c r="P248" i="1"/>
  <c r="P1065" i="1"/>
  <c r="P689" i="1"/>
  <c r="P751" i="1"/>
  <c r="P128" i="1"/>
  <c r="P1148" i="1"/>
  <c r="P578" i="1"/>
  <c r="P432" i="1"/>
  <c r="P679" i="1"/>
  <c r="P1198" i="1"/>
  <c r="P630" i="1"/>
  <c r="P7" i="1"/>
  <c r="P164" i="1"/>
  <c r="P99" i="1"/>
  <c r="P817" i="1"/>
  <c r="P81" i="1"/>
  <c r="P1124" i="1"/>
  <c r="P85" i="1"/>
  <c r="P541" i="1"/>
  <c r="P182" i="1"/>
  <c r="P58" i="1"/>
  <c r="P980" i="1"/>
  <c r="P943" i="1"/>
  <c r="P1248" i="1"/>
  <c r="P620" i="1"/>
  <c r="P956" i="1"/>
  <c r="P686" i="1"/>
  <c r="P831" i="1"/>
  <c r="P1323" i="1"/>
  <c r="P1227" i="1"/>
  <c r="P919" i="1"/>
  <c r="P350" i="1"/>
  <c r="P789" i="1"/>
  <c r="P48" i="1"/>
  <c r="P174" i="1"/>
  <c r="P911" i="1"/>
  <c r="P556" i="1"/>
  <c r="P601" i="1"/>
  <c r="P749" i="1"/>
  <c r="P352" i="1"/>
  <c r="P1071" i="1"/>
  <c r="P220" i="1"/>
  <c r="P735" i="1"/>
  <c r="P1146" i="1"/>
  <c r="P1199" i="1"/>
  <c r="P1314" i="1"/>
  <c r="P657" i="1"/>
  <c r="P264" i="1"/>
  <c r="P906" i="1"/>
  <c r="P1197" i="1"/>
  <c r="P452" i="1"/>
  <c r="P934" i="1"/>
  <c r="P1037" i="1"/>
  <c r="P896" i="1"/>
  <c r="P725" i="1"/>
  <c r="P433" i="1"/>
  <c r="P199" i="1"/>
  <c r="P642" i="1"/>
  <c r="P1231" i="1"/>
  <c r="P592" i="1"/>
  <c r="P583" i="1"/>
  <c r="P1342" i="1"/>
  <c r="P1116" i="1"/>
  <c r="P489" i="1"/>
  <c r="P189" i="1"/>
  <c r="P1233" i="1"/>
  <c r="P623" i="1"/>
  <c r="P1084" i="1"/>
  <c r="P827" i="1"/>
  <c r="P1217" i="1"/>
  <c r="P202" i="1"/>
  <c r="P757" i="1"/>
  <c r="P926" i="1"/>
  <c r="P849" i="1"/>
  <c r="P1080" i="1"/>
  <c r="P1293" i="1"/>
  <c r="P428" i="1"/>
  <c r="P588" i="1"/>
  <c r="P161" i="1"/>
  <c r="P1207" i="1"/>
  <c r="P839" i="1"/>
  <c r="P1271" i="1"/>
  <c r="P622" i="1"/>
  <c r="P683" i="1"/>
  <c r="P101" i="1"/>
  <c r="P568" i="1"/>
  <c r="P787" i="1"/>
  <c r="P390" i="1"/>
  <c r="P1013" i="1"/>
  <c r="P860" i="1"/>
  <c r="P1163" i="1"/>
  <c r="P649" i="1"/>
  <c r="P893" i="1"/>
  <c r="P536" i="1"/>
  <c r="P957" i="1"/>
  <c r="P590" i="1"/>
  <c r="P158" i="1"/>
  <c r="P1238" i="1"/>
  <c r="P955" i="1"/>
  <c r="P1228" i="1"/>
  <c r="P1332" i="1"/>
  <c r="P38" i="1"/>
  <c r="P1162" i="1"/>
  <c r="P120" i="1"/>
  <c r="P159" i="1"/>
  <c r="P1018" i="1"/>
  <c r="P519" i="1"/>
  <c r="P1200" i="1"/>
  <c r="P1051" i="1"/>
  <c r="P639" i="1"/>
  <c r="P237" i="1"/>
  <c r="P8" i="1"/>
  <c r="P1270" i="1"/>
  <c r="P780" i="1"/>
  <c r="P1187" i="1"/>
  <c r="P389" i="1"/>
  <c r="P247" i="1"/>
  <c r="P661" i="1"/>
  <c r="P65" i="1"/>
  <c r="P12" i="1"/>
  <c r="P146" i="1"/>
  <c r="P575" i="1"/>
  <c r="P331" i="1"/>
  <c r="P139" i="1"/>
  <c r="P399" i="1"/>
  <c r="P175" i="1"/>
  <c r="P1027" i="1"/>
  <c r="P825" i="1"/>
  <c r="P207" i="1"/>
  <c r="P1219" i="1"/>
  <c r="P1247" i="1"/>
  <c r="P824" i="1"/>
  <c r="P187" i="1"/>
  <c r="P898" i="1"/>
  <c r="P141" i="1"/>
  <c r="P80" i="1"/>
  <c r="P856" i="1"/>
  <c r="P875" i="1"/>
  <c r="P44" i="1"/>
  <c r="P454" i="1"/>
  <c r="P1153" i="1"/>
  <c r="P1101" i="1"/>
  <c r="P933" i="1"/>
  <c r="P508" i="1"/>
  <c r="P421" i="1"/>
  <c r="P557" i="1"/>
  <c r="P455" i="1"/>
  <c r="P961" i="1"/>
  <c r="P629" i="1"/>
  <c r="P297" i="1"/>
  <c r="P1309" i="1"/>
  <c r="P535" i="1"/>
  <c r="P342" i="1"/>
  <c r="P1114" i="1"/>
  <c r="P181" i="1"/>
  <c r="P1074" i="1"/>
  <c r="P415" i="1"/>
  <c r="P299" i="1"/>
  <c r="P940" i="1"/>
  <c r="P484" i="1"/>
  <c r="P1292" i="1"/>
  <c r="P1039" i="1"/>
  <c r="P1045" i="1"/>
  <c r="P138" i="1"/>
  <c r="P1354" i="1"/>
  <c r="P417" i="1"/>
  <c r="P1110" i="1"/>
  <c r="P1138" i="1"/>
  <c r="P1025" i="1"/>
  <c r="P1092" i="1"/>
  <c r="P397" i="1"/>
  <c r="P260" i="1"/>
  <c r="P690" i="1"/>
  <c r="P444" i="1"/>
  <c r="P493" i="1"/>
  <c r="P887" i="1"/>
  <c r="P1272" i="1"/>
  <c r="P84" i="1"/>
  <c r="P284" i="1"/>
  <c r="P648" i="1"/>
  <c r="P1176" i="1"/>
  <c r="P794" i="1"/>
  <c r="P461" i="1"/>
  <c r="P740" i="1"/>
  <c r="P273" i="1"/>
  <c r="P114" i="1"/>
  <c r="P1289" i="1"/>
  <c r="P1242" i="1"/>
  <c r="P594" i="1"/>
  <c r="P103" i="1"/>
  <c r="P82" i="1"/>
  <c r="P423" i="1"/>
  <c r="P1260" i="1"/>
  <c r="P502" i="1"/>
  <c r="P641" i="1"/>
  <c r="P1169" i="1"/>
  <c r="P168" i="1"/>
  <c r="P490" i="1"/>
  <c r="P1213" i="1"/>
  <c r="P597" i="1"/>
  <c r="P274" i="1"/>
  <c r="P965" i="1"/>
  <c r="P941" i="1"/>
  <c r="P998" i="1"/>
  <c r="P684" i="1"/>
  <c r="P1001" i="1"/>
  <c r="P945" i="1"/>
  <c r="P830" i="1"/>
  <c r="P20" i="1"/>
  <c r="P1185" i="1"/>
  <c r="P1062" i="1"/>
  <c r="P577" i="1"/>
  <c r="P368" i="1"/>
  <c r="P91" i="1"/>
  <c r="P1085" i="1"/>
  <c r="P1377" i="1"/>
  <c r="P282" i="1"/>
  <c r="P760" i="1"/>
  <c r="P717" i="1"/>
  <c r="P1031" i="1"/>
  <c r="P977" i="1"/>
  <c r="P426" i="1"/>
  <c r="P569" i="1"/>
  <c r="P1026" i="1"/>
  <c r="P156" i="1"/>
  <c r="P226" i="1"/>
  <c r="P634" i="1"/>
  <c r="P201" i="1"/>
  <c r="P1300" i="1"/>
  <c r="P694" i="1"/>
  <c r="P1206" i="1"/>
  <c r="P1029" i="1"/>
  <c r="P73" i="1"/>
  <c r="P1269" i="1"/>
  <c r="P1340" i="1"/>
  <c r="P775" i="1"/>
  <c r="P763" i="1"/>
  <c r="P317" i="1"/>
  <c r="P92" i="1"/>
  <c r="P1171" i="1"/>
  <c r="P942" i="1"/>
  <c r="P443" i="1"/>
  <c r="P321" i="1"/>
  <c r="P1017" i="1"/>
  <c r="P1326" i="1"/>
  <c r="P788" i="1"/>
  <c r="P225" i="1"/>
  <c r="P242" i="1"/>
  <c r="P136" i="1"/>
  <c r="P895" i="1"/>
  <c r="P949" i="1"/>
  <c r="P786" i="1"/>
  <c r="P833" i="1"/>
  <c r="P1183" i="1"/>
  <c r="P1235" i="1"/>
  <c r="P530" i="1"/>
  <c r="P813" i="1"/>
  <c r="P391" i="1"/>
  <c r="P93" i="1"/>
  <c r="P459" i="1"/>
  <c r="P571" i="1"/>
  <c r="P496" i="1"/>
  <c r="P1304" i="1"/>
  <c r="P1180" i="1"/>
  <c r="P605" i="1"/>
  <c r="P826" i="1"/>
  <c r="P1034" i="1"/>
  <c r="P340" i="1"/>
  <c r="P1313" i="1"/>
  <c r="P836" i="1"/>
  <c r="P1049" i="1"/>
  <c r="P929" i="1"/>
  <c r="P913" i="1"/>
  <c r="P143" i="1"/>
  <c r="P854" i="1"/>
  <c r="P781" i="1"/>
  <c r="P975" i="1"/>
  <c r="P1007" i="1"/>
  <c r="P738" i="1"/>
  <c r="P1261" i="1"/>
  <c r="P16" i="1"/>
  <c r="P857" i="1"/>
  <c r="P451" i="1"/>
  <c r="P1327" i="1"/>
  <c r="P697" i="1"/>
  <c r="P378" i="1"/>
  <c r="P172" i="1"/>
  <c r="P1257" i="1"/>
  <c r="P27" i="1"/>
  <c r="P1068" i="1"/>
  <c r="P425" i="1"/>
  <c r="P62" i="1"/>
  <c r="P243" i="1"/>
  <c r="P711" i="1"/>
  <c r="P462" i="1"/>
  <c r="P993" i="1"/>
  <c r="P478" i="1"/>
  <c r="P1204" i="1"/>
  <c r="P671" i="1"/>
  <c r="P779" i="1"/>
  <c r="P1072" i="1"/>
  <c r="P222" i="1"/>
  <c r="P170" i="1"/>
  <c r="P467" i="1"/>
  <c r="P559" i="1"/>
  <c r="P1273" i="1"/>
  <c r="P701" i="1"/>
  <c r="P412" i="1"/>
  <c r="P603" i="1"/>
  <c r="P154" i="1"/>
  <c r="P646" i="1"/>
  <c r="P997" i="1"/>
  <c r="P674" i="1"/>
  <c r="P272" i="1"/>
  <c r="P475" i="1"/>
  <c r="P179" i="1"/>
  <c r="P987" i="1"/>
  <c r="P983" i="1"/>
  <c r="P624" i="1"/>
  <c r="P1079" i="1"/>
  <c r="P1141" i="1"/>
  <c r="P1015" i="1"/>
  <c r="P301" i="1"/>
  <c r="P761" i="1"/>
  <c r="P668" i="1"/>
  <c r="P869" i="1"/>
  <c r="P1267" i="1"/>
  <c r="P5" i="1"/>
  <c r="P186" i="1"/>
  <c r="P372" i="1"/>
  <c r="P554" i="1"/>
  <c r="P1226" i="1"/>
  <c r="P133" i="1"/>
  <c r="P558" i="1"/>
  <c r="P252" i="1"/>
  <c r="P500" i="1"/>
  <c r="P564" i="1"/>
  <c r="P755" i="1"/>
  <c r="P1172" i="1"/>
  <c r="P1346" i="1"/>
  <c r="P1337" i="1"/>
  <c r="P90" i="1"/>
  <c r="P743" i="1"/>
  <c r="P63" i="1"/>
  <c r="P308" i="1"/>
  <c r="P1278" i="1"/>
  <c r="P1123" i="1"/>
  <c r="P1081" i="1"/>
  <c r="P1006" i="1"/>
  <c r="P809" i="1"/>
  <c r="P931" i="1"/>
  <c r="P244" i="1"/>
  <c r="P1094" i="1"/>
  <c r="P800" i="1"/>
  <c r="P1121" i="1"/>
  <c r="P1210" i="1"/>
  <c r="P1041" i="1"/>
  <c r="P144" i="1"/>
  <c r="P866" i="1"/>
  <c r="P254" i="1"/>
  <c r="P1298" i="1"/>
  <c r="P659" i="1"/>
  <c r="P267" i="1"/>
  <c r="P235" i="1"/>
  <c r="P908" i="1"/>
  <c r="P188" i="1"/>
  <c r="P640" i="1"/>
  <c r="P503" i="1"/>
  <c r="P360" i="1"/>
  <c r="P1175" i="1"/>
  <c r="P970" i="1"/>
  <c r="P466" i="1"/>
  <c r="P959" i="1"/>
  <c r="P333" i="1"/>
  <c r="P1166" i="1"/>
  <c r="P224" i="1"/>
  <c r="P585" i="1"/>
  <c r="P807" i="1"/>
  <c r="P347" i="1"/>
  <c r="P134" i="1"/>
  <c r="P371" i="1"/>
  <c r="P1239" i="1"/>
  <c r="P408" i="1"/>
  <c r="P982" i="1"/>
  <c r="P963" i="1"/>
  <c r="P1302" i="1"/>
  <c r="P253" i="1"/>
  <c r="P501" i="1"/>
  <c r="P380" i="1"/>
  <c r="P22" i="1"/>
  <c r="P348" i="1"/>
  <c r="P924" i="1"/>
  <c r="P374" i="1"/>
  <c r="P1174" i="1"/>
  <c r="P842" i="1"/>
  <c r="P841" i="1"/>
  <c r="P902" i="1"/>
  <c r="P815" i="1"/>
  <c r="P1364" i="1"/>
  <c r="P109" i="1"/>
  <c r="P524" i="1"/>
  <c r="P667" i="1"/>
  <c r="P527" i="1"/>
  <c r="P23" i="1"/>
  <c r="P631" i="1"/>
  <c r="P729" i="1"/>
  <c r="P865" i="1"/>
  <c r="P1011" i="1"/>
  <c r="P1241" i="1"/>
  <c r="P814" i="1"/>
  <c r="P951" i="1"/>
  <c r="P769" i="1"/>
  <c r="P385" i="1"/>
  <c r="P750" i="1"/>
  <c r="P223" i="1"/>
  <c r="P812" i="1"/>
  <c r="P183" i="1"/>
  <c r="P971" i="1"/>
  <c r="P930" i="1"/>
  <c r="P759" i="1"/>
  <c r="P41" i="1"/>
  <c r="P808" i="1"/>
  <c r="P151" i="1"/>
  <c r="P457" i="1"/>
  <c r="P529" i="1"/>
  <c r="P599" i="1"/>
  <c r="P506" i="1"/>
  <c r="P1268" i="1"/>
  <c r="P537" i="1"/>
  <c r="P1142" i="1"/>
  <c r="P1343" i="1"/>
  <c r="P400" i="1"/>
  <c r="P351" i="1"/>
  <c r="P221" i="1"/>
  <c r="P311" i="1"/>
  <c r="P206" i="1"/>
  <c r="P450" i="1"/>
  <c r="P539" i="1"/>
  <c r="P526" i="1"/>
  <c r="P1295" i="1"/>
  <c r="P9" i="1"/>
  <c r="P894" i="1"/>
  <c r="P203" i="1"/>
  <c r="P1240" i="1"/>
  <c r="P59" i="1"/>
  <c r="P465" i="1"/>
  <c r="P3" i="1"/>
  <c r="P121" i="1"/>
  <c r="P1201" i="1"/>
  <c r="P89" i="1"/>
  <c r="P296" i="1"/>
  <c r="P480" i="1"/>
  <c r="P330" i="1"/>
  <c r="P29" i="1"/>
  <c r="P112" i="1"/>
  <c r="P123" i="1"/>
  <c r="P612" i="1"/>
  <c r="P66" i="1"/>
  <c r="P307" i="1"/>
  <c r="P230" i="1"/>
  <c r="P339" i="1"/>
  <c r="P184" i="1"/>
  <c r="P1252" i="1"/>
  <c r="P765" i="1"/>
  <c r="P917" i="1"/>
  <c r="P1310" i="1"/>
  <c r="P944" i="1"/>
  <c r="P730" i="1"/>
  <c r="P1283" i="1"/>
  <c r="P1246" i="1"/>
  <c r="P1335" i="1"/>
  <c r="P1097" i="1"/>
  <c r="P1158" i="1"/>
  <c r="P437" i="1"/>
  <c r="P1351" i="1"/>
  <c r="P1120" i="1"/>
  <c r="P39" i="1"/>
  <c r="P324" i="1"/>
  <c r="P914" i="1"/>
  <c r="P341" i="1"/>
  <c r="P171" i="1"/>
  <c r="P1165" i="1"/>
  <c r="P560" i="1"/>
  <c r="P1280" i="1"/>
  <c r="P1305" i="1"/>
  <c r="P292" i="1"/>
  <c r="P1359" i="1"/>
  <c r="P525" i="1"/>
  <c r="P362" i="1"/>
  <c r="P782" i="1"/>
  <c r="P288" i="1"/>
  <c r="P990" i="1"/>
  <c r="P1212" i="1"/>
  <c r="P909" i="1"/>
  <c r="P1317" i="1"/>
  <c r="P1090" i="1"/>
  <c r="P1215" i="1"/>
  <c r="P67" i="1"/>
  <c r="P547" i="1"/>
  <c r="P492" i="1"/>
  <c r="P398" i="1"/>
  <c r="P1173" i="1"/>
  <c r="P946" i="1"/>
  <c r="P1149" i="1"/>
  <c r="P1057" i="1"/>
  <c r="P10" i="1"/>
  <c r="P858" i="1"/>
  <c r="P811" i="1"/>
  <c r="P1044" i="1"/>
  <c r="P411" i="1"/>
  <c r="P74" i="1"/>
  <c r="P305" i="1"/>
  <c r="P606" i="1"/>
  <c r="P837" i="1"/>
  <c r="P1118" i="1"/>
  <c r="P505" i="1"/>
  <c r="P966" i="1"/>
  <c r="P702" i="1"/>
  <c r="P198" i="1"/>
  <c r="P499" i="1"/>
  <c r="P46" i="1"/>
  <c r="P210" i="1"/>
  <c r="P304" i="1"/>
  <c r="P1105" i="1"/>
  <c r="P436" i="1"/>
  <c r="P50" i="1"/>
  <c r="P382" i="1"/>
  <c r="P1251" i="1"/>
  <c r="P1307" i="1"/>
  <c r="P1294" i="1"/>
  <c r="P373" i="1"/>
  <c r="P387" i="1"/>
  <c r="P256" i="1"/>
  <c r="P533" i="1"/>
  <c r="P953" i="1"/>
  <c r="P439" i="1"/>
  <c r="P2" i="1"/>
  <c r="P35" i="1"/>
  <c r="P1003" i="1"/>
  <c r="P42" i="1"/>
  <c r="P584" i="1"/>
  <c r="P356" i="1"/>
  <c r="P892" i="1"/>
  <c r="P471" i="1"/>
  <c r="P1322" i="1"/>
  <c r="P1156" i="1"/>
  <c r="P1119" i="1"/>
  <c r="P756" i="1"/>
  <c r="P40" i="1"/>
  <c r="P973" i="1"/>
  <c r="P286" i="1"/>
  <c r="P495" i="1"/>
  <c r="P802" i="1"/>
  <c r="P1338" i="1"/>
  <c r="P979" i="1"/>
  <c r="P511" i="1"/>
  <c r="P1023" i="1"/>
  <c r="P874" i="1"/>
  <c r="P137" i="1"/>
  <c r="P644" i="1"/>
  <c r="P720" i="1"/>
  <c r="P512" i="1"/>
  <c r="P401" i="1"/>
  <c r="P619" i="1"/>
  <c r="P1178" i="1"/>
  <c r="P117" i="1"/>
  <c r="P719" i="1"/>
  <c r="P345" i="1"/>
  <c r="P107" i="1"/>
  <c r="P1009" i="1"/>
  <c r="P291" i="1"/>
  <c r="P119" i="1"/>
  <c r="P999" i="1"/>
  <c r="P314" i="1"/>
  <c r="P1030" i="1"/>
  <c r="P1324" i="1"/>
  <c r="P744" i="1"/>
  <c r="P1321" i="1"/>
  <c r="P726" i="1"/>
  <c r="P1109" i="1"/>
  <c r="P365" i="1"/>
  <c r="P1122" i="1"/>
  <c r="P767" i="1"/>
  <c r="P1306" i="1"/>
  <c r="P326" i="1"/>
  <c r="P705" i="1"/>
  <c r="P1352" i="1"/>
  <c r="P279" i="1"/>
  <c r="P709" i="1"/>
  <c r="P958" i="1"/>
  <c r="P1315" i="1"/>
  <c r="P281" i="1"/>
  <c r="P618" i="1"/>
  <c r="P1259" i="1"/>
  <c r="P1186" i="1"/>
  <c r="P1055" i="1"/>
  <c r="P1104" i="1"/>
  <c r="P845" i="1"/>
  <c r="P905" i="1"/>
  <c r="P821" i="1"/>
  <c r="P890" i="1"/>
  <c r="P879" i="1"/>
  <c r="P218" i="1"/>
  <c r="P581" i="1"/>
  <c r="P733" i="1"/>
  <c r="P995" i="1"/>
  <c r="P414" i="1"/>
  <c r="P1345" i="1"/>
  <c r="P737" i="1"/>
  <c r="P981" i="1"/>
  <c r="P591" i="1"/>
  <c r="P369" i="1"/>
  <c r="P1128" i="1"/>
  <c r="P515" i="1"/>
  <c r="P115" i="1"/>
  <c r="P197" i="1"/>
  <c r="P687" i="1"/>
  <c r="P1155" i="1"/>
  <c r="P1091" i="1"/>
  <c r="P355" i="1"/>
  <c r="P1113" i="1"/>
  <c r="P545" i="1"/>
  <c r="P532" i="1"/>
  <c r="P714" i="1"/>
  <c r="P1137" i="1"/>
  <c r="P1107" i="1"/>
  <c r="P278" i="1"/>
  <c r="P974" i="1"/>
  <c r="P1151" i="1"/>
  <c r="P561" i="1"/>
  <c r="P923" i="1"/>
  <c r="P1223" i="1"/>
  <c r="P236" i="1"/>
  <c r="P15" i="1"/>
  <c r="P1297" i="1"/>
  <c r="P766" i="1"/>
  <c r="P804" i="1"/>
  <c r="P303" i="1"/>
  <c r="P1320" i="1"/>
  <c r="P313" i="1"/>
  <c r="P540" i="1"/>
  <c r="P33" i="1"/>
  <c r="P52" i="1"/>
  <c r="P1181" i="1"/>
  <c r="P595" i="1"/>
  <c r="P851" i="1"/>
  <c r="P1005" i="1"/>
  <c r="P652" i="1"/>
  <c r="P1087" i="1"/>
  <c r="P666" i="1"/>
  <c r="P1192" i="1"/>
  <c r="P1281" i="1"/>
  <c r="P897" i="1"/>
  <c r="P1360" i="1"/>
  <c r="P988" i="1"/>
  <c r="P938" i="1"/>
  <c r="P140" i="1"/>
  <c r="P741" i="1"/>
  <c r="P670" i="1"/>
  <c r="P47" i="1"/>
  <c r="P160" i="1"/>
  <c r="P1325" i="1"/>
  <c r="P1053" i="1"/>
  <c r="P193" i="1"/>
  <c r="P1040" i="1"/>
  <c r="P258" i="1"/>
  <c r="P395" i="1"/>
  <c r="P18" i="1"/>
  <c r="P754" i="1"/>
  <c r="P871" i="1"/>
  <c r="P241" i="1"/>
  <c r="P772" i="1"/>
  <c r="P346" i="1"/>
  <c r="P1056" i="1"/>
  <c r="P194" i="1"/>
  <c r="P14" i="1"/>
  <c r="P889" i="1"/>
  <c r="P1358" i="1"/>
  <c r="P234" i="1"/>
  <c r="P989" i="1"/>
  <c r="P716" i="1"/>
  <c r="P567" i="1"/>
  <c r="P1060" i="1"/>
  <c r="P440" i="1"/>
  <c r="P200" i="1"/>
  <c r="P628" i="1"/>
  <c r="P212" i="1"/>
  <c r="P427" i="1"/>
  <c r="P87" i="1"/>
  <c r="P910" i="1"/>
  <c r="P392" i="1"/>
  <c r="P1086" i="1"/>
  <c r="P322" i="1"/>
  <c r="P359" i="1"/>
  <c r="P967" i="1"/>
  <c r="P1222" i="1"/>
  <c r="P173" i="1"/>
  <c r="P1108" i="1"/>
  <c r="P1339" i="1"/>
  <c r="P31" i="1"/>
  <c r="P627" i="1"/>
  <c r="P469" i="1"/>
  <c r="P722" i="1"/>
  <c r="P651" i="1"/>
  <c r="P881" i="1"/>
  <c r="P1236" i="1"/>
  <c r="P464" i="1"/>
  <c r="P669" i="1"/>
  <c r="P441" i="1"/>
  <c r="P1243" i="1"/>
  <c r="P677" i="1"/>
  <c r="P1177" i="1"/>
  <c r="P1140" i="1"/>
  <c r="P162" i="1"/>
  <c r="P277" i="1"/>
  <c r="P1196" i="1"/>
  <c r="P925" i="1"/>
  <c r="P367" i="1"/>
  <c r="P950" i="1"/>
  <c r="P872" i="1"/>
  <c r="P54" i="1"/>
  <c r="P32" i="1"/>
  <c r="P142" i="1"/>
  <c r="P485" i="1"/>
  <c r="P1363" i="1"/>
  <c r="P295" i="1"/>
  <c r="P124" i="1"/>
  <c r="P891" i="1"/>
  <c r="P165" i="1"/>
  <c r="P522" i="1"/>
  <c r="P238" i="1"/>
  <c r="P1312" i="1"/>
  <c r="P431" i="1"/>
  <c r="P598" i="1"/>
  <c r="P334" i="1"/>
  <c r="P442" i="1"/>
  <c r="P986" i="1"/>
  <c r="P211" i="1"/>
  <c r="P1154" i="1"/>
  <c r="P410" i="1"/>
  <c r="P320" i="1"/>
  <c r="P611" i="1"/>
  <c r="P318" i="1"/>
  <c r="P915" i="1"/>
  <c r="P49" i="1"/>
  <c r="P94" i="1"/>
  <c r="P1331" i="1"/>
  <c r="P867" i="1"/>
  <c r="P177" i="1"/>
  <c r="P1032" i="1"/>
  <c r="P310" i="1"/>
  <c r="P263" i="1"/>
  <c r="P692" i="1"/>
  <c r="P675" i="1"/>
  <c r="P6" i="1"/>
  <c r="P250" i="1"/>
  <c r="P191" i="1"/>
  <c r="P407" i="1"/>
  <c r="P960" i="1"/>
  <c r="P632" i="1"/>
  <c r="P907" i="1"/>
  <c r="P229" i="1"/>
  <c r="P748" i="1"/>
  <c r="P1021" i="1"/>
  <c r="P777" i="1"/>
  <c r="P637" i="1"/>
  <c r="P832" i="1"/>
  <c r="P1209" i="1"/>
  <c r="P1301" i="1"/>
  <c r="P1077" i="1"/>
  <c r="P1285" i="1"/>
  <c r="P79" i="1"/>
  <c r="P655" i="1"/>
  <c r="P1130" i="1"/>
  <c r="P514" i="1"/>
  <c r="P413" i="1"/>
  <c r="P1083" i="1"/>
  <c r="P1195" i="1"/>
  <c r="P736" i="1"/>
  <c r="P1043" i="1"/>
  <c r="P883" i="1"/>
  <c r="P1189" i="1"/>
  <c r="P283" i="1"/>
  <c r="P34" i="1"/>
  <c r="P1050" i="1"/>
  <c r="P803" i="1"/>
  <c r="P95" i="1"/>
  <c r="P149" i="1"/>
  <c r="P1232" i="1"/>
  <c r="P972" i="1"/>
  <c r="P285" i="1"/>
  <c r="P1286" i="1"/>
  <c r="P562" i="1"/>
  <c r="L9" i="1" l="1"/>
  <c r="A10" i="1"/>
  <c r="O15" i="10"/>
  <c r="N23" i="10"/>
  <c r="O23" i="10"/>
  <c r="L10" i="1" l="1"/>
  <c r="A11" i="1"/>
  <c r="L11" i="1" l="1"/>
  <c r="A12" i="1"/>
  <c r="L12" i="1" l="1"/>
  <c r="A13" i="1"/>
  <c r="L13" i="1" l="1"/>
  <c r="A14" i="1"/>
  <c r="L14" i="1" l="1"/>
  <c r="A15" i="1"/>
  <c r="L15" i="1" l="1"/>
  <c r="A16" i="1"/>
  <c r="L16" i="1" l="1"/>
  <c r="A17" i="1"/>
  <c r="L17" i="1" l="1"/>
  <c r="A18" i="1"/>
  <c r="L18" i="1" l="1"/>
  <c r="A19" i="1"/>
  <c r="L19" i="1" l="1"/>
  <c r="A20" i="1"/>
  <c r="L20" i="1" l="1"/>
  <c r="A21" i="1"/>
  <c r="L21" i="1" l="1"/>
  <c r="A22" i="1"/>
  <c r="L22" i="1" l="1"/>
  <c r="A23" i="1"/>
  <c r="L23" i="1" l="1"/>
  <c r="A24" i="1"/>
  <c r="L24" i="1" l="1"/>
  <c r="A25" i="1"/>
  <c r="L25" i="1" l="1"/>
  <c r="A26" i="1"/>
  <c r="L26" i="1" l="1"/>
  <c r="A27" i="1"/>
  <c r="L27" i="1" l="1"/>
  <c r="A28" i="1"/>
  <c r="L28" i="1" l="1"/>
  <c r="A29" i="1"/>
  <c r="L29" i="1" l="1"/>
  <c r="A30" i="1"/>
  <c r="L30" i="1" l="1"/>
  <c r="A31" i="1"/>
  <c r="L31" i="1" l="1"/>
  <c r="A32" i="1"/>
  <c r="L32" i="1" l="1"/>
  <c r="A33" i="1"/>
  <c r="L33" i="1" l="1"/>
  <c r="A34" i="1"/>
  <c r="L34" i="1" l="1"/>
  <c r="A35" i="1"/>
  <c r="L35" i="1" l="1"/>
  <c r="A36" i="1"/>
  <c r="L36" i="1" l="1"/>
  <c r="A37" i="1"/>
  <c r="L37" i="1" l="1"/>
  <c r="A38" i="1"/>
  <c r="L38" i="1" l="1"/>
  <c r="A39" i="1"/>
  <c r="L39" i="1" l="1"/>
  <c r="A40" i="1"/>
  <c r="L40" i="1" l="1"/>
  <c r="A41" i="1"/>
  <c r="L41" i="1" l="1"/>
  <c r="A42" i="1"/>
  <c r="L42" i="1" l="1"/>
  <c r="A43" i="1"/>
  <c r="L43" i="1" l="1"/>
  <c r="A44" i="1"/>
  <c r="L44" i="1" l="1"/>
  <c r="A45" i="1"/>
  <c r="L45" i="1" l="1"/>
  <c r="A46" i="1"/>
  <c r="L46" i="1" l="1"/>
  <c r="A47" i="1"/>
  <c r="L47" i="1" l="1"/>
  <c r="A48" i="1"/>
  <c r="L48" i="1" l="1"/>
  <c r="A49" i="1"/>
  <c r="L49" i="1" l="1"/>
  <c r="A50" i="1"/>
  <c r="L50" i="1" l="1"/>
  <c r="A51" i="1"/>
  <c r="L51" i="1" l="1"/>
  <c r="A52" i="1"/>
  <c r="L52" i="1" l="1"/>
  <c r="A53" i="1"/>
  <c r="L53" i="1" l="1"/>
  <c r="A54" i="1"/>
  <c r="L54" i="1" l="1"/>
  <c r="A55" i="1"/>
  <c r="L55" i="1" l="1"/>
  <c r="A56" i="1"/>
  <c r="L56" i="1" l="1"/>
  <c r="A57" i="1"/>
  <c r="L57" i="1" l="1"/>
  <c r="A58" i="1"/>
  <c r="L58" i="1" l="1"/>
  <c r="A59" i="1"/>
  <c r="L59" i="1" l="1"/>
  <c r="A60" i="1"/>
  <c r="L60" i="1" l="1"/>
  <c r="A61" i="1"/>
  <c r="L61" i="1" l="1"/>
  <c r="A62" i="1"/>
  <c r="L62" i="1" l="1"/>
  <c r="A63" i="1"/>
  <c r="L63" i="1" l="1"/>
  <c r="A64" i="1"/>
  <c r="L64" i="1" l="1"/>
  <c r="A65" i="1"/>
  <c r="L65" i="1" l="1"/>
  <c r="A66" i="1"/>
  <c r="L66" i="1" l="1"/>
  <c r="A67" i="1"/>
  <c r="L67" i="1" l="1"/>
  <c r="A68" i="1"/>
  <c r="L68" i="1" l="1"/>
  <c r="A69" i="1"/>
  <c r="L69" i="1" l="1"/>
  <c r="A70" i="1"/>
  <c r="L70" i="1" l="1"/>
  <c r="A71" i="1"/>
  <c r="L71" i="1" l="1"/>
  <c r="A72" i="1"/>
  <c r="L72" i="1" l="1"/>
  <c r="A73" i="1"/>
  <c r="L73" i="1" l="1"/>
  <c r="A74" i="1"/>
  <c r="L74" i="1" l="1"/>
  <c r="A75" i="1"/>
  <c r="L75" i="1" l="1"/>
  <c r="A76" i="1"/>
  <c r="L76" i="1" l="1"/>
  <c r="A77" i="1"/>
  <c r="L77" i="1" l="1"/>
  <c r="A78" i="1"/>
  <c r="L78" i="1" l="1"/>
  <c r="A79" i="1"/>
  <c r="L79" i="1" l="1"/>
  <c r="A80" i="1"/>
  <c r="L80" i="1" l="1"/>
  <c r="A81" i="1"/>
  <c r="L81" i="1" l="1"/>
  <c r="A82" i="1"/>
  <c r="L82" i="1" l="1"/>
  <c r="A83" i="1"/>
  <c r="L83" i="1" l="1"/>
  <c r="A84" i="1"/>
  <c r="L84" i="1" l="1"/>
  <c r="A85" i="1"/>
  <c r="L85" i="1" l="1"/>
  <c r="A86" i="1"/>
  <c r="L86" i="1" l="1"/>
  <c r="A87" i="1"/>
  <c r="L87" i="1" l="1"/>
  <c r="A88" i="1"/>
  <c r="L88" i="1" l="1"/>
  <c r="A89" i="1"/>
  <c r="L89" i="1" l="1"/>
  <c r="A90" i="1"/>
  <c r="L90" i="1" l="1"/>
  <c r="A91" i="1"/>
  <c r="A92" i="1" l="1"/>
  <c r="L91" i="1"/>
  <c r="A93" i="1" l="1"/>
  <c r="L92" i="1"/>
  <c r="A94" i="1" l="1"/>
  <c r="L93" i="1"/>
  <c r="A95" i="1" l="1"/>
  <c r="L94" i="1"/>
  <c r="A96" i="1" l="1"/>
  <c r="L95" i="1"/>
  <c r="A97" i="1" l="1"/>
  <c r="L96" i="1"/>
  <c r="A98" i="1" l="1"/>
  <c r="L97" i="1"/>
  <c r="A99" i="1" l="1"/>
  <c r="L98" i="1"/>
  <c r="A100" i="1" l="1"/>
  <c r="L99" i="1"/>
  <c r="A101" i="1" l="1"/>
  <c r="L100" i="1"/>
  <c r="A102" i="1" l="1"/>
  <c r="L101" i="1"/>
  <c r="A103" i="1" l="1"/>
  <c r="L102" i="1"/>
  <c r="A104" i="1" l="1"/>
  <c r="L103" i="1"/>
  <c r="A105" i="1" l="1"/>
  <c r="L104" i="1"/>
  <c r="A106" i="1" l="1"/>
  <c r="L105" i="1"/>
  <c r="A107" i="1" l="1"/>
  <c r="L106" i="1"/>
  <c r="A108" i="1" l="1"/>
  <c r="L107" i="1"/>
  <c r="A109" i="1" l="1"/>
  <c r="L108" i="1"/>
  <c r="A110" i="1" l="1"/>
  <c r="L109" i="1"/>
  <c r="A111" i="1" l="1"/>
  <c r="L110" i="1"/>
  <c r="A112" i="1" l="1"/>
  <c r="L111" i="1"/>
  <c r="A113" i="1" l="1"/>
  <c r="L112" i="1"/>
  <c r="A114" i="1" l="1"/>
  <c r="L113" i="1"/>
  <c r="A115" i="1" l="1"/>
  <c r="L114" i="1"/>
  <c r="A116" i="1" l="1"/>
  <c r="L115" i="1"/>
  <c r="A117" i="1" l="1"/>
  <c r="L116" i="1"/>
  <c r="A118" i="1" l="1"/>
  <c r="L117" i="1"/>
  <c r="A119" i="1" l="1"/>
  <c r="L118" i="1"/>
  <c r="A120" i="1" l="1"/>
  <c r="L119" i="1"/>
  <c r="A121" i="1" l="1"/>
  <c r="L120" i="1"/>
  <c r="A122" i="1" l="1"/>
  <c r="L121" i="1"/>
  <c r="A123" i="1" l="1"/>
  <c r="L122" i="1"/>
  <c r="A124" i="1" l="1"/>
  <c r="L123" i="1"/>
  <c r="A125" i="1" l="1"/>
  <c r="L124" i="1"/>
  <c r="A126" i="1" l="1"/>
  <c r="L125" i="1"/>
  <c r="A127" i="1" l="1"/>
  <c r="L126" i="1"/>
  <c r="A128" i="1" l="1"/>
  <c r="L127" i="1"/>
  <c r="A129" i="1" l="1"/>
  <c r="L128" i="1"/>
  <c r="A130" i="1" l="1"/>
  <c r="L129" i="1"/>
  <c r="A131" i="1" l="1"/>
  <c r="L130" i="1"/>
  <c r="A132" i="1" l="1"/>
  <c r="L131" i="1"/>
  <c r="A133" i="1" l="1"/>
  <c r="L132" i="1"/>
  <c r="A134" i="1" l="1"/>
  <c r="L133" i="1"/>
  <c r="A135" i="1" l="1"/>
  <c r="L134" i="1"/>
  <c r="A136" i="1" l="1"/>
  <c r="L135" i="1"/>
  <c r="A137" i="1" l="1"/>
  <c r="L136" i="1"/>
  <c r="A138" i="1" l="1"/>
  <c r="L137" i="1"/>
  <c r="A139" i="1" l="1"/>
  <c r="L138" i="1"/>
  <c r="A140" i="1" l="1"/>
  <c r="L139" i="1"/>
  <c r="A141" i="1" l="1"/>
  <c r="L140" i="1"/>
  <c r="A142" i="1" l="1"/>
  <c r="L141" i="1"/>
  <c r="A143" i="1" l="1"/>
  <c r="L142" i="1"/>
  <c r="A144" i="1" l="1"/>
  <c r="L143" i="1"/>
  <c r="A145" i="1" l="1"/>
  <c r="L144" i="1"/>
  <c r="A146" i="1" l="1"/>
  <c r="L145" i="1"/>
  <c r="A147" i="1" l="1"/>
  <c r="L146" i="1"/>
  <c r="A148" i="1" l="1"/>
  <c r="L147" i="1"/>
  <c r="A149" i="1" l="1"/>
  <c r="L148" i="1"/>
  <c r="A150" i="1" l="1"/>
  <c r="L149" i="1"/>
  <c r="A151" i="1" l="1"/>
  <c r="L150" i="1"/>
  <c r="A152" i="1" l="1"/>
  <c r="L151" i="1"/>
  <c r="A153" i="1" l="1"/>
  <c r="L152" i="1"/>
  <c r="A154" i="1" l="1"/>
  <c r="L153" i="1"/>
  <c r="A155" i="1" l="1"/>
  <c r="L154" i="1"/>
  <c r="A156" i="1" l="1"/>
  <c r="L155" i="1"/>
  <c r="A157" i="1" l="1"/>
  <c r="L156" i="1"/>
  <c r="A158" i="1" l="1"/>
  <c r="L157" i="1"/>
  <c r="A159" i="1" l="1"/>
  <c r="L158" i="1"/>
  <c r="A160" i="1" l="1"/>
  <c r="L159" i="1"/>
  <c r="A161" i="1" l="1"/>
  <c r="L160" i="1"/>
  <c r="A162" i="1" l="1"/>
  <c r="L161" i="1"/>
  <c r="A163" i="1" l="1"/>
  <c r="L162" i="1"/>
  <c r="A164" i="1" l="1"/>
  <c r="L163" i="1"/>
  <c r="A165" i="1" l="1"/>
  <c r="L164" i="1"/>
  <c r="A166" i="1" l="1"/>
  <c r="L165" i="1"/>
  <c r="A167" i="1" l="1"/>
  <c r="L166" i="1"/>
  <c r="A168" i="1" l="1"/>
  <c r="L167" i="1"/>
  <c r="A169" i="1" l="1"/>
  <c r="L168" i="1"/>
  <c r="A170" i="1" l="1"/>
  <c r="L169" i="1"/>
  <c r="A171" i="1" l="1"/>
  <c r="L170" i="1"/>
  <c r="A172" i="1" l="1"/>
  <c r="L171" i="1"/>
  <c r="A173" i="1" l="1"/>
  <c r="L172" i="1"/>
  <c r="A174" i="1" l="1"/>
  <c r="L173" i="1"/>
  <c r="A175" i="1" l="1"/>
  <c r="L174" i="1"/>
  <c r="A176" i="1" l="1"/>
  <c r="L175" i="1"/>
  <c r="A177" i="1" l="1"/>
  <c r="L176" i="1"/>
  <c r="A178" i="1" l="1"/>
  <c r="L177" i="1"/>
  <c r="A179" i="1" l="1"/>
  <c r="L178" i="1"/>
  <c r="A180" i="1" l="1"/>
  <c r="L179" i="1"/>
  <c r="A181" i="1" l="1"/>
  <c r="L180" i="1"/>
  <c r="A182" i="1" l="1"/>
  <c r="L181" i="1"/>
  <c r="A183" i="1" l="1"/>
  <c r="L182" i="1"/>
  <c r="A184" i="1" l="1"/>
  <c r="L183" i="1"/>
  <c r="A185" i="1" l="1"/>
  <c r="L184" i="1"/>
  <c r="A186" i="1" l="1"/>
  <c r="L185" i="1"/>
  <c r="A187" i="1" l="1"/>
  <c r="L186" i="1"/>
  <c r="A188" i="1" l="1"/>
  <c r="L187" i="1"/>
  <c r="A189" i="1" l="1"/>
  <c r="L188" i="1"/>
  <c r="A190" i="1" l="1"/>
  <c r="L189" i="1"/>
  <c r="A191" i="1" l="1"/>
  <c r="L190" i="1"/>
  <c r="A192" i="1" l="1"/>
  <c r="L191" i="1"/>
  <c r="A193" i="1" l="1"/>
  <c r="L192" i="1"/>
  <c r="A194" i="1" l="1"/>
  <c r="L193" i="1"/>
  <c r="A195" i="1" l="1"/>
  <c r="L194" i="1"/>
  <c r="A196" i="1" l="1"/>
  <c r="L195" i="1"/>
  <c r="A197" i="1" l="1"/>
  <c r="L196" i="1"/>
  <c r="A198" i="1" l="1"/>
  <c r="L197" i="1"/>
  <c r="A199" i="1" l="1"/>
  <c r="L198" i="1"/>
  <c r="A200" i="1" l="1"/>
  <c r="L199" i="1"/>
  <c r="A201" i="1" l="1"/>
  <c r="L200" i="1"/>
  <c r="A202" i="1" l="1"/>
  <c r="L201" i="1"/>
  <c r="A203" i="1" l="1"/>
  <c r="L202" i="1"/>
  <c r="A204" i="1" l="1"/>
  <c r="L203" i="1"/>
  <c r="A205" i="1" l="1"/>
  <c r="L204" i="1"/>
  <c r="A206" i="1" l="1"/>
  <c r="L205" i="1"/>
  <c r="A207" i="1" l="1"/>
  <c r="L206" i="1"/>
  <c r="A208" i="1" l="1"/>
  <c r="L207" i="1"/>
  <c r="A209" i="1" l="1"/>
  <c r="L208" i="1"/>
  <c r="A210" i="1" l="1"/>
  <c r="L209" i="1"/>
  <c r="A211" i="1" l="1"/>
  <c r="L210" i="1"/>
  <c r="A212" i="1" l="1"/>
  <c r="L211" i="1"/>
  <c r="A213" i="1" l="1"/>
  <c r="L212" i="1"/>
  <c r="A214" i="1" l="1"/>
  <c r="L213" i="1"/>
  <c r="A215" i="1" l="1"/>
  <c r="L214" i="1"/>
  <c r="A216" i="1" l="1"/>
  <c r="L215" i="1"/>
  <c r="A217" i="1" l="1"/>
  <c r="L216" i="1"/>
  <c r="A218" i="1" l="1"/>
  <c r="L217" i="1"/>
  <c r="A219" i="1" l="1"/>
  <c r="L218" i="1"/>
  <c r="A220" i="1" l="1"/>
  <c r="L219" i="1"/>
  <c r="A221" i="1" l="1"/>
  <c r="L220" i="1"/>
  <c r="A222" i="1" l="1"/>
  <c r="L221" i="1"/>
  <c r="A223" i="1" l="1"/>
  <c r="L222" i="1"/>
  <c r="A224" i="1" l="1"/>
  <c r="L223" i="1"/>
  <c r="A225" i="1" l="1"/>
  <c r="L224" i="1"/>
  <c r="A226" i="1" l="1"/>
  <c r="L225" i="1"/>
  <c r="A227" i="1" l="1"/>
  <c r="L226" i="1"/>
  <c r="A228" i="1" l="1"/>
  <c r="L227" i="1"/>
  <c r="A229" i="1" l="1"/>
  <c r="L228" i="1"/>
  <c r="A230" i="1" l="1"/>
  <c r="L229" i="1"/>
  <c r="A231" i="1" l="1"/>
  <c r="L230" i="1"/>
  <c r="A232" i="1" l="1"/>
  <c r="L231" i="1"/>
  <c r="A233" i="1" l="1"/>
  <c r="L232" i="1"/>
  <c r="A234" i="1" l="1"/>
  <c r="L233" i="1"/>
  <c r="A235" i="1" l="1"/>
  <c r="L234" i="1"/>
  <c r="A236" i="1" l="1"/>
  <c r="L235" i="1"/>
  <c r="A237" i="1" l="1"/>
  <c r="L236" i="1"/>
  <c r="A238" i="1" l="1"/>
  <c r="L237" i="1"/>
  <c r="A239" i="1" l="1"/>
  <c r="L238" i="1"/>
  <c r="A240" i="1" l="1"/>
  <c r="L239" i="1"/>
  <c r="A241" i="1" l="1"/>
  <c r="L240" i="1"/>
  <c r="A242" i="1" l="1"/>
  <c r="L241" i="1"/>
  <c r="A243" i="1" l="1"/>
  <c r="L242" i="1"/>
  <c r="A244" i="1" l="1"/>
  <c r="L243" i="1"/>
  <c r="A245" i="1" l="1"/>
  <c r="L244" i="1"/>
  <c r="A246" i="1" l="1"/>
  <c r="L245" i="1"/>
  <c r="A247" i="1" l="1"/>
  <c r="L246" i="1"/>
  <c r="A248" i="1" l="1"/>
  <c r="L247" i="1"/>
  <c r="A249" i="1" l="1"/>
  <c r="L248" i="1"/>
  <c r="A250" i="1" l="1"/>
  <c r="L249" i="1"/>
  <c r="A251" i="1" l="1"/>
  <c r="L250" i="1"/>
  <c r="A252" i="1" l="1"/>
  <c r="L251" i="1"/>
  <c r="A253" i="1" l="1"/>
  <c r="L252" i="1"/>
  <c r="A254" i="1" l="1"/>
  <c r="L253" i="1"/>
  <c r="A255" i="1" l="1"/>
  <c r="L254" i="1"/>
  <c r="A256" i="1" l="1"/>
  <c r="L255" i="1"/>
  <c r="A257" i="1" l="1"/>
  <c r="L256" i="1"/>
  <c r="A258" i="1" l="1"/>
  <c r="L257" i="1"/>
  <c r="A259" i="1" l="1"/>
  <c r="L258" i="1"/>
  <c r="A260" i="1" l="1"/>
  <c r="L259" i="1"/>
  <c r="A261" i="1" l="1"/>
  <c r="L260" i="1"/>
  <c r="A262" i="1" l="1"/>
  <c r="L261" i="1"/>
  <c r="A263" i="1" l="1"/>
  <c r="L262" i="1"/>
  <c r="A264" i="1" l="1"/>
  <c r="L263" i="1"/>
  <c r="A265" i="1" l="1"/>
  <c r="L264" i="1"/>
  <c r="A266" i="1" l="1"/>
  <c r="L265" i="1"/>
  <c r="A267" i="1" l="1"/>
  <c r="L266" i="1"/>
  <c r="A268" i="1" l="1"/>
  <c r="L267" i="1"/>
  <c r="A269" i="1" l="1"/>
  <c r="L268" i="1"/>
  <c r="A270" i="1" l="1"/>
  <c r="L269" i="1"/>
  <c r="A271" i="1" l="1"/>
  <c r="L270" i="1"/>
  <c r="A272" i="1" l="1"/>
  <c r="L271" i="1"/>
  <c r="A273" i="1" l="1"/>
  <c r="L272" i="1"/>
  <c r="A274" i="1" l="1"/>
  <c r="L273" i="1"/>
  <c r="A275" i="1" l="1"/>
  <c r="L274" i="1"/>
  <c r="A276" i="1" l="1"/>
  <c r="L275" i="1"/>
  <c r="A277" i="1" l="1"/>
  <c r="L276" i="1"/>
  <c r="A278" i="1" l="1"/>
  <c r="L277" i="1"/>
  <c r="A279" i="1" l="1"/>
  <c r="L278" i="1"/>
  <c r="A280" i="1" l="1"/>
  <c r="L279" i="1"/>
  <c r="A281" i="1" l="1"/>
  <c r="L280" i="1"/>
  <c r="A282" i="1" l="1"/>
  <c r="L281" i="1"/>
  <c r="A283" i="1" l="1"/>
  <c r="L282" i="1"/>
  <c r="A284" i="1" l="1"/>
  <c r="L283" i="1"/>
  <c r="A285" i="1" l="1"/>
  <c r="L284" i="1"/>
  <c r="A286" i="1" l="1"/>
  <c r="L285" i="1"/>
  <c r="A287" i="1" l="1"/>
  <c r="L286" i="1"/>
  <c r="A288" i="1" l="1"/>
  <c r="L287" i="1"/>
  <c r="A289" i="1" l="1"/>
  <c r="L288" i="1"/>
  <c r="A290" i="1" l="1"/>
  <c r="L289" i="1"/>
  <c r="A291" i="1" l="1"/>
  <c r="L290" i="1"/>
  <c r="A292" i="1" l="1"/>
  <c r="L291" i="1"/>
  <c r="A293" i="1" l="1"/>
  <c r="L292" i="1"/>
  <c r="A294" i="1" l="1"/>
  <c r="L293" i="1"/>
  <c r="A295" i="1" l="1"/>
  <c r="L294" i="1"/>
  <c r="A296" i="1" l="1"/>
  <c r="L295" i="1"/>
  <c r="A297" i="1" l="1"/>
  <c r="L296" i="1"/>
  <c r="A298" i="1" l="1"/>
  <c r="L297" i="1"/>
  <c r="A299" i="1" l="1"/>
  <c r="L298" i="1"/>
  <c r="A300" i="1" l="1"/>
  <c r="L299" i="1"/>
  <c r="A301" i="1" l="1"/>
  <c r="L300" i="1"/>
  <c r="A302" i="1" l="1"/>
  <c r="L301" i="1"/>
  <c r="A303" i="1" l="1"/>
  <c r="L302" i="1"/>
  <c r="A304" i="1" l="1"/>
  <c r="L303" i="1"/>
  <c r="A305" i="1" l="1"/>
  <c r="L304" i="1"/>
  <c r="A306" i="1" l="1"/>
  <c r="L305" i="1"/>
  <c r="A307" i="1" l="1"/>
  <c r="L306" i="1"/>
  <c r="A308" i="1" l="1"/>
  <c r="L307" i="1"/>
  <c r="A309" i="1" l="1"/>
  <c r="L308" i="1"/>
  <c r="A310" i="1" l="1"/>
  <c r="L309" i="1"/>
  <c r="A311" i="1" l="1"/>
  <c r="L310" i="1"/>
  <c r="A312" i="1" l="1"/>
  <c r="L311" i="1"/>
  <c r="A313" i="1" l="1"/>
  <c r="L312" i="1"/>
  <c r="A314" i="1" l="1"/>
  <c r="L313" i="1"/>
  <c r="A315" i="1" l="1"/>
  <c r="L314" i="1"/>
  <c r="A316" i="1" l="1"/>
  <c r="L315" i="1"/>
  <c r="A317" i="1" l="1"/>
  <c r="L316" i="1"/>
  <c r="A318" i="1" l="1"/>
  <c r="L317" i="1"/>
  <c r="A319" i="1" l="1"/>
  <c r="L318" i="1"/>
  <c r="A320" i="1" l="1"/>
  <c r="L319" i="1"/>
  <c r="A321" i="1" l="1"/>
  <c r="L320" i="1"/>
  <c r="A322" i="1" l="1"/>
  <c r="L321" i="1"/>
  <c r="A323" i="1" l="1"/>
  <c r="L322" i="1"/>
  <c r="A324" i="1" l="1"/>
  <c r="L323" i="1"/>
  <c r="A325" i="1" l="1"/>
  <c r="L324" i="1"/>
  <c r="A326" i="1" l="1"/>
  <c r="L325" i="1"/>
  <c r="A327" i="1" l="1"/>
  <c r="L326" i="1"/>
  <c r="A328" i="1" l="1"/>
  <c r="L327" i="1"/>
  <c r="A329" i="1" l="1"/>
  <c r="L328" i="1"/>
  <c r="A330" i="1" l="1"/>
  <c r="L329" i="1"/>
  <c r="A331" i="1" l="1"/>
  <c r="L330" i="1"/>
  <c r="A332" i="1" l="1"/>
  <c r="L331" i="1"/>
  <c r="A333" i="1" l="1"/>
  <c r="L332" i="1"/>
  <c r="A334" i="1" l="1"/>
  <c r="L333" i="1"/>
  <c r="A335" i="1" l="1"/>
  <c r="L334" i="1"/>
  <c r="A336" i="1" l="1"/>
  <c r="L335" i="1"/>
  <c r="A337" i="1" l="1"/>
  <c r="L336" i="1"/>
  <c r="A338" i="1" l="1"/>
  <c r="L337" i="1"/>
  <c r="A339" i="1" l="1"/>
  <c r="L338" i="1"/>
  <c r="A340" i="1" l="1"/>
  <c r="L339" i="1"/>
  <c r="A341" i="1" l="1"/>
  <c r="L340" i="1"/>
  <c r="A342" i="1" l="1"/>
  <c r="L341" i="1"/>
  <c r="A343" i="1" l="1"/>
  <c r="L342" i="1"/>
  <c r="A344" i="1" l="1"/>
  <c r="L343" i="1"/>
  <c r="A345" i="1" l="1"/>
  <c r="L344" i="1"/>
  <c r="A346" i="1" l="1"/>
  <c r="L345" i="1"/>
  <c r="A347" i="1" l="1"/>
  <c r="L346" i="1"/>
  <c r="A348" i="1" l="1"/>
  <c r="L347" i="1"/>
  <c r="A349" i="1" l="1"/>
  <c r="L348" i="1"/>
  <c r="A350" i="1" l="1"/>
  <c r="L349" i="1"/>
  <c r="A351" i="1" l="1"/>
  <c r="L350" i="1"/>
  <c r="A352" i="1" l="1"/>
  <c r="L351" i="1"/>
  <c r="A353" i="1" l="1"/>
  <c r="L352" i="1"/>
  <c r="A354" i="1" l="1"/>
  <c r="L353" i="1"/>
  <c r="A355" i="1" l="1"/>
  <c r="L354" i="1"/>
  <c r="A356" i="1" l="1"/>
  <c r="L355" i="1"/>
  <c r="A357" i="1" l="1"/>
  <c r="L356" i="1"/>
  <c r="A358" i="1" l="1"/>
  <c r="L357" i="1"/>
  <c r="A359" i="1" l="1"/>
  <c r="L358" i="1"/>
  <c r="A360" i="1" l="1"/>
  <c r="L359" i="1"/>
  <c r="A361" i="1" l="1"/>
  <c r="L360" i="1"/>
  <c r="A362" i="1" l="1"/>
  <c r="L361" i="1"/>
  <c r="A363" i="1" l="1"/>
  <c r="L362" i="1"/>
  <c r="A364" i="1" l="1"/>
  <c r="L363" i="1"/>
  <c r="A365" i="1" l="1"/>
  <c r="L364" i="1"/>
  <c r="A366" i="1" l="1"/>
  <c r="L365" i="1"/>
  <c r="A367" i="1" l="1"/>
  <c r="L366" i="1"/>
  <c r="A368" i="1" l="1"/>
  <c r="L367" i="1"/>
  <c r="A369" i="1" l="1"/>
  <c r="L368" i="1"/>
  <c r="A370" i="1" l="1"/>
  <c r="L369" i="1"/>
  <c r="A371" i="1" l="1"/>
  <c r="L370" i="1"/>
  <c r="A372" i="1" l="1"/>
  <c r="L371" i="1"/>
  <c r="A373" i="1" l="1"/>
  <c r="L372" i="1"/>
  <c r="A374" i="1" l="1"/>
  <c r="L373" i="1"/>
  <c r="A375" i="1" l="1"/>
  <c r="L374" i="1"/>
  <c r="A376" i="1" l="1"/>
  <c r="L375" i="1"/>
  <c r="A377" i="1" l="1"/>
  <c r="L376" i="1"/>
  <c r="A378" i="1" l="1"/>
  <c r="L377" i="1"/>
  <c r="A379" i="1" l="1"/>
  <c r="L378" i="1"/>
  <c r="A380" i="1" l="1"/>
  <c r="L379" i="1"/>
  <c r="A381" i="1" l="1"/>
  <c r="L380" i="1"/>
  <c r="A382" i="1" l="1"/>
  <c r="L381" i="1"/>
  <c r="A383" i="1" l="1"/>
  <c r="L382" i="1"/>
  <c r="A384" i="1" l="1"/>
  <c r="L383" i="1"/>
  <c r="A385" i="1" l="1"/>
  <c r="L384" i="1"/>
  <c r="A386" i="1" l="1"/>
  <c r="L385" i="1"/>
  <c r="A387" i="1" l="1"/>
  <c r="L386" i="1"/>
  <c r="A388" i="1" l="1"/>
  <c r="L387" i="1"/>
  <c r="A389" i="1" l="1"/>
  <c r="L388" i="1"/>
  <c r="A390" i="1" l="1"/>
  <c r="L389" i="1"/>
  <c r="A391" i="1" l="1"/>
  <c r="L390" i="1"/>
  <c r="A392" i="1" l="1"/>
  <c r="L391" i="1"/>
  <c r="A393" i="1" l="1"/>
  <c r="L392" i="1"/>
  <c r="A394" i="1" l="1"/>
  <c r="L393" i="1"/>
  <c r="A395" i="1" l="1"/>
  <c r="L394" i="1"/>
  <c r="A396" i="1" l="1"/>
  <c r="L395" i="1"/>
  <c r="A397" i="1" l="1"/>
  <c r="L396" i="1"/>
  <c r="A398" i="1" l="1"/>
  <c r="L397" i="1"/>
  <c r="A399" i="1" l="1"/>
  <c r="L398" i="1"/>
  <c r="A400" i="1" l="1"/>
  <c r="L399" i="1"/>
  <c r="A401" i="1" l="1"/>
  <c r="L400" i="1"/>
  <c r="A402" i="1" l="1"/>
  <c r="L401" i="1"/>
  <c r="A403" i="1" l="1"/>
  <c r="L402" i="1"/>
  <c r="A404" i="1" l="1"/>
  <c r="L403" i="1"/>
  <c r="A405" i="1" l="1"/>
  <c r="L404" i="1"/>
  <c r="A406" i="1" l="1"/>
  <c r="L405" i="1"/>
  <c r="A407" i="1" l="1"/>
  <c r="L406" i="1"/>
  <c r="A408" i="1" l="1"/>
  <c r="L407" i="1"/>
  <c r="A409" i="1" l="1"/>
  <c r="L408" i="1"/>
  <c r="A410" i="1" l="1"/>
  <c r="L409" i="1"/>
  <c r="A411" i="1" l="1"/>
  <c r="L410" i="1"/>
  <c r="A412" i="1" l="1"/>
  <c r="L411" i="1"/>
  <c r="A413" i="1" l="1"/>
  <c r="L412" i="1"/>
  <c r="A414" i="1" l="1"/>
  <c r="L413" i="1"/>
  <c r="A415" i="1" l="1"/>
  <c r="L414" i="1"/>
  <c r="A416" i="1" l="1"/>
  <c r="L415" i="1"/>
  <c r="A417" i="1" l="1"/>
  <c r="L416" i="1"/>
  <c r="A418" i="1" l="1"/>
  <c r="L417" i="1"/>
  <c r="A419" i="1" l="1"/>
  <c r="L418" i="1"/>
  <c r="A420" i="1" l="1"/>
  <c r="L419" i="1"/>
  <c r="A421" i="1" l="1"/>
  <c r="L420" i="1"/>
  <c r="A422" i="1" l="1"/>
  <c r="L421" i="1"/>
  <c r="A423" i="1" l="1"/>
  <c r="L422" i="1"/>
  <c r="A424" i="1" l="1"/>
  <c r="L423" i="1"/>
  <c r="A425" i="1" l="1"/>
  <c r="L424" i="1"/>
  <c r="A426" i="1" l="1"/>
  <c r="L425" i="1"/>
  <c r="A427" i="1" l="1"/>
  <c r="L426" i="1"/>
  <c r="A428" i="1" l="1"/>
  <c r="L427" i="1"/>
  <c r="A429" i="1" l="1"/>
  <c r="L428" i="1"/>
  <c r="A430" i="1" l="1"/>
  <c r="L429" i="1"/>
  <c r="A431" i="1" l="1"/>
  <c r="L430" i="1"/>
  <c r="A432" i="1" l="1"/>
  <c r="L431" i="1"/>
  <c r="A433" i="1" l="1"/>
  <c r="L432" i="1"/>
  <c r="A434" i="1" l="1"/>
  <c r="L433" i="1"/>
  <c r="A435" i="1" l="1"/>
  <c r="L434" i="1"/>
  <c r="A436" i="1" l="1"/>
  <c r="L435" i="1"/>
  <c r="A437" i="1" l="1"/>
  <c r="L436" i="1"/>
  <c r="A438" i="1" l="1"/>
  <c r="L437" i="1"/>
  <c r="A439" i="1" l="1"/>
  <c r="L438" i="1"/>
  <c r="A440" i="1" l="1"/>
  <c r="L439" i="1"/>
  <c r="A441" i="1" l="1"/>
  <c r="L440" i="1"/>
  <c r="A442" i="1" l="1"/>
  <c r="L441" i="1"/>
  <c r="A443" i="1" l="1"/>
  <c r="L442" i="1"/>
  <c r="A444" i="1" l="1"/>
  <c r="L443" i="1"/>
  <c r="A445" i="1" l="1"/>
  <c r="L444" i="1"/>
  <c r="A446" i="1" l="1"/>
  <c r="L445" i="1"/>
  <c r="A447" i="1" l="1"/>
  <c r="L446" i="1"/>
  <c r="A448" i="1" l="1"/>
  <c r="L447" i="1"/>
  <c r="A449" i="1" l="1"/>
  <c r="L448" i="1"/>
  <c r="A450" i="1" l="1"/>
  <c r="L449" i="1"/>
  <c r="A451" i="1" l="1"/>
  <c r="L450" i="1"/>
  <c r="A452" i="1" l="1"/>
  <c r="L451" i="1"/>
  <c r="A453" i="1" l="1"/>
  <c r="L452" i="1"/>
  <c r="A454" i="1" l="1"/>
  <c r="L453" i="1"/>
  <c r="A455" i="1" l="1"/>
  <c r="L454" i="1"/>
  <c r="A456" i="1" l="1"/>
  <c r="L455" i="1"/>
  <c r="A457" i="1" l="1"/>
  <c r="L456" i="1"/>
  <c r="A458" i="1" l="1"/>
  <c r="L457" i="1"/>
  <c r="A459" i="1" l="1"/>
  <c r="L458" i="1"/>
  <c r="A460" i="1" l="1"/>
  <c r="L459" i="1"/>
  <c r="A461" i="1" l="1"/>
  <c r="L460" i="1"/>
  <c r="A462" i="1" l="1"/>
  <c r="L461" i="1"/>
  <c r="A463" i="1" l="1"/>
  <c r="L462" i="1"/>
  <c r="A464" i="1" l="1"/>
  <c r="L463" i="1"/>
  <c r="A465" i="1" l="1"/>
  <c r="L464" i="1"/>
  <c r="A466" i="1" l="1"/>
  <c r="L465" i="1"/>
  <c r="A467" i="1" l="1"/>
  <c r="L466" i="1"/>
  <c r="A468" i="1" l="1"/>
  <c r="L467" i="1"/>
  <c r="A469" i="1" l="1"/>
  <c r="L468" i="1"/>
  <c r="A470" i="1" l="1"/>
  <c r="L469" i="1"/>
  <c r="A471" i="1" l="1"/>
  <c r="L470" i="1"/>
  <c r="A472" i="1" l="1"/>
  <c r="L471" i="1"/>
  <c r="A473" i="1" l="1"/>
  <c r="L472" i="1"/>
  <c r="A474" i="1" l="1"/>
  <c r="L473" i="1"/>
  <c r="A475" i="1" l="1"/>
  <c r="L474" i="1"/>
  <c r="L475" i="1" l="1"/>
  <c r="A476" i="1"/>
  <c r="L476" i="1" l="1"/>
  <c r="A477" i="1"/>
  <c r="L477" i="1" l="1"/>
  <c r="A478" i="1"/>
  <c r="L478" i="1" l="1"/>
  <c r="A479" i="1"/>
  <c r="L479" i="1" l="1"/>
  <c r="A480" i="1"/>
  <c r="L480" i="1" l="1"/>
  <c r="A481" i="1"/>
  <c r="L481" i="1" l="1"/>
  <c r="A482" i="1"/>
  <c r="L482" i="1" l="1"/>
  <c r="A483" i="1"/>
  <c r="L483" i="1" l="1"/>
  <c r="A484" i="1"/>
  <c r="L484" i="1" l="1"/>
  <c r="A485" i="1"/>
  <c r="L485" i="1" l="1"/>
  <c r="A486" i="1"/>
  <c r="L486" i="1" l="1"/>
  <c r="A487" i="1"/>
  <c r="L487" i="1" l="1"/>
  <c r="A488" i="1"/>
  <c r="L488" i="1" l="1"/>
  <c r="A489" i="1"/>
  <c r="L489" i="1" l="1"/>
  <c r="A490" i="1"/>
  <c r="L490" i="1" l="1"/>
  <c r="A491" i="1"/>
  <c r="L491" i="1" l="1"/>
  <c r="A492" i="1"/>
  <c r="L492" i="1" l="1"/>
  <c r="A493" i="1"/>
  <c r="L493" i="1" l="1"/>
  <c r="A494" i="1"/>
  <c r="L494" i="1" l="1"/>
  <c r="A495" i="1"/>
  <c r="L495" i="1" l="1"/>
  <c r="A496" i="1"/>
  <c r="L496" i="1" l="1"/>
  <c r="A497" i="1"/>
  <c r="L497" i="1" l="1"/>
  <c r="A498" i="1"/>
  <c r="L498" i="1" l="1"/>
  <c r="A499" i="1"/>
  <c r="L499" i="1" l="1"/>
  <c r="A500" i="1"/>
  <c r="L500" i="1" l="1"/>
  <c r="A501" i="1"/>
  <c r="L501" i="1" l="1"/>
  <c r="A502" i="1"/>
  <c r="L502" i="1" l="1"/>
  <c r="A503" i="1"/>
  <c r="L503" i="1" l="1"/>
  <c r="A504" i="1"/>
  <c r="L504" i="1" l="1"/>
  <c r="A505" i="1"/>
  <c r="L505" i="1" l="1"/>
  <c r="A506" i="1"/>
  <c r="L506" i="1" l="1"/>
  <c r="A507" i="1"/>
  <c r="L507" i="1" l="1"/>
  <c r="A508" i="1"/>
  <c r="L508" i="1" l="1"/>
  <c r="A509" i="1"/>
  <c r="L509" i="1" l="1"/>
  <c r="A510" i="1"/>
  <c r="L510" i="1" l="1"/>
  <c r="A511" i="1"/>
  <c r="L511" i="1" l="1"/>
  <c r="A512" i="1"/>
  <c r="L512" i="1" l="1"/>
  <c r="A513" i="1"/>
  <c r="L513" i="1" l="1"/>
  <c r="A514" i="1"/>
  <c r="L514" i="1" l="1"/>
  <c r="A515" i="1"/>
  <c r="L515" i="1" l="1"/>
  <c r="A516" i="1"/>
  <c r="L516" i="1" l="1"/>
  <c r="A517" i="1"/>
  <c r="L517" i="1" l="1"/>
  <c r="A518" i="1"/>
  <c r="L518" i="1" l="1"/>
  <c r="A519" i="1"/>
  <c r="L519" i="1" l="1"/>
  <c r="A520" i="1"/>
  <c r="L520" i="1" l="1"/>
  <c r="A521" i="1"/>
  <c r="L521" i="1" l="1"/>
  <c r="A522" i="1"/>
  <c r="L522" i="1" l="1"/>
  <c r="A523" i="1"/>
  <c r="L523" i="1" l="1"/>
  <c r="A524" i="1"/>
  <c r="L524" i="1" l="1"/>
  <c r="A525" i="1"/>
  <c r="L525" i="1" l="1"/>
  <c r="A526" i="1"/>
  <c r="L526" i="1" l="1"/>
  <c r="A527" i="1"/>
  <c r="L527" i="1" l="1"/>
  <c r="A528" i="1"/>
  <c r="L528" i="1" l="1"/>
  <c r="A529" i="1"/>
  <c r="L529" i="1" l="1"/>
  <c r="A530" i="1"/>
  <c r="L530" i="1" l="1"/>
  <c r="A531" i="1"/>
  <c r="L531" i="1" l="1"/>
  <c r="A532" i="1"/>
  <c r="L532" i="1" l="1"/>
  <c r="A533" i="1"/>
  <c r="L533" i="1" l="1"/>
  <c r="A534" i="1"/>
  <c r="L534" i="1" l="1"/>
  <c r="A535" i="1"/>
  <c r="L535" i="1" l="1"/>
  <c r="A536" i="1"/>
  <c r="L536" i="1" l="1"/>
  <c r="A537" i="1"/>
  <c r="L537" i="1" l="1"/>
  <c r="A538" i="1"/>
  <c r="L538" i="1" l="1"/>
  <c r="A539" i="1"/>
  <c r="L539" i="1" l="1"/>
  <c r="A540" i="1"/>
  <c r="L540" i="1" l="1"/>
  <c r="A541" i="1"/>
  <c r="L541" i="1" l="1"/>
  <c r="A542" i="1"/>
  <c r="L542" i="1" l="1"/>
  <c r="A543" i="1"/>
  <c r="L543" i="1" l="1"/>
  <c r="A544" i="1"/>
  <c r="L544" i="1" l="1"/>
  <c r="A545" i="1"/>
  <c r="L545" i="1" l="1"/>
  <c r="A546" i="1"/>
  <c r="L546" i="1" l="1"/>
  <c r="A547" i="1"/>
  <c r="L547" i="1" l="1"/>
  <c r="A548" i="1"/>
  <c r="L548" i="1" l="1"/>
  <c r="A549" i="1"/>
  <c r="L549" i="1" l="1"/>
  <c r="A550" i="1"/>
  <c r="L550" i="1" l="1"/>
  <c r="A551" i="1"/>
  <c r="L551" i="1" l="1"/>
  <c r="A552" i="1"/>
  <c r="L552" i="1" l="1"/>
  <c r="A553" i="1"/>
  <c r="L553" i="1" l="1"/>
  <c r="A554" i="1"/>
  <c r="L554" i="1" l="1"/>
  <c r="A555" i="1"/>
  <c r="L555" i="1" l="1"/>
  <c r="A556" i="1"/>
  <c r="L556" i="1" l="1"/>
  <c r="A557" i="1"/>
  <c r="L557" i="1" l="1"/>
  <c r="A558" i="1"/>
  <c r="L558" i="1" l="1"/>
  <c r="A559" i="1"/>
  <c r="L559" i="1" l="1"/>
  <c r="A560" i="1"/>
  <c r="L560" i="1" l="1"/>
  <c r="A561" i="1"/>
  <c r="L561" i="1" l="1"/>
  <c r="A562" i="1"/>
  <c r="L562" i="1" l="1"/>
  <c r="A563" i="1"/>
  <c r="L563" i="1" l="1"/>
  <c r="A564" i="1"/>
  <c r="L564" i="1" l="1"/>
  <c r="A565" i="1"/>
  <c r="L565" i="1" l="1"/>
  <c r="A566" i="1"/>
  <c r="L566" i="1" l="1"/>
  <c r="A567" i="1"/>
  <c r="L567" i="1" l="1"/>
  <c r="A568" i="1"/>
  <c r="L568" i="1" l="1"/>
  <c r="A569" i="1"/>
  <c r="L569" i="1" l="1"/>
  <c r="A570" i="1"/>
  <c r="L570" i="1" l="1"/>
  <c r="A571" i="1"/>
  <c r="L571" i="1" l="1"/>
  <c r="A572" i="1"/>
  <c r="L572" i="1" l="1"/>
  <c r="A573" i="1"/>
  <c r="L573" i="1" l="1"/>
  <c r="A574" i="1"/>
  <c r="L574" i="1" l="1"/>
  <c r="A575" i="1"/>
  <c r="L575" i="1" l="1"/>
  <c r="A576" i="1"/>
  <c r="L576" i="1" l="1"/>
  <c r="A577" i="1"/>
  <c r="L577" i="1" l="1"/>
  <c r="A578" i="1"/>
  <c r="L578" i="1" l="1"/>
  <c r="A579" i="1"/>
  <c r="L579" i="1" l="1"/>
  <c r="A580" i="1"/>
  <c r="L580" i="1" l="1"/>
  <c r="A581" i="1"/>
  <c r="L581" i="1" l="1"/>
  <c r="A582" i="1"/>
  <c r="L582" i="1" l="1"/>
  <c r="A583" i="1"/>
  <c r="L583" i="1" l="1"/>
  <c r="A584" i="1"/>
  <c r="L584" i="1" l="1"/>
  <c r="A585" i="1"/>
  <c r="L585" i="1" l="1"/>
  <c r="A586" i="1"/>
  <c r="L586" i="1" l="1"/>
  <c r="A587" i="1"/>
  <c r="L587" i="1" l="1"/>
  <c r="A588" i="1"/>
  <c r="L588" i="1" l="1"/>
  <c r="A589" i="1"/>
  <c r="L589" i="1" l="1"/>
  <c r="A590" i="1"/>
  <c r="L590" i="1" l="1"/>
  <c r="A591" i="1"/>
  <c r="L591" i="1" l="1"/>
  <c r="A592" i="1"/>
  <c r="L592" i="1" l="1"/>
  <c r="A593" i="1"/>
  <c r="L593" i="1" l="1"/>
  <c r="A594" i="1"/>
  <c r="L594" i="1" l="1"/>
  <c r="A595" i="1"/>
  <c r="A596" i="1" l="1"/>
  <c r="L595" i="1"/>
  <c r="L596" i="1" l="1"/>
  <c r="A597" i="1"/>
  <c r="L597" i="1" l="1"/>
  <c r="A598" i="1"/>
  <c r="L598" i="1" l="1"/>
  <c r="A599" i="1"/>
  <c r="L599" i="1" l="1"/>
  <c r="A600" i="1"/>
  <c r="L600" i="1" l="1"/>
  <c r="A601" i="1"/>
  <c r="L601" i="1" l="1"/>
  <c r="A602" i="1"/>
  <c r="L602" i="1" l="1"/>
  <c r="A603" i="1"/>
  <c r="A604" i="1" l="1"/>
  <c r="L603" i="1"/>
  <c r="L604" i="1" l="1"/>
  <c r="A605" i="1"/>
  <c r="L605" i="1" l="1"/>
  <c r="A606" i="1"/>
  <c r="L606" i="1" l="1"/>
  <c r="A607" i="1"/>
  <c r="L607" i="1" l="1"/>
  <c r="A608" i="1"/>
  <c r="L608" i="1" l="1"/>
  <c r="A609" i="1"/>
  <c r="L609" i="1" l="1"/>
  <c r="A610" i="1"/>
  <c r="L610" i="1" l="1"/>
  <c r="A611" i="1"/>
  <c r="A612" i="1" l="1"/>
  <c r="L611" i="1"/>
  <c r="L612" i="1" l="1"/>
  <c r="A613" i="1"/>
  <c r="L613" i="1" l="1"/>
  <c r="A614" i="1"/>
  <c r="L614" i="1" l="1"/>
  <c r="A615" i="1"/>
  <c r="L615" i="1" l="1"/>
  <c r="A616" i="1"/>
  <c r="L616" i="1" l="1"/>
  <c r="A617" i="1"/>
  <c r="L617" i="1" l="1"/>
  <c r="A618" i="1"/>
  <c r="L618" i="1" l="1"/>
  <c r="A619" i="1"/>
  <c r="A620" i="1" l="1"/>
  <c r="L619" i="1"/>
  <c r="L620" i="1" l="1"/>
  <c r="A621" i="1"/>
  <c r="L621" i="1" l="1"/>
  <c r="A622" i="1"/>
  <c r="L622" i="1" l="1"/>
  <c r="A623" i="1"/>
  <c r="L623" i="1" l="1"/>
  <c r="A624" i="1"/>
  <c r="L624" i="1" l="1"/>
  <c r="A625" i="1"/>
  <c r="L625" i="1" l="1"/>
  <c r="A626" i="1"/>
  <c r="L626" i="1" l="1"/>
  <c r="A627" i="1"/>
  <c r="A628" i="1" l="1"/>
  <c r="L627" i="1"/>
  <c r="L628" i="1" l="1"/>
  <c r="A629" i="1"/>
  <c r="L629" i="1" l="1"/>
  <c r="A630" i="1"/>
  <c r="L630" i="1" l="1"/>
  <c r="A631" i="1"/>
  <c r="L631" i="1" l="1"/>
  <c r="A632" i="1"/>
  <c r="L632" i="1" l="1"/>
  <c r="A633" i="1"/>
  <c r="L633" i="1" l="1"/>
  <c r="A634" i="1"/>
  <c r="L634" i="1" l="1"/>
  <c r="A635" i="1"/>
  <c r="A636" i="1" l="1"/>
  <c r="L635" i="1"/>
  <c r="L636" i="1" l="1"/>
  <c r="A637" i="1"/>
  <c r="L637" i="1" l="1"/>
  <c r="A638" i="1"/>
  <c r="L638" i="1" l="1"/>
  <c r="A639" i="1"/>
  <c r="L639" i="1" l="1"/>
  <c r="A640" i="1"/>
  <c r="L640" i="1" l="1"/>
  <c r="A641" i="1"/>
  <c r="L641" i="1" l="1"/>
  <c r="A642" i="1"/>
  <c r="L642" i="1" l="1"/>
  <c r="A643" i="1"/>
  <c r="A644" i="1" l="1"/>
  <c r="L643" i="1"/>
  <c r="L644" i="1" l="1"/>
  <c r="A645" i="1"/>
  <c r="L645" i="1" l="1"/>
  <c r="A646" i="1"/>
  <c r="L646" i="1" l="1"/>
  <c r="A647" i="1"/>
  <c r="L647" i="1" l="1"/>
  <c r="A648" i="1"/>
  <c r="L648" i="1" l="1"/>
  <c r="A649" i="1"/>
  <c r="L649" i="1" l="1"/>
  <c r="A650" i="1"/>
  <c r="L650" i="1" l="1"/>
  <c r="A651" i="1"/>
  <c r="A652" i="1" l="1"/>
  <c r="L651" i="1"/>
  <c r="L652" i="1" l="1"/>
  <c r="A653" i="1"/>
  <c r="L653" i="1" l="1"/>
  <c r="A654" i="1"/>
  <c r="L654" i="1" l="1"/>
  <c r="A655" i="1"/>
  <c r="L655" i="1" l="1"/>
  <c r="A656" i="1"/>
  <c r="L656" i="1" l="1"/>
  <c r="A657" i="1"/>
  <c r="L657" i="1" l="1"/>
  <c r="A658" i="1"/>
  <c r="L658" i="1" l="1"/>
  <c r="A659" i="1"/>
  <c r="A660" i="1" l="1"/>
  <c r="L659" i="1"/>
  <c r="L660" i="1" l="1"/>
  <c r="A661" i="1"/>
  <c r="L661" i="1" l="1"/>
  <c r="A662" i="1"/>
  <c r="L662" i="1" l="1"/>
  <c r="A663" i="1"/>
  <c r="L663" i="1" l="1"/>
  <c r="A664" i="1"/>
  <c r="L664" i="1" l="1"/>
  <c r="A665" i="1"/>
  <c r="L665" i="1" l="1"/>
  <c r="A666" i="1"/>
  <c r="L666" i="1" l="1"/>
  <c r="A667" i="1"/>
  <c r="A668" i="1" l="1"/>
  <c r="L667" i="1"/>
  <c r="L668" i="1" l="1"/>
  <c r="A669" i="1"/>
  <c r="L669" i="1" l="1"/>
  <c r="A670" i="1"/>
  <c r="L670" i="1" l="1"/>
  <c r="A671" i="1"/>
  <c r="L671" i="1" l="1"/>
  <c r="A672" i="1"/>
  <c r="L672" i="1" l="1"/>
  <c r="A673" i="1"/>
  <c r="L673" i="1" l="1"/>
  <c r="A674" i="1"/>
  <c r="L674" i="1" l="1"/>
  <c r="A675" i="1"/>
  <c r="A676" i="1" l="1"/>
  <c r="L675" i="1"/>
  <c r="L676" i="1" l="1"/>
  <c r="A677" i="1"/>
  <c r="L677" i="1" l="1"/>
  <c r="A678" i="1"/>
  <c r="L678" i="1" l="1"/>
  <c r="A679" i="1"/>
  <c r="L679" i="1" l="1"/>
  <c r="A680" i="1"/>
  <c r="L680" i="1" l="1"/>
  <c r="A681" i="1"/>
  <c r="L681" i="1" l="1"/>
  <c r="A682" i="1"/>
  <c r="L682" i="1" l="1"/>
  <c r="A683" i="1"/>
  <c r="A684" i="1" l="1"/>
  <c r="L683" i="1"/>
  <c r="L684" i="1" l="1"/>
  <c r="A685" i="1"/>
  <c r="L685" i="1" l="1"/>
  <c r="A686" i="1"/>
  <c r="L686" i="1" l="1"/>
  <c r="A687" i="1"/>
  <c r="L687" i="1" l="1"/>
  <c r="A688" i="1"/>
  <c r="L688" i="1" l="1"/>
  <c r="A689" i="1"/>
  <c r="L689" i="1" l="1"/>
  <c r="A690" i="1"/>
  <c r="L690" i="1" l="1"/>
  <c r="A691" i="1"/>
  <c r="A692" i="1" l="1"/>
  <c r="L691" i="1"/>
  <c r="L692" i="1" l="1"/>
  <c r="A693" i="1"/>
  <c r="L693" i="1" l="1"/>
  <c r="A694" i="1"/>
  <c r="L694" i="1" l="1"/>
  <c r="A695" i="1"/>
  <c r="L695" i="1" l="1"/>
  <c r="A696" i="1"/>
  <c r="L696" i="1" l="1"/>
  <c r="A697" i="1"/>
  <c r="L697" i="1" l="1"/>
  <c r="A698" i="1"/>
  <c r="L698" i="1" l="1"/>
  <c r="A699" i="1"/>
  <c r="A700" i="1" l="1"/>
  <c r="L699" i="1"/>
  <c r="L700" i="1" l="1"/>
  <c r="A701" i="1"/>
  <c r="L701" i="1" l="1"/>
  <c r="A702" i="1"/>
  <c r="L702" i="1" l="1"/>
  <c r="A703" i="1"/>
  <c r="L703" i="1" l="1"/>
  <c r="A704" i="1"/>
  <c r="L704" i="1" l="1"/>
  <c r="A705" i="1"/>
  <c r="L705" i="1" l="1"/>
  <c r="A706" i="1"/>
  <c r="L706" i="1" l="1"/>
  <c r="A707" i="1"/>
  <c r="A708" i="1" l="1"/>
  <c r="L707" i="1"/>
  <c r="L708" i="1" l="1"/>
  <c r="A709" i="1"/>
  <c r="L709" i="1" l="1"/>
  <c r="A710" i="1"/>
  <c r="L710" i="1" l="1"/>
  <c r="A711" i="1"/>
  <c r="L711" i="1" l="1"/>
  <c r="A712" i="1"/>
  <c r="L712" i="1" l="1"/>
  <c r="A713" i="1"/>
  <c r="L713" i="1" l="1"/>
  <c r="A714" i="1"/>
  <c r="L714" i="1" l="1"/>
  <c r="A715" i="1"/>
  <c r="A716" i="1" l="1"/>
  <c r="L715" i="1"/>
  <c r="L716" i="1" l="1"/>
  <c r="A717" i="1"/>
  <c r="L717" i="1" l="1"/>
  <c r="A718" i="1"/>
  <c r="L718" i="1" l="1"/>
  <c r="A719" i="1"/>
  <c r="L719" i="1" l="1"/>
  <c r="A720" i="1"/>
  <c r="L720" i="1" l="1"/>
  <c r="A721" i="1"/>
  <c r="L721" i="1" l="1"/>
  <c r="A722" i="1"/>
  <c r="L722" i="1" l="1"/>
  <c r="A723" i="1"/>
  <c r="A724" i="1" l="1"/>
  <c r="L723" i="1"/>
  <c r="L724" i="1" l="1"/>
  <c r="A725" i="1"/>
  <c r="L725" i="1" l="1"/>
  <c r="A726" i="1"/>
  <c r="L726" i="1" l="1"/>
  <c r="A727" i="1"/>
  <c r="L727" i="1" l="1"/>
  <c r="A728" i="1"/>
  <c r="L728" i="1" l="1"/>
  <c r="A729" i="1"/>
  <c r="L729" i="1" l="1"/>
  <c r="A730" i="1"/>
  <c r="L730" i="1" l="1"/>
  <c r="A731" i="1"/>
  <c r="A732" i="1" l="1"/>
  <c r="L731" i="1"/>
  <c r="L732" i="1" l="1"/>
  <c r="A733" i="1"/>
  <c r="L733" i="1" l="1"/>
  <c r="A734" i="1"/>
  <c r="L734" i="1" l="1"/>
  <c r="A735" i="1"/>
  <c r="L735" i="1" l="1"/>
  <c r="A736" i="1"/>
  <c r="L736" i="1" l="1"/>
  <c r="A737" i="1"/>
  <c r="L737" i="1" l="1"/>
  <c r="A738" i="1"/>
  <c r="L738" i="1" l="1"/>
  <c r="A739" i="1"/>
  <c r="A740" i="1" l="1"/>
  <c r="L739" i="1"/>
  <c r="L740" i="1" l="1"/>
  <c r="A741" i="1"/>
  <c r="L741" i="1" l="1"/>
  <c r="A742" i="1"/>
  <c r="L742" i="1" l="1"/>
  <c r="A743" i="1"/>
  <c r="L743" i="1" l="1"/>
  <c r="A744" i="1"/>
  <c r="L744" i="1" l="1"/>
  <c r="A745" i="1"/>
  <c r="L745" i="1" l="1"/>
  <c r="A746" i="1"/>
  <c r="L746" i="1" l="1"/>
  <c r="A747" i="1"/>
  <c r="A748" i="1" l="1"/>
  <c r="L747" i="1"/>
  <c r="L748" i="1" l="1"/>
  <c r="A749" i="1"/>
  <c r="L749" i="1" l="1"/>
  <c r="A750" i="1"/>
  <c r="L750" i="1" l="1"/>
  <c r="A751" i="1"/>
  <c r="L751" i="1" l="1"/>
  <c r="A752" i="1"/>
  <c r="L752" i="1" l="1"/>
  <c r="A753" i="1"/>
  <c r="L753" i="1" l="1"/>
  <c r="A754" i="1"/>
  <c r="L754" i="1" l="1"/>
  <c r="A755" i="1"/>
  <c r="A756" i="1" l="1"/>
  <c r="L755" i="1"/>
  <c r="L756" i="1" l="1"/>
  <c r="A757" i="1"/>
  <c r="L757" i="1" l="1"/>
  <c r="A758" i="1"/>
  <c r="L758" i="1" l="1"/>
  <c r="A759" i="1"/>
  <c r="L759" i="1" l="1"/>
  <c r="A760" i="1"/>
  <c r="L760" i="1" l="1"/>
  <c r="A761" i="1"/>
  <c r="L761" i="1" l="1"/>
  <c r="A762" i="1"/>
  <c r="L762" i="1" l="1"/>
  <c r="A763" i="1"/>
  <c r="A764" i="1" l="1"/>
  <c r="L763" i="1"/>
  <c r="L764" i="1" l="1"/>
  <c r="A765" i="1"/>
  <c r="L765" i="1" l="1"/>
  <c r="A766" i="1"/>
  <c r="L766" i="1" l="1"/>
  <c r="A767" i="1"/>
  <c r="L767" i="1" l="1"/>
  <c r="A768" i="1"/>
  <c r="L768" i="1" l="1"/>
  <c r="A769" i="1"/>
  <c r="L769" i="1" l="1"/>
  <c r="A770" i="1"/>
  <c r="L770" i="1" l="1"/>
  <c r="A771" i="1"/>
  <c r="A772" i="1" l="1"/>
  <c r="L771" i="1"/>
  <c r="L772" i="1" l="1"/>
  <c r="A773" i="1"/>
  <c r="L773" i="1" l="1"/>
  <c r="A774" i="1"/>
  <c r="L774" i="1" l="1"/>
  <c r="A775" i="1"/>
  <c r="L775" i="1" l="1"/>
  <c r="A776" i="1"/>
  <c r="L776" i="1" l="1"/>
  <c r="A777" i="1"/>
  <c r="L777" i="1" l="1"/>
  <c r="A778" i="1"/>
  <c r="L778" i="1" l="1"/>
  <c r="A779" i="1"/>
  <c r="A780" i="1" l="1"/>
  <c r="L779" i="1"/>
  <c r="L780" i="1" l="1"/>
  <c r="A781" i="1"/>
  <c r="L781" i="1" l="1"/>
  <c r="A782" i="1"/>
  <c r="L782" i="1" l="1"/>
  <c r="A783" i="1"/>
  <c r="L783" i="1" l="1"/>
  <c r="A784" i="1"/>
  <c r="L784" i="1" l="1"/>
  <c r="A785" i="1"/>
  <c r="L785" i="1" l="1"/>
  <c r="A786" i="1"/>
  <c r="L786" i="1" l="1"/>
  <c r="A787" i="1"/>
  <c r="A788" i="1" l="1"/>
  <c r="L787" i="1"/>
  <c r="L788" i="1" l="1"/>
  <c r="A789" i="1"/>
  <c r="L789" i="1" l="1"/>
  <c r="A790" i="1"/>
  <c r="L790" i="1" l="1"/>
  <c r="A791" i="1"/>
  <c r="L791" i="1" l="1"/>
  <c r="A792" i="1"/>
  <c r="L792" i="1" l="1"/>
  <c r="A793" i="1"/>
  <c r="L793" i="1" l="1"/>
  <c r="A794" i="1"/>
  <c r="L794" i="1" l="1"/>
  <c r="A795" i="1"/>
  <c r="A796" i="1" l="1"/>
  <c r="L795" i="1"/>
  <c r="L796" i="1" l="1"/>
  <c r="A797" i="1"/>
  <c r="L797" i="1" l="1"/>
  <c r="A798" i="1"/>
  <c r="L798" i="1" l="1"/>
  <c r="A799" i="1"/>
  <c r="L799" i="1" l="1"/>
  <c r="A800" i="1"/>
  <c r="L800" i="1" l="1"/>
  <c r="A801" i="1"/>
  <c r="L801" i="1" l="1"/>
  <c r="A802" i="1"/>
  <c r="L802" i="1" l="1"/>
  <c r="A803" i="1"/>
  <c r="A804" i="1" l="1"/>
  <c r="L803" i="1"/>
  <c r="L804" i="1" l="1"/>
  <c r="A805" i="1"/>
  <c r="L805" i="1" l="1"/>
  <c r="A806" i="1"/>
  <c r="L806" i="1" l="1"/>
  <c r="A807" i="1"/>
  <c r="L807" i="1" l="1"/>
  <c r="A808" i="1"/>
  <c r="L808" i="1" l="1"/>
  <c r="A809" i="1"/>
  <c r="L809" i="1" l="1"/>
  <c r="A810" i="1"/>
  <c r="L810" i="1" l="1"/>
  <c r="A811" i="1"/>
  <c r="A812" i="1" l="1"/>
  <c r="L811" i="1"/>
  <c r="L812" i="1" l="1"/>
  <c r="A813" i="1"/>
  <c r="L813" i="1" l="1"/>
  <c r="A814" i="1"/>
  <c r="L814" i="1" l="1"/>
  <c r="A815" i="1"/>
  <c r="L815" i="1" l="1"/>
  <c r="A816" i="1"/>
  <c r="L816" i="1" l="1"/>
  <c r="A817" i="1"/>
  <c r="L817" i="1" l="1"/>
  <c r="A818" i="1"/>
  <c r="L818" i="1" l="1"/>
  <c r="A819" i="1"/>
  <c r="A820" i="1" l="1"/>
  <c r="L819" i="1"/>
  <c r="L820" i="1" l="1"/>
  <c r="A821" i="1"/>
  <c r="L821" i="1" l="1"/>
  <c r="A822" i="1"/>
  <c r="L822" i="1" l="1"/>
  <c r="A823" i="1"/>
  <c r="L823" i="1" l="1"/>
  <c r="A824" i="1"/>
  <c r="L824" i="1" l="1"/>
  <c r="A825" i="1"/>
  <c r="L825" i="1" l="1"/>
  <c r="A826" i="1"/>
  <c r="L826" i="1" l="1"/>
  <c r="A827" i="1"/>
  <c r="A828" i="1" l="1"/>
  <c r="L827" i="1"/>
  <c r="L828" i="1" l="1"/>
  <c r="A829" i="1"/>
  <c r="L829" i="1" l="1"/>
  <c r="A830" i="1"/>
  <c r="L830" i="1" l="1"/>
  <c r="A831" i="1"/>
  <c r="L831" i="1" l="1"/>
  <c r="A832" i="1"/>
  <c r="L832" i="1" l="1"/>
  <c r="A833" i="1"/>
  <c r="L833" i="1" l="1"/>
  <c r="A834" i="1"/>
  <c r="L834" i="1" l="1"/>
  <c r="A835" i="1"/>
  <c r="A836" i="1" l="1"/>
  <c r="L835" i="1"/>
  <c r="L836" i="1" l="1"/>
  <c r="A837" i="1"/>
  <c r="L837" i="1" l="1"/>
  <c r="A838" i="1"/>
  <c r="L838" i="1" l="1"/>
  <c r="A839" i="1"/>
  <c r="L839" i="1" l="1"/>
  <c r="A840" i="1"/>
  <c r="L840" i="1" l="1"/>
  <c r="A841" i="1"/>
  <c r="L841" i="1" l="1"/>
  <c r="A842" i="1"/>
  <c r="L842" i="1" l="1"/>
  <c r="A843" i="1"/>
  <c r="A844" i="1" l="1"/>
  <c r="L843" i="1"/>
  <c r="L844" i="1" l="1"/>
  <c r="A845" i="1"/>
  <c r="L845" i="1" l="1"/>
  <c r="A846" i="1"/>
  <c r="L846" i="1" l="1"/>
  <c r="A847" i="1"/>
  <c r="L847" i="1" l="1"/>
  <c r="A848" i="1"/>
  <c r="L848" i="1" l="1"/>
  <c r="A849" i="1"/>
  <c r="L849" i="1" l="1"/>
  <c r="A850" i="1"/>
  <c r="L850" i="1" l="1"/>
  <c r="A851" i="1"/>
  <c r="A852" i="1" l="1"/>
  <c r="L851" i="1"/>
  <c r="L852" i="1" l="1"/>
  <c r="A853" i="1"/>
  <c r="L853" i="1" l="1"/>
  <c r="A854" i="1"/>
  <c r="L854" i="1" l="1"/>
  <c r="A855" i="1"/>
  <c r="L855" i="1" l="1"/>
  <c r="A856" i="1"/>
  <c r="L856" i="1" l="1"/>
  <c r="A857" i="1"/>
  <c r="L857" i="1" l="1"/>
  <c r="A858" i="1"/>
  <c r="L858" i="1" l="1"/>
  <c r="A859" i="1"/>
  <c r="A860" i="1" l="1"/>
  <c r="L859" i="1"/>
  <c r="L860" i="1" l="1"/>
  <c r="A861" i="1"/>
  <c r="L861" i="1" l="1"/>
  <c r="A862" i="1"/>
  <c r="L862" i="1" l="1"/>
  <c r="A863" i="1"/>
  <c r="L863" i="1" l="1"/>
  <c r="A864" i="1"/>
  <c r="L864" i="1" l="1"/>
  <c r="A865" i="1"/>
  <c r="L865" i="1" l="1"/>
  <c r="A866" i="1"/>
  <c r="L866" i="1" l="1"/>
  <c r="A867" i="1"/>
  <c r="A868" i="1" l="1"/>
  <c r="L867" i="1"/>
  <c r="L868" i="1" l="1"/>
  <c r="A869" i="1"/>
  <c r="L869" i="1" l="1"/>
  <c r="A870" i="1"/>
  <c r="L870" i="1" l="1"/>
  <c r="A871" i="1"/>
  <c r="L871" i="1" l="1"/>
  <c r="A872" i="1"/>
  <c r="L872" i="1" l="1"/>
  <c r="A873" i="1"/>
  <c r="L873" i="1" l="1"/>
  <c r="A874" i="1"/>
  <c r="L874" i="1" l="1"/>
  <c r="A875" i="1"/>
  <c r="A876" i="1" l="1"/>
  <c r="L875" i="1"/>
  <c r="L876" i="1" l="1"/>
  <c r="A877" i="1"/>
  <c r="L877" i="1" l="1"/>
  <c r="A878" i="1"/>
  <c r="L878" i="1" l="1"/>
  <c r="A879" i="1"/>
  <c r="L879" i="1" l="1"/>
  <c r="A880" i="1"/>
  <c r="L880" i="1" l="1"/>
  <c r="A881" i="1"/>
  <c r="L881" i="1" l="1"/>
  <c r="A882" i="1"/>
  <c r="L882" i="1" l="1"/>
  <c r="A883" i="1"/>
  <c r="A884" i="1" l="1"/>
  <c r="L883" i="1"/>
  <c r="L884" i="1" l="1"/>
  <c r="A885" i="1"/>
  <c r="L885" i="1" l="1"/>
  <c r="A886" i="1"/>
  <c r="L886" i="1" l="1"/>
  <c r="A887" i="1"/>
  <c r="L887" i="1" l="1"/>
  <c r="A888" i="1"/>
  <c r="L888" i="1" l="1"/>
  <c r="A889" i="1"/>
  <c r="L889" i="1" l="1"/>
  <c r="A890" i="1"/>
  <c r="L890" i="1" l="1"/>
  <c r="A891" i="1"/>
  <c r="A892" i="1" l="1"/>
  <c r="L891" i="1"/>
  <c r="L892" i="1" l="1"/>
  <c r="A893" i="1"/>
  <c r="L893" i="1" l="1"/>
  <c r="A894" i="1"/>
  <c r="L894" i="1" l="1"/>
  <c r="A895" i="1"/>
  <c r="L895" i="1" l="1"/>
  <c r="A896" i="1"/>
  <c r="L896" i="1" l="1"/>
  <c r="A897" i="1"/>
  <c r="L897" i="1" l="1"/>
  <c r="A898" i="1"/>
  <c r="L898" i="1" l="1"/>
  <c r="A899" i="1"/>
  <c r="A900" i="1" l="1"/>
  <c r="L899" i="1"/>
  <c r="L900" i="1" l="1"/>
  <c r="A901" i="1"/>
  <c r="L901" i="1" l="1"/>
  <c r="A902" i="1"/>
  <c r="L902" i="1" l="1"/>
  <c r="A903" i="1"/>
  <c r="L903" i="1" l="1"/>
  <c r="A904" i="1"/>
  <c r="L904" i="1" l="1"/>
  <c r="A905" i="1"/>
  <c r="L905" i="1" l="1"/>
  <c r="A906" i="1"/>
  <c r="L906" i="1" l="1"/>
  <c r="A907" i="1"/>
  <c r="A908" i="1" l="1"/>
  <c r="L907" i="1"/>
  <c r="L908" i="1" l="1"/>
  <c r="A909" i="1"/>
  <c r="L909" i="1" l="1"/>
  <c r="A910" i="1"/>
  <c r="L910" i="1" l="1"/>
  <c r="A911" i="1"/>
  <c r="L911" i="1" l="1"/>
  <c r="A912" i="1"/>
  <c r="L912" i="1" l="1"/>
  <c r="A913" i="1"/>
  <c r="L913" i="1" l="1"/>
  <c r="A914" i="1"/>
  <c r="L914" i="1" l="1"/>
  <c r="A915" i="1"/>
  <c r="A916" i="1" l="1"/>
  <c r="L915" i="1"/>
  <c r="L916" i="1" l="1"/>
  <c r="A917" i="1"/>
  <c r="L917" i="1" l="1"/>
  <c r="A918" i="1"/>
  <c r="L918" i="1" l="1"/>
  <c r="A919" i="1"/>
  <c r="L919" i="1" l="1"/>
  <c r="A920" i="1"/>
  <c r="L920" i="1" l="1"/>
  <c r="A921" i="1"/>
  <c r="L921" i="1" l="1"/>
  <c r="A922" i="1"/>
  <c r="L922" i="1" l="1"/>
  <c r="A923" i="1"/>
  <c r="A924" i="1" l="1"/>
  <c r="L923" i="1"/>
  <c r="L924" i="1" l="1"/>
  <c r="A925" i="1"/>
  <c r="L925" i="1" l="1"/>
  <c r="A926" i="1"/>
  <c r="L926" i="1" l="1"/>
  <c r="A927" i="1"/>
  <c r="L927" i="1" l="1"/>
  <c r="A928" i="1"/>
  <c r="L928" i="1" l="1"/>
  <c r="A929" i="1"/>
  <c r="L929" i="1" l="1"/>
  <c r="A930" i="1"/>
  <c r="L930" i="1" l="1"/>
  <c r="A931" i="1"/>
  <c r="A932" i="1" l="1"/>
  <c r="L931" i="1"/>
  <c r="L932" i="1" l="1"/>
  <c r="A933" i="1"/>
  <c r="L933" i="1" l="1"/>
  <c r="A934" i="1"/>
  <c r="L934" i="1" l="1"/>
  <c r="A935" i="1"/>
  <c r="L935" i="1" l="1"/>
  <c r="A936" i="1"/>
  <c r="L936" i="1" l="1"/>
  <c r="A937" i="1"/>
  <c r="L937" i="1" l="1"/>
  <c r="A938" i="1"/>
  <c r="L938" i="1" l="1"/>
  <c r="A939" i="1"/>
  <c r="L939" i="1" l="1"/>
  <c r="A940" i="1"/>
  <c r="L940" i="1" l="1"/>
  <c r="A941" i="1"/>
  <c r="L941" i="1" l="1"/>
  <c r="A942" i="1"/>
  <c r="L942" i="1" l="1"/>
  <c r="A943" i="1"/>
  <c r="L943" i="1" l="1"/>
  <c r="A944" i="1"/>
  <c r="L944" i="1" l="1"/>
  <c r="A945" i="1"/>
  <c r="L945" i="1" l="1"/>
  <c r="A946" i="1"/>
  <c r="L946" i="1" l="1"/>
  <c r="A947" i="1"/>
  <c r="L947" i="1" l="1"/>
  <c r="A948" i="1"/>
  <c r="L948" i="1" l="1"/>
  <c r="A949" i="1"/>
  <c r="L949" i="1" l="1"/>
  <c r="A950" i="1"/>
  <c r="L950" i="1" l="1"/>
  <c r="A951" i="1"/>
  <c r="L951" i="1" l="1"/>
  <c r="A952" i="1"/>
  <c r="L952" i="1" l="1"/>
  <c r="A953" i="1"/>
  <c r="L953" i="1" l="1"/>
  <c r="A954" i="1"/>
  <c r="L954" i="1" l="1"/>
  <c r="A955" i="1"/>
  <c r="L955" i="1" l="1"/>
  <c r="A956" i="1"/>
  <c r="L956" i="1" l="1"/>
  <c r="A957" i="1"/>
  <c r="L957" i="1" l="1"/>
  <c r="A958" i="1"/>
  <c r="L958" i="1" l="1"/>
  <c r="A959" i="1"/>
  <c r="L959" i="1" l="1"/>
  <c r="A960" i="1"/>
  <c r="L960" i="1" l="1"/>
  <c r="A961" i="1"/>
  <c r="L961" i="1" l="1"/>
  <c r="A962" i="1"/>
  <c r="L962" i="1" l="1"/>
  <c r="A963" i="1"/>
  <c r="L963" i="1" l="1"/>
  <c r="A964" i="1"/>
  <c r="L964" i="1" l="1"/>
  <c r="A965" i="1"/>
  <c r="L965" i="1" l="1"/>
  <c r="A966" i="1"/>
  <c r="L966" i="1" l="1"/>
  <c r="A967" i="1"/>
  <c r="L967" i="1" l="1"/>
  <c r="A968" i="1"/>
  <c r="L968" i="1" l="1"/>
  <c r="A969" i="1"/>
  <c r="L969" i="1" l="1"/>
  <c r="A970" i="1"/>
  <c r="L970" i="1" l="1"/>
  <c r="A971" i="1"/>
  <c r="L971" i="1" l="1"/>
  <c r="A972" i="1"/>
  <c r="L972" i="1" l="1"/>
  <c r="A973" i="1"/>
  <c r="L973" i="1" l="1"/>
  <c r="A974" i="1"/>
  <c r="L974" i="1" l="1"/>
  <c r="A975" i="1"/>
  <c r="L975" i="1" l="1"/>
  <c r="A976" i="1"/>
  <c r="L976" i="1" l="1"/>
  <c r="A977" i="1"/>
  <c r="L977" i="1" l="1"/>
  <c r="A978" i="1"/>
  <c r="L978" i="1" l="1"/>
  <c r="A979" i="1"/>
  <c r="L979" i="1" l="1"/>
  <c r="A980" i="1"/>
  <c r="L980" i="1" l="1"/>
  <c r="A981" i="1"/>
  <c r="L981" i="1" l="1"/>
  <c r="A982" i="1"/>
  <c r="L982" i="1" l="1"/>
  <c r="A983" i="1"/>
  <c r="L983" i="1" l="1"/>
  <c r="A984" i="1"/>
  <c r="L984" i="1" l="1"/>
  <c r="A985" i="1"/>
  <c r="L985" i="1" l="1"/>
  <c r="A986" i="1"/>
  <c r="L986" i="1" l="1"/>
  <c r="A987" i="1"/>
  <c r="L987" i="1" l="1"/>
  <c r="A988" i="1"/>
  <c r="L988" i="1" l="1"/>
  <c r="A989" i="1"/>
  <c r="L989" i="1" l="1"/>
  <c r="A990" i="1"/>
  <c r="L990" i="1" l="1"/>
  <c r="A991" i="1"/>
  <c r="L991" i="1" l="1"/>
  <c r="A992" i="1"/>
  <c r="L992" i="1" l="1"/>
  <c r="A993" i="1"/>
  <c r="L993" i="1" l="1"/>
  <c r="A994" i="1"/>
  <c r="L994" i="1" l="1"/>
  <c r="A995" i="1"/>
  <c r="L995" i="1" l="1"/>
  <c r="A996" i="1"/>
  <c r="L996" i="1" l="1"/>
  <c r="A997" i="1"/>
  <c r="L997" i="1" l="1"/>
  <c r="A998" i="1"/>
  <c r="L998" i="1" l="1"/>
  <c r="A999" i="1"/>
  <c r="L999" i="1" l="1"/>
  <c r="A1000" i="1"/>
  <c r="L1000" i="1" l="1"/>
  <c r="A1001" i="1"/>
  <c r="L1001" i="1" l="1"/>
  <c r="A1002" i="1"/>
  <c r="L1002" i="1" l="1"/>
  <c r="A1003" i="1"/>
  <c r="L1003" i="1" l="1"/>
  <c r="A1004" i="1"/>
  <c r="L1004" i="1" l="1"/>
  <c r="A1005" i="1"/>
  <c r="L1005" i="1" l="1"/>
  <c r="A1006" i="1"/>
  <c r="L1006" i="1" l="1"/>
  <c r="A1007" i="1"/>
  <c r="L1007" i="1" l="1"/>
  <c r="A1008" i="1"/>
  <c r="L1008" i="1" l="1"/>
  <c r="A1009" i="1"/>
  <c r="L1009" i="1" l="1"/>
  <c r="A1010" i="1"/>
  <c r="L1010" i="1" l="1"/>
  <c r="A1011" i="1"/>
  <c r="L1011" i="1" l="1"/>
  <c r="A1012" i="1"/>
  <c r="L1012" i="1" l="1"/>
  <c r="A1013" i="1"/>
  <c r="L1013" i="1" l="1"/>
  <c r="A1014" i="1"/>
  <c r="L1014" i="1" l="1"/>
  <c r="A1015" i="1"/>
  <c r="L1015" i="1" l="1"/>
  <c r="A1016" i="1"/>
  <c r="L1016" i="1" l="1"/>
  <c r="A1017" i="1"/>
  <c r="L1017" i="1" l="1"/>
  <c r="A1018" i="1"/>
  <c r="L1018" i="1" l="1"/>
  <c r="A1019" i="1"/>
  <c r="L1019" i="1" l="1"/>
  <c r="A1020" i="1"/>
  <c r="L1020" i="1" l="1"/>
  <c r="A1021" i="1"/>
  <c r="L1021" i="1" l="1"/>
  <c r="A1022" i="1"/>
  <c r="L1022" i="1" l="1"/>
  <c r="A1023" i="1"/>
  <c r="L1023" i="1" l="1"/>
  <c r="A1024" i="1"/>
  <c r="L1024" i="1" l="1"/>
  <c r="A1025" i="1"/>
  <c r="L1025" i="1" l="1"/>
  <c r="A1026" i="1"/>
  <c r="L1026" i="1" l="1"/>
  <c r="A1027" i="1"/>
  <c r="L1027" i="1" l="1"/>
  <c r="A1028" i="1"/>
  <c r="L1028" i="1" l="1"/>
  <c r="A1029" i="1"/>
  <c r="L1029" i="1" l="1"/>
  <c r="A1030" i="1"/>
  <c r="L1030" i="1" l="1"/>
  <c r="A1031" i="1"/>
  <c r="L1031" i="1" l="1"/>
  <c r="A1032" i="1"/>
  <c r="L1032" i="1" l="1"/>
  <c r="A1033" i="1"/>
  <c r="L1033" i="1" l="1"/>
  <c r="A1034" i="1"/>
  <c r="L1034" i="1" l="1"/>
  <c r="A1035" i="1"/>
  <c r="L1035" i="1" l="1"/>
  <c r="A1036" i="1"/>
  <c r="L1036" i="1" l="1"/>
  <c r="A1037" i="1"/>
  <c r="L1037" i="1" l="1"/>
  <c r="A1038" i="1"/>
  <c r="L1038" i="1" l="1"/>
  <c r="A1039" i="1"/>
  <c r="L1039" i="1" l="1"/>
  <c r="A1040" i="1"/>
  <c r="L1040" i="1" l="1"/>
  <c r="A1041" i="1"/>
  <c r="L1041" i="1" l="1"/>
  <c r="A1042" i="1"/>
  <c r="L1042" i="1" l="1"/>
  <c r="A1043" i="1"/>
  <c r="L1043" i="1" l="1"/>
  <c r="A1044" i="1"/>
  <c r="L1044" i="1" l="1"/>
  <c r="A1045" i="1"/>
  <c r="L1045" i="1" l="1"/>
  <c r="A1046" i="1"/>
  <c r="L1046" i="1" l="1"/>
  <c r="A1047" i="1"/>
  <c r="L1047" i="1" l="1"/>
  <c r="A1048" i="1"/>
  <c r="L1048" i="1" l="1"/>
  <c r="A1049" i="1"/>
  <c r="L1049" i="1" l="1"/>
  <c r="A1050" i="1"/>
  <c r="L1050" i="1" l="1"/>
  <c r="A1051" i="1"/>
  <c r="L1051" i="1" l="1"/>
  <c r="A1052" i="1"/>
  <c r="L1052" i="1" l="1"/>
  <c r="A1053" i="1"/>
  <c r="L1053" i="1" l="1"/>
  <c r="A1054" i="1"/>
  <c r="L1054" i="1" l="1"/>
  <c r="A1055" i="1"/>
  <c r="L1055" i="1" l="1"/>
  <c r="A1056" i="1"/>
  <c r="L1056" i="1" l="1"/>
  <c r="A1057" i="1"/>
  <c r="L1057" i="1" l="1"/>
  <c r="A1058" i="1"/>
  <c r="L1058" i="1" l="1"/>
  <c r="A1059" i="1"/>
  <c r="L1059" i="1" l="1"/>
  <c r="A1060" i="1"/>
  <c r="L1060" i="1" l="1"/>
  <c r="A1061" i="1"/>
  <c r="L1061" i="1" l="1"/>
  <c r="A1062" i="1"/>
  <c r="L1062" i="1" l="1"/>
  <c r="A1063" i="1"/>
  <c r="L1063" i="1" l="1"/>
  <c r="A1064" i="1"/>
  <c r="L1064" i="1" l="1"/>
  <c r="A1065" i="1"/>
  <c r="L1065" i="1" l="1"/>
  <c r="A1066" i="1"/>
  <c r="L1066" i="1" l="1"/>
  <c r="A1067" i="1"/>
  <c r="L1067" i="1" l="1"/>
  <c r="A1068" i="1"/>
  <c r="L1068" i="1" l="1"/>
  <c r="A1069" i="1"/>
  <c r="L1069" i="1" l="1"/>
  <c r="A1070" i="1"/>
  <c r="L1070" i="1" l="1"/>
  <c r="A1071" i="1"/>
  <c r="L1071" i="1" l="1"/>
  <c r="A1072" i="1"/>
  <c r="L1072" i="1" l="1"/>
  <c r="A1073" i="1"/>
  <c r="L1073" i="1" l="1"/>
  <c r="A1074" i="1"/>
  <c r="L1074" i="1" l="1"/>
  <c r="A1075" i="1"/>
  <c r="L1075" i="1" l="1"/>
  <c r="A1076" i="1"/>
  <c r="L1076" i="1" l="1"/>
  <c r="A1077" i="1"/>
  <c r="L1077" i="1" l="1"/>
  <c r="A1078" i="1"/>
  <c r="L1078" i="1" l="1"/>
  <c r="A1079" i="1"/>
  <c r="A1080" i="1" l="1"/>
  <c r="L1079" i="1"/>
  <c r="L1080" i="1" l="1"/>
  <c r="A1081" i="1"/>
  <c r="L1081" i="1" l="1"/>
  <c r="A1082" i="1"/>
  <c r="L1082" i="1" l="1"/>
  <c r="A1083" i="1"/>
  <c r="L1083" i="1" l="1"/>
  <c r="A1084" i="1"/>
  <c r="L1084" i="1" l="1"/>
  <c r="A1085" i="1"/>
  <c r="L1085" i="1" l="1"/>
  <c r="A1086" i="1"/>
  <c r="L1086" i="1" l="1"/>
  <c r="A1087" i="1"/>
  <c r="L1087" i="1" l="1"/>
  <c r="A1088" i="1"/>
  <c r="L1088" i="1" l="1"/>
  <c r="A1089" i="1"/>
  <c r="L1089" i="1" l="1"/>
  <c r="A1090" i="1"/>
  <c r="L1090" i="1" l="1"/>
  <c r="A1091" i="1"/>
  <c r="L1091" i="1" l="1"/>
  <c r="A1092" i="1"/>
  <c r="L1092" i="1" l="1"/>
  <c r="A1093" i="1"/>
  <c r="L1093" i="1" l="1"/>
  <c r="A1094" i="1"/>
  <c r="L1094" i="1" l="1"/>
  <c r="A1095" i="1"/>
  <c r="L1095" i="1" l="1"/>
  <c r="A1096" i="1"/>
  <c r="L1096" i="1" l="1"/>
  <c r="A1097" i="1"/>
  <c r="L1097" i="1" l="1"/>
  <c r="A1098" i="1"/>
  <c r="L1098" i="1" l="1"/>
  <c r="A1099" i="1"/>
  <c r="L1099" i="1" l="1"/>
  <c r="A1100" i="1"/>
  <c r="L1100" i="1" l="1"/>
  <c r="A1101" i="1"/>
  <c r="L1101" i="1" l="1"/>
  <c r="A1102" i="1"/>
  <c r="L1102" i="1" l="1"/>
  <c r="A1103" i="1"/>
  <c r="L1103" i="1" l="1"/>
  <c r="A1104" i="1"/>
  <c r="L1104" i="1" l="1"/>
  <c r="A1105" i="1"/>
  <c r="L1105" i="1" l="1"/>
  <c r="A1106" i="1"/>
  <c r="L1106" i="1" l="1"/>
  <c r="A1107" i="1"/>
  <c r="L1107" i="1" l="1"/>
  <c r="A1108" i="1"/>
  <c r="L1108" i="1" l="1"/>
  <c r="A1109" i="1"/>
  <c r="L1109" i="1" l="1"/>
  <c r="A1110" i="1"/>
  <c r="L1110" i="1" l="1"/>
  <c r="A1111" i="1"/>
  <c r="L1111" i="1" l="1"/>
  <c r="A1112" i="1"/>
  <c r="L1112" i="1" l="1"/>
  <c r="A1113" i="1"/>
  <c r="L1113" i="1" l="1"/>
  <c r="A1114" i="1"/>
  <c r="L1114" i="1" l="1"/>
  <c r="A1115" i="1"/>
  <c r="L1115" i="1" l="1"/>
  <c r="A1116" i="1"/>
  <c r="L1116" i="1" l="1"/>
  <c r="A1117" i="1"/>
  <c r="L1117" i="1" l="1"/>
  <c r="A1118" i="1"/>
  <c r="L1118" i="1" l="1"/>
  <c r="A1119" i="1"/>
  <c r="L1119" i="1" l="1"/>
  <c r="A1120" i="1"/>
  <c r="L1120" i="1" l="1"/>
  <c r="A1121" i="1"/>
  <c r="L1121" i="1" l="1"/>
  <c r="A1122" i="1"/>
  <c r="L1122" i="1" l="1"/>
  <c r="A1123" i="1"/>
  <c r="L1123" i="1" l="1"/>
  <c r="A1124" i="1"/>
  <c r="L1124" i="1" l="1"/>
  <c r="A1125" i="1"/>
  <c r="L1125" i="1" l="1"/>
  <c r="A1126" i="1"/>
  <c r="L1126" i="1" l="1"/>
  <c r="A1127" i="1"/>
  <c r="L1127" i="1" l="1"/>
  <c r="A1128" i="1"/>
  <c r="L1128" i="1" l="1"/>
  <c r="A1129" i="1"/>
  <c r="L1129" i="1" l="1"/>
  <c r="A1130" i="1"/>
  <c r="L1130" i="1" l="1"/>
  <c r="A1131" i="1"/>
  <c r="L1131" i="1" l="1"/>
  <c r="A1132" i="1"/>
  <c r="L1132" i="1" l="1"/>
  <c r="A1133" i="1"/>
  <c r="L1133" i="1" l="1"/>
  <c r="A1134" i="1"/>
  <c r="L1134" i="1" l="1"/>
  <c r="A1135" i="1"/>
  <c r="L1135" i="1" l="1"/>
  <c r="A1136" i="1"/>
  <c r="L1136" i="1" l="1"/>
  <c r="A1137" i="1"/>
  <c r="L1137" i="1" l="1"/>
  <c r="A1138" i="1"/>
  <c r="L1138" i="1" l="1"/>
  <c r="A1139" i="1"/>
  <c r="L1139" i="1" l="1"/>
  <c r="A1140" i="1"/>
  <c r="L1140" i="1" l="1"/>
  <c r="A1141" i="1"/>
  <c r="L1141" i="1" l="1"/>
  <c r="A1142" i="1"/>
  <c r="L1142" i="1" l="1"/>
  <c r="A1143" i="1"/>
  <c r="L1143" i="1" l="1"/>
  <c r="A1144" i="1"/>
  <c r="L1144" i="1" l="1"/>
  <c r="A1145" i="1"/>
  <c r="L1145" i="1" l="1"/>
  <c r="A1146" i="1"/>
  <c r="L1146" i="1" l="1"/>
  <c r="A1147" i="1"/>
  <c r="L1147" i="1" l="1"/>
  <c r="A1148" i="1"/>
  <c r="L1148" i="1" l="1"/>
  <c r="A1149" i="1"/>
  <c r="L1149" i="1" l="1"/>
  <c r="A1150" i="1"/>
  <c r="L1150" i="1" l="1"/>
  <c r="A1151" i="1"/>
  <c r="L1151" i="1" l="1"/>
  <c r="A1152" i="1"/>
  <c r="L1152" i="1" l="1"/>
  <c r="A1153" i="1"/>
  <c r="L1153" i="1" l="1"/>
  <c r="A1154" i="1"/>
  <c r="L1154" i="1" l="1"/>
  <c r="A1155" i="1"/>
  <c r="L1155" i="1" l="1"/>
  <c r="A1156" i="1"/>
  <c r="L1156" i="1" l="1"/>
  <c r="A1157" i="1"/>
  <c r="L1157" i="1" l="1"/>
  <c r="A1158" i="1"/>
  <c r="L1158" i="1" l="1"/>
  <c r="A1159" i="1"/>
  <c r="L1159" i="1" l="1"/>
  <c r="A1160" i="1"/>
  <c r="L1160" i="1" l="1"/>
  <c r="A1161" i="1"/>
  <c r="L1161" i="1" l="1"/>
  <c r="A1162" i="1"/>
  <c r="L1162" i="1" l="1"/>
  <c r="A1163" i="1"/>
  <c r="L1163" i="1" l="1"/>
  <c r="A1164" i="1"/>
  <c r="L1164" i="1" l="1"/>
  <c r="A1165" i="1"/>
  <c r="L1165" i="1" l="1"/>
  <c r="A1166" i="1"/>
  <c r="L1166" i="1" l="1"/>
  <c r="A1167" i="1"/>
  <c r="L1167" i="1" l="1"/>
  <c r="A1168" i="1"/>
  <c r="L1168" i="1" l="1"/>
  <c r="A1169" i="1"/>
  <c r="L1169" i="1" l="1"/>
  <c r="A1170" i="1"/>
  <c r="L1170" i="1" l="1"/>
  <c r="A1171" i="1"/>
  <c r="L1171" i="1" l="1"/>
  <c r="A1172" i="1"/>
  <c r="L1172" i="1" l="1"/>
  <c r="A1173" i="1"/>
  <c r="L1173" i="1" l="1"/>
  <c r="A1174" i="1"/>
  <c r="L1174" i="1" l="1"/>
  <c r="A1175" i="1"/>
  <c r="L1175" i="1" l="1"/>
  <c r="A1176" i="1"/>
  <c r="L1176" i="1" l="1"/>
  <c r="A1177" i="1"/>
  <c r="L1177" i="1" l="1"/>
  <c r="A1178" i="1"/>
  <c r="L1178" i="1" l="1"/>
  <c r="A1179" i="1"/>
  <c r="L1179" i="1" l="1"/>
  <c r="A1180" i="1"/>
  <c r="L1180" i="1" l="1"/>
  <c r="A1181" i="1"/>
  <c r="L1181" i="1" l="1"/>
  <c r="A1182" i="1"/>
  <c r="L1182" i="1" l="1"/>
  <c r="A1183" i="1"/>
  <c r="A1184" i="1" l="1"/>
  <c r="L1183" i="1"/>
  <c r="L1184" i="1" l="1"/>
  <c r="A1185" i="1"/>
  <c r="L1185" i="1" l="1"/>
  <c r="A1186" i="1"/>
  <c r="L1186" i="1" l="1"/>
  <c r="A1187" i="1"/>
  <c r="L1187" i="1" l="1"/>
  <c r="A1188" i="1"/>
  <c r="L1188" i="1" l="1"/>
  <c r="A1189" i="1"/>
  <c r="L1189" i="1" l="1"/>
  <c r="A1190" i="1"/>
  <c r="L1190" i="1" l="1"/>
  <c r="A1191" i="1"/>
  <c r="A1192" i="1" l="1"/>
  <c r="L1191" i="1"/>
  <c r="L1192" i="1" l="1"/>
  <c r="A1193" i="1"/>
  <c r="L1193" i="1" l="1"/>
  <c r="A1194" i="1"/>
  <c r="L1194" i="1" l="1"/>
  <c r="A1195" i="1"/>
  <c r="L1195" i="1" l="1"/>
  <c r="A1196" i="1"/>
  <c r="L1196" i="1" l="1"/>
  <c r="A1197" i="1"/>
  <c r="L1197" i="1" l="1"/>
  <c r="A1198" i="1"/>
  <c r="L1198" i="1" l="1"/>
  <c r="A1199" i="1"/>
  <c r="A1200" i="1" l="1"/>
  <c r="L1199" i="1"/>
  <c r="L1200" i="1" l="1"/>
  <c r="A1201" i="1"/>
  <c r="L1201" i="1" l="1"/>
  <c r="A1202" i="1"/>
  <c r="L1202" i="1" l="1"/>
  <c r="A1203" i="1"/>
  <c r="L1203" i="1" l="1"/>
  <c r="A1204" i="1"/>
  <c r="L1204" i="1" l="1"/>
  <c r="A1205" i="1"/>
  <c r="L1205" i="1" l="1"/>
  <c r="A1206" i="1"/>
  <c r="L1206" i="1" l="1"/>
  <c r="A1207" i="1"/>
  <c r="A1208" i="1" l="1"/>
  <c r="L1207" i="1"/>
  <c r="L1208" i="1" l="1"/>
  <c r="A1209" i="1"/>
  <c r="L1209" i="1" l="1"/>
  <c r="A1210" i="1"/>
  <c r="L1210" i="1" l="1"/>
  <c r="A1211" i="1"/>
  <c r="L1211" i="1" l="1"/>
  <c r="A1212" i="1"/>
  <c r="L1212" i="1" l="1"/>
  <c r="A1213" i="1"/>
  <c r="L1213" i="1" l="1"/>
  <c r="A1214" i="1"/>
  <c r="L1214" i="1" l="1"/>
  <c r="A1215" i="1"/>
  <c r="A1216" i="1" l="1"/>
  <c r="L1215" i="1"/>
  <c r="L1216" i="1" l="1"/>
  <c r="A1217" i="1"/>
  <c r="L1217" i="1" l="1"/>
  <c r="A1218" i="1"/>
  <c r="L1218" i="1" l="1"/>
  <c r="A1219" i="1"/>
  <c r="L1219" i="1" l="1"/>
  <c r="A1220" i="1"/>
  <c r="L1220" i="1" l="1"/>
  <c r="A1221" i="1"/>
  <c r="L1221" i="1" l="1"/>
  <c r="A1222" i="1"/>
  <c r="L1222" i="1" l="1"/>
  <c r="A1223" i="1"/>
  <c r="A1224" i="1" l="1"/>
  <c r="L1223" i="1"/>
  <c r="L1224" i="1" l="1"/>
  <c r="A1225" i="1"/>
  <c r="L1225" i="1" l="1"/>
  <c r="A1226" i="1"/>
  <c r="L1226" i="1" l="1"/>
  <c r="A1227" i="1"/>
  <c r="L1227" i="1" l="1"/>
  <c r="A1228" i="1"/>
  <c r="L1228" i="1" l="1"/>
  <c r="A1229" i="1"/>
  <c r="L1229" i="1" l="1"/>
  <c r="A1230" i="1"/>
  <c r="L1230" i="1" l="1"/>
  <c r="A1231" i="1"/>
  <c r="A1232" i="1" l="1"/>
  <c r="L1231" i="1"/>
  <c r="L1232" i="1" l="1"/>
  <c r="A1233" i="1"/>
  <c r="L1233" i="1" l="1"/>
  <c r="A1234" i="1"/>
  <c r="L1234" i="1" l="1"/>
  <c r="A1235" i="1"/>
  <c r="L1235" i="1" l="1"/>
  <c r="A1236" i="1"/>
  <c r="L1236" i="1" l="1"/>
  <c r="A1237" i="1"/>
  <c r="L1237" i="1" l="1"/>
  <c r="A1238" i="1"/>
  <c r="L1238" i="1" l="1"/>
  <c r="A1239" i="1"/>
  <c r="A1240" i="1" l="1"/>
  <c r="L1239" i="1"/>
  <c r="L1240" i="1" l="1"/>
  <c r="A1241" i="1"/>
  <c r="L1241" i="1" l="1"/>
  <c r="A1242" i="1"/>
  <c r="L1242" i="1" l="1"/>
  <c r="A1243" i="1"/>
  <c r="L1243" i="1" l="1"/>
  <c r="A1244" i="1"/>
  <c r="L1244" i="1" l="1"/>
  <c r="A1245" i="1"/>
  <c r="L1245" i="1" l="1"/>
  <c r="A1246" i="1"/>
  <c r="L1246" i="1" l="1"/>
  <c r="A1247" i="1"/>
  <c r="A1248" i="1" l="1"/>
  <c r="L1247" i="1"/>
  <c r="L1248" i="1" l="1"/>
  <c r="A1249" i="1"/>
  <c r="L1249" i="1" l="1"/>
  <c r="A1250" i="1"/>
  <c r="L1250" i="1" l="1"/>
  <c r="A1251" i="1"/>
  <c r="L1251" i="1" l="1"/>
  <c r="A1252" i="1"/>
  <c r="L1252" i="1" l="1"/>
  <c r="A1253" i="1"/>
  <c r="L1253" i="1" l="1"/>
  <c r="A1254" i="1"/>
  <c r="L1254" i="1" l="1"/>
  <c r="A1255" i="1"/>
  <c r="A1256" i="1" l="1"/>
  <c r="L1255" i="1"/>
  <c r="L1256" i="1" l="1"/>
  <c r="A1257" i="1"/>
  <c r="L1257" i="1" l="1"/>
  <c r="A1258" i="1"/>
  <c r="L1258" i="1" l="1"/>
  <c r="A1259" i="1"/>
  <c r="L1259" i="1" l="1"/>
  <c r="A1260" i="1"/>
  <c r="L1260" i="1" l="1"/>
  <c r="A1261" i="1"/>
  <c r="L1261" i="1" l="1"/>
  <c r="A1262" i="1"/>
  <c r="L1262" i="1" l="1"/>
  <c r="A1263" i="1"/>
  <c r="A1264" i="1" l="1"/>
  <c r="L1263" i="1"/>
  <c r="L1264" i="1" l="1"/>
  <c r="A1265" i="1"/>
  <c r="L1265" i="1" l="1"/>
  <c r="A1266" i="1"/>
  <c r="L1266" i="1" l="1"/>
  <c r="A1267" i="1"/>
  <c r="L1267" i="1" l="1"/>
  <c r="A1268" i="1"/>
  <c r="L1268" i="1" l="1"/>
  <c r="A1269" i="1"/>
  <c r="L1269" i="1" l="1"/>
  <c r="A1270" i="1"/>
  <c r="L1270" i="1" l="1"/>
  <c r="A1271" i="1"/>
  <c r="A1272" i="1" l="1"/>
  <c r="L1271" i="1"/>
  <c r="L1272" i="1" l="1"/>
  <c r="A1273" i="1"/>
  <c r="L1273" i="1" l="1"/>
  <c r="A1274" i="1"/>
  <c r="L1274" i="1" l="1"/>
  <c r="A1275" i="1"/>
  <c r="L1275" i="1" l="1"/>
  <c r="A1276" i="1"/>
  <c r="L1276" i="1" l="1"/>
  <c r="A1277" i="1"/>
  <c r="L1277" i="1" l="1"/>
  <c r="A1278" i="1"/>
  <c r="L1278" i="1" l="1"/>
  <c r="A1279" i="1"/>
  <c r="A1280" i="1" l="1"/>
  <c r="L1279" i="1"/>
  <c r="L1280" i="1" l="1"/>
  <c r="A1281" i="1"/>
  <c r="L1281" i="1" l="1"/>
  <c r="A1282" i="1"/>
  <c r="L1282" i="1" l="1"/>
  <c r="A1283" i="1"/>
  <c r="L1283" i="1" l="1"/>
  <c r="A1284" i="1"/>
  <c r="L1284" i="1" l="1"/>
  <c r="A1285" i="1"/>
  <c r="L1285" i="1" l="1"/>
  <c r="A1286" i="1"/>
  <c r="L1286" i="1" l="1"/>
  <c r="A1287" i="1"/>
  <c r="L1287" i="1" l="1"/>
  <c r="A1288" i="1"/>
  <c r="L1288" i="1" l="1"/>
  <c r="A1289" i="1"/>
  <c r="L1289" i="1" l="1"/>
  <c r="A1290" i="1"/>
  <c r="L1290" i="1" l="1"/>
  <c r="A1291" i="1"/>
  <c r="L1291" i="1" l="1"/>
  <c r="A1292" i="1"/>
  <c r="L1292" i="1" l="1"/>
  <c r="A1293" i="1"/>
  <c r="L1293" i="1" l="1"/>
  <c r="A1294" i="1"/>
  <c r="L1294" i="1" l="1"/>
  <c r="A1295" i="1"/>
  <c r="A1296" i="1" l="1"/>
  <c r="L1295" i="1"/>
  <c r="L1296" i="1" l="1"/>
  <c r="A1297" i="1"/>
  <c r="L1297" i="1" l="1"/>
  <c r="A1298" i="1"/>
  <c r="L1298" i="1" l="1"/>
  <c r="A1299" i="1"/>
  <c r="L1299" i="1" l="1"/>
  <c r="A1300" i="1"/>
  <c r="L1300" i="1" l="1"/>
  <c r="A1301" i="1"/>
  <c r="L1301" i="1" l="1"/>
  <c r="A1302" i="1"/>
  <c r="L1302" i="1" l="1"/>
  <c r="A1303" i="1"/>
  <c r="A1304" i="1" l="1"/>
  <c r="L1303" i="1"/>
  <c r="L1304" i="1" l="1"/>
  <c r="A1305" i="1"/>
  <c r="L1305" i="1" l="1"/>
  <c r="A1306" i="1"/>
  <c r="L1306" i="1" l="1"/>
  <c r="A1307" i="1"/>
  <c r="L1307" i="1" l="1"/>
  <c r="A1308" i="1"/>
  <c r="L1308" i="1" l="1"/>
  <c r="A1309" i="1"/>
  <c r="L1309" i="1" l="1"/>
  <c r="A1310" i="1"/>
  <c r="L1310" i="1" l="1"/>
  <c r="A1311" i="1"/>
  <c r="L1311" i="1" l="1"/>
  <c r="A1312" i="1"/>
  <c r="L1312" i="1" l="1"/>
  <c r="A1313" i="1"/>
  <c r="L1313" i="1" l="1"/>
  <c r="A1314" i="1"/>
  <c r="L1314" i="1" l="1"/>
  <c r="A1315" i="1"/>
  <c r="L1315" i="1" l="1"/>
  <c r="A1316" i="1"/>
  <c r="L1316" i="1" l="1"/>
  <c r="A1317" i="1"/>
  <c r="L1317" i="1" l="1"/>
  <c r="A1318" i="1"/>
  <c r="L1318" i="1" l="1"/>
  <c r="A1319" i="1"/>
  <c r="A1320" i="1" l="1"/>
  <c r="L1319" i="1"/>
  <c r="L1320" i="1" l="1"/>
  <c r="A1321" i="1"/>
  <c r="L1321" i="1" l="1"/>
  <c r="A1322" i="1"/>
  <c r="L1322" i="1" l="1"/>
  <c r="A1323" i="1"/>
  <c r="L1323" i="1" l="1"/>
  <c r="A1324" i="1"/>
  <c r="L1324" i="1" l="1"/>
  <c r="A1325" i="1"/>
  <c r="L1325" i="1" l="1"/>
  <c r="A1326" i="1"/>
  <c r="L1326" i="1" l="1"/>
  <c r="A1327" i="1"/>
  <c r="A1328" i="1" l="1"/>
  <c r="L1327" i="1"/>
  <c r="L1328" i="1" l="1"/>
  <c r="A1329" i="1"/>
  <c r="L1329" i="1" l="1"/>
  <c r="A1330" i="1"/>
  <c r="L1330" i="1" l="1"/>
  <c r="A1331" i="1"/>
  <c r="L1331" i="1" l="1"/>
  <c r="A1332" i="1"/>
  <c r="L1332" i="1" l="1"/>
  <c r="A1333" i="1"/>
  <c r="L1333" i="1" l="1"/>
  <c r="A1334" i="1"/>
  <c r="L1334" i="1" l="1"/>
  <c r="A1335" i="1"/>
  <c r="A1336" i="1" l="1"/>
  <c r="L1335" i="1"/>
  <c r="L1336" i="1" l="1"/>
  <c r="A1337" i="1"/>
  <c r="L1337" i="1" l="1"/>
  <c r="A1338" i="1"/>
  <c r="L1338" i="1" l="1"/>
  <c r="A1339" i="1"/>
  <c r="L1339" i="1" l="1"/>
  <c r="A1340" i="1"/>
  <c r="L1340" i="1" l="1"/>
  <c r="A1341" i="1"/>
  <c r="L1341" i="1" l="1"/>
  <c r="A1342" i="1"/>
  <c r="L1342" i="1" l="1"/>
  <c r="A1343" i="1"/>
  <c r="A1344" i="1" l="1"/>
  <c r="L1343" i="1"/>
  <c r="L1344" i="1" l="1"/>
  <c r="A1345" i="1"/>
  <c r="L1345" i="1" l="1"/>
  <c r="A1346" i="1"/>
  <c r="L1346" i="1" l="1"/>
  <c r="A1347" i="1"/>
  <c r="L1347" i="1" l="1"/>
  <c r="A1348" i="1"/>
  <c r="L1348" i="1" l="1"/>
  <c r="A1349" i="1"/>
  <c r="L1349" i="1" l="1"/>
  <c r="A1350" i="1"/>
  <c r="L1350" i="1" l="1"/>
  <c r="A1351" i="1"/>
  <c r="A1352" i="1" l="1"/>
  <c r="L1351" i="1"/>
  <c r="L1352" i="1" l="1"/>
  <c r="A1353" i="1"/>
  <c r="L1353" i="1" l="1"/>
  <c r="A1354" i="1"/>
  <c r="L1354" i="1" l="1"/>
  <c r="A1355" i="1"/>
  <c r="L1355" i="1" l="1"/>
  <c r="A1356" i="1"/>
  <c r="L1356" i="1" l="1"/>
  <c r="A1357" i="1"/>
  <c r="A1358" i="1" l="1"/>
  <c r="L1357" i="1"/>
  <c r="L1358" i="1" l="1"/>
  <c r="A1359" i="1"/>
  <c r="L1359" i="1" l="1"/>
  <c r="A1360" i="1"/>
  <c r="A1361" i="1" l="1"/>
  <c r="L1360" i="1"/>
  <c r="L1361" i="1" l="1"/>
  <c r="A1362" i="1"/>
  <c r="L1362" i="1" l="1"/>
  <c r="A1363" i="1"/>
  <c r="L1363" i="1" l="1"/>
  <c r="A1364" i="1"/>
  <c r="L1364" i="1" l="1"/>
  <c r="A1365" i="1"/>
  <c r="A1366" i="1" l="1"/>
  <c r="L1365" i="1"/>
  <c r="A1367" i="1" l="1"/>
  <c r="L1366" i="1"/>
  <c r="A1368" i="1" l="1"/>
  <c r="L1367" i="1"/>
  <c r="A1369" i="1" l="1"/>
  <c r="L1368" i="1"/>
  <c r="A1370" i="1" l="1"/>
  <c r="L1369" i="1"/>
  <c r="A1371" i="1" l="1"/>
  <c r="L1370" i="1"/>
  <c r="A1372" i="1" l="1"/>
  <c r="L1371" i="1"/>
  <c r="A1373" i="1" l="1"/>
  <c r="L1372" i="1"/>
  <c r="L1373" i="1" l="1"/>
  <c r="A1374" i="1"/>
  <c r="A1375" i="1" l="1"/>
  <c r="L1374" i="1"/>
  <c r="A1376" i="1" l="1"/>
  <c r="L1375" i="1"/>
  <c r="A1377" i="1" l="1"/>
  <c r="L1376" i="1"/>
  <c r="A1378" i="1" l="1"/>
  <c r="L1377" i="1"/>
  <c r="L1378" i="1" l="1"/>
  <c r="A1379" i="1"/>
  <c r="A1380" i="1" l="1"/>
  <c r="L1380" i="1" s="1"/>
  <c r="L1379" i="1"/>
</calcChain>
</file>

<file path=xl/comments1.xml><?xml version="1.0" encoding="utf-8"?>
<comments xmlns="http://schemas.openxmlformats.org/spreadsheetml/2006/main">
  <authors>
    <author>MColosso</author>
    <author>Mario Colosso</author>
  </authors>
  <commentList>
    <comment ref="G96" authorId="0" shapeId="0">
      <text>
        <r>
          <rPr>
            <b/>
            <sz val="9"/>
            <color indexed="81"/>
            <rFont val="Tahoma"/>
            <family val="2"/>
          </rPr>
          <t>MColosso:</t>
        </r>
        <r>
          <rPr>
            <sz val="9"/>
            <color indexed="81"/>
            <rFont val="Tahoma"/>
            <family val="2"/>
          </rPr>
          <t xml:space="preserve">
    Sólo por WhatsApp</t>
        </r>
      </text>
    </comment>
    <comment ref="F136" authorId="0" shapeId="0">
      <text>
        <r>
          <rPr>
            <b/>
            <sz val="9"/>
            <color indexed="81"/>
            <rFont val="Tahoma"/>
            <family val="2"/>
          </rPr>
          <t>MColosso:</t>
        </r>
        <r>
          <rPr>
            <sz val="9"/>
            <color indexed="81"/>
            <rFont val="Tahoma"/>
            <family val="2"/>
          </rPr>
          <t xml:space="preserve">
Miguel, el de la vigilancia</t>
        </r>
      </text>
    </comment>
    <comment ref="G237" authorId="0" shapeId="0">
      <text>
        <r>
          <rPr>
            <b/>
            <sz val="9"/>
            <color indexed="81"/>
            <rFont val="Tahoma"/>
            <family val="2"/>
          </rPr>
          <t>MColosso:</t>
        </r>
        <r>
          <rPr>
            <sz val="9"/>
            <color indexed="81"/>
            <rFont val="Tahoma"/>
            <family val="2"/>
          </rPr>
          <t xml:space="preserve">
    Sólo por WhatsApp</t>
        </r>
      </text>
    </comment>
    <comment ref="G242" authorId="0" shapeId="0">
      <text>
        <r>
          <rPr>
            <b/>
            <sz val="9"/>
            <color indexed="81"/>
            <rFont val="Tahoma"/>
            <family val="2"/>
          </rPr>
          <t>MColosso:</t>
        </r>
        <r>
          <rPr>
            <sz val="9"/>
            <color indexed="81"/>
            <rFont val="Tahoma"/>
            <family val="2"/>
          </rPr>
          <t xml:space="preserve">
    Sólo por WhatsApp</t>
        </r>
      </text>
    </comment>
    <comment ref="G308" authorId="0" shapeId="0">
      <text>
        <r>
          <rPr>
            <b/>
            <sz val="9"/>
            <color indexed="81"/>
            <rFont val="Tahoma"/>
            <family val="2"/>
          </rPr>
          <t>Martha Rivas de Fermín:</t>
        </r>
        <r>
          <rPr>
            <sz val="9"/>
            <color indexed="81"/>
            <rFont val="Tahoma"/>
            <family val="2"/>
          </rPr>
          <t xml:space="preserve">
La familia Manrique quiere recibo en electrónico para ella y en físico para su mamá</t>
        </r>
      </text>
    </comment>
    <comment ref="G309" authorId="0" shapeId="0">
      <text>
        <r>
          <rPr>
            <b/>
            <sz val="9"/>
            <color indexed="81"/>
            <rFont val="Tahoma"/>
            <family val="2"/>
          </rPr>
          <t>Martha Rivas de Fermín:</t>
        </r>
        <r>
          <rPr>
            <sz val="9"/>
            <color indexed="81"/>
            <rFont val="Tahoma"/>
            <family val="2"/>
          </rPr>
          <t xml:space="preserve">
La familia Manrique quiere recibo en electrónico para ella y en físico para su mamá</t>
        </r>
      </text>
    </comment>
    <comment ref="G431" authorId="0" shapeId="0">
      <text>
        <r>
          <rPr>
            <b/>
            <sz val="9"/>
            <color indexed="81"/>
            <rFont val="Tahoma"/>
            <family val="2"/>
          </rPr>
          <t>MColosso:</t>
        </r>
        <r>
          <rPr>
            <sz val="9"/>
            <color indexed="81"/>
            <rFont val="Tahoma"/>
            <family val="2"/>
          </rPr>
          <t xml:space="preserve">
    Sólo por WhatsApp</t>
        </r>
      </text>
    </comment>
    <comment ref="J452" authorId="1" shapeId="0">
      <text>
        <r>
          <rPr>
            <sz val="11"/>
            <color theme="1"/>
            <rFont val="Calibri"/>
            <family val="2"/>
            <scheme val="minor"/>
          </rPr>
          <t>El pago corresponde a la Familia Zavarce Barón y no a Luis Zavarce</t>
        </r>
      </text>
    </comment>
    <comment ref="J453" authorId="1" shapeId="0">
      <text>
        <r>
          <rPr>
            <sz val="11"/>
            <color theme="1"/>
            <rFont val="Calibri"/>
            <family val="2"/>
            <scheme val="minor"/>
          </rPr>
          <t>El pago corresponde a la Familia Zavarce Barón y no a Luis Zavarce</t>
        </r>
      </text>
    </comment>
    <comment ref="J454" authorId="1" shapeId="0">
      <text>
        <r>
          <rPr>
            <sz val="11"/>
            <color theme="1"/>
            <rFont val="Calibri"/>
            <family val="2"/>
            <scheme val="minor"/>
          </rPr>
          <t>El pago corresponde a la Familia Zavarce Barón y no a Luis Zavarce</t>
        </r>
      </text>
    </comment>
    <comment ref="I481" authorId="1" shapeId="0">
      <text>
        <r>
          <rPr>
            <sz val="11"/>
            <color theme="1"/>
            <rFont val="Calibri"/>
            <family val="2"/>
            <scheme val="minor"/>
          </rPr>
          <t>Compra de bombillos</t>
        </r>
      </text>
    </comment>
    <comment ref="G538" authorId="0" shapeId="0">
      <text>
        <r>
          <rPr>
            <b/>
            <sz val="9"/>
            <color indexed="81"/>
            <rFont val="Tahoma"/>
            <family val="2"/>
          </rPr>
          <t>Martha Rivas de Fermín:</t>
        </r>
        <r>
          <rPr>
            <sz val="9"/>
            <color indexed="81"/>
            <rFont val="Tahoma"/>
            <family val="2"/>
          </rPr>
          <t xml:space="preserve">
La familia Manrique quiere recibo en electrónico para ella y en físico para su mamá</t>
        </r>
      </text>
    </comment>
    <comment ref="G567" authorId="0" shapeId="0">
      <text>
        <r>
          <rPr>
            <b/>
            <sz val="9"/>
            <color indexed="81"/>
            <rFont val="Tahoma"/>
            <family val="2"/>
          </rPr>
          <t>MColosso:</t>
        </r>
        <r>
          <rPr>
            <sz val="9"/>
            <color indexed="81"/>
            <rFont val="Tahoma"/>
            <family val="2"/>
          </rPr>
          <t xml:space="preserve">
    Sólo por WhatsApp</t>
        </r>
      </text>
    </comment>
    <comment ref="G631" authorId="0" shapeId="0">
      <text>
        <r>
          <rPr>
            <b/>
            <sz val="9"/>
            <color indexed="81"/>
            <rFont val="Tahoma"/>
            <family val="2"/>
          </rPr>
          <t>Martha Rivas de Fermín:</t>
        </r>
        <r>
          <rPr>
            <sz val="9"/>
            <color indexed="81"/>
            <rFont val="Tahoma"/>
            <family val="2"/>
          </rPr>
          <t xml:space="preserve">
La familia Manrique quiere recibo en electrónico para ella y en físico para su mamá</t>
        </r>
      </text>
    </comment>
    <comment ref="I652" authorId="1" shapeId="0">
      <text>
        <r>
          <rPr>
            <sz val="11"/>
            <color theme="1"/>
            <rFont val="Calibri"/>
            <family val="2"/>
            <scheme val="minor"/>
          </rPr>
          <t>Compra de bombillo de emergencia para la caseta de vigilancia</t>
        </r>
      </text>
    </comment>
    <comment ref="G676" authorId="0" shapeId="0">
      <text>
        <r>
          <rPr>
            <b/>
            <sz val="9"/>
            <color indexed="81"/>
            <rFont val="Tahoma"/>
            <family val="2"/>
          </rPr>
          <t>Martha Rivas de Fermín:</t>
        </r>
        <r>
          <rPr>
            <sz val="9"/>
            <color indexed="81"/>
            <rFont val="Tahoma"/>
            <family val="2"/>
          </rPr>
          <t xml:space="preserve">
La familia Manrique quiere recibo en electrónico para ella y en físico para su mamá</t>
        </r>
      </text>
    </comment>
    <comment ref="E744" authorId="0" shapeId="0">
      <text>
        <r>
          <rPr>
            <b/>
            <sz val="9"/>
            <color indexed="81"/>
            <rFont val="Tahoma"/>
            <family val="2"/>
          </rPr>
          <t>MColosso:</t>
        </r>
        <r>
          <rPr>
            <sz val="9"/>
            <color indexed="81"/>
            <rFont val="Tahoma"/>
            <family val="2"/>
          </rPr>
          <t xml:space="preserve">
Bco. Mercantil Ch. 136129.
El cheque es de un paciente de ella llamado Félix Hernán Ibarra Aranda</t>
        </r>
      </text>
    </comment>
    <comment ref="E746" authorId="1" shapeId="0">
      <text>
        <r>
          <rPr>
            <sz val="11"/>
            <color theme="1"/>
            <rFont val="Calibri"/>
            <family val="2"/>
            <scheme val="minor"/>
          </rPr>
          <t>BOD Ch. 01000840</t>
        </r>
      </text>
    </comment>
    <comment ref="E754" authorId="0" shapeId="0">
      <text>
        <r>
          <rPr>
            <b/>
            <sz val="9"/>
            <color indexed="81"/>
            <rFont val="Tahoma"/>
            <family val="2"/>
          </rPr>
          <t>MColosso:</t>
        </r>
        <r>
          <rPr>
            <sz val="9"/>
            <color indexed="81"/>
            <rFont val="Tahoma"/>
            <family val="2"/>
          </rPr>
          <t xml:space="preserve">
BOD Ch. 63003907 de Oscar Méndez</t>
        </r>
      </text>
    </comment>
    <comment ref="E755" authorId="0" shapeId="0">
      <text>
        <r>
          <rPr>
            <sz val="11"/>
            <color theme="1"/>
            <rFont val="Calibri"/>
            <family val="2"/>
            <scheme val="minor"/>
          </rPr>
          <t>BOD Ch. 59000523 de Carmen Saavedra de Ibarra</t>
        </r>
      </text>
    </comment>
    <comment ref="E792" authorId="0" shapeId="0">
      <text>
        <r>
          <rPr>
            <b/>
            <sz val="9"/>
            <color indexed="81"/>
            <rFont val="Tahoma"/>
            <family val="2"/>
          </rPr>
          <t>MColosso:</t>
        </r>
        <r>
          <rPr>
            <sz val="9"/>
            <color indexed="81"/>
            <rFont val="Tahoma"/>
            <family val="2"/>
          </rPr>
          <t xml:space="preserve">
Cheque BOD 00000282</t>
        </r>
      </text>
    </comment>
    <comment ref="E801" authorId="0" shapeId="0">
      <text>
        <r>
          <rPr>
            <b/>
            <sz val="9"/>
            <color indexed="81"/>
            <rFont val="Tahoma"/>
            <family val="2"/>
          </rPr>
          <t>MColosso:</t>
        </r>
        <r>
          <rPr>
            <sz val="9"/>
            <color indexed="81"/>
            <rFont val="Tahoma"/>
            <family val="2"/>
          </rPr>
          <t xml:space="preserve">
Bco. Mercantil, cheque nro. 63146627</t>
        </r>
      </text>
    </comment>
    <comment ref="E804" authorId="0" shapeId="0">
      <text>
        <r>
          <rPr>
            <b/>
            <sz val="9"/>
            <color indexed="81"/>
            <rFont val="Tahoma"/>
            <family val="2"/>
          </rPr>
          <t>MColosso:</t>
        </r>
        <r>
          <rPr>
            <sz val="9"/>
            <color indexed="81"/>
            <rFont val="Tahoma"/>
            <family val="2"/>
          </rPr>
          <t xml:space="preserve">
BOD cheque nro. 03642165</t>
        </r>
      </text>
    </comment>
    <comment ref="E805" authorId="0" shapeId="0">
      <text>
        <r>
          <rPr>
            <b/>
            <sz val="9"/>
            <color indexed="81"/>
            <rFont val="Tahoma"/>
            <family val="2"/>
          </rPr>
          <t>MColosso:</t>
        </r>
        <r>
          <rPr>
            <sz val="9"/>
            <color indexed="81"/>
            <rFont val="Tahoma"/>
            <family val="2"/>
          </rPr>
          <t xml:space="preserve">
BOD Ch. 87003914</t>
        </r>
      </text>
    </comment>
    <comment ref="E807" authorId="1" shapeId="0">
      <text>
        <r>
          <rPr>
            <sz val="11"/>
            <color theme="1"/>
            <rFont val="Calibri"/>
            <family val="2"/>
            <scheme val="minor"/>
          </rPr>
          <t>BOD Ch. 34000803</t>
        </r>
      </text>
    </comment>
    <comment ref="E837" authorId="0" shapeId="0">
      <text>
        <r>
          <rPr>
            <b/>
            <sz val="9"/>
            <color indexed="81"/>
            <rFont val="Tahoma"/>
            <family val="2"/>
          </rPr>
          <t>MColosso:</t>
        </r>
        <r>
          <rPr>
            <sz val="9"/>
            <color indexed="81"/>
            <rFont val="Tahoma"/>
            <family val="2"/>
          </rPr>
          <t xml:space="preserve">
Bco. Mercantil, cheque nro. </t>
        </r>
      </text>
    </comment>
    <comment ref="G868" authorId="0" shapeId="0">
      <text>
        <r>
          <rPr>
            <b/>
            <sz val="9"/>
            <color indexed="81"/>
            <rFont val="Tahoma"/>
            <family val="2"/>
          </rPr>
          <t>Martha Rivas de Fermín:</t>
        </r>
        <r>
          <rPr>
            <sz val="9"/>
            <color indexed="81"/>
            <rFont val="Tahoma"/>
            <family val="2"/>
          </rPr>
          <t xml:space="preserve">
La familia Manrique quiere recibo en electrónico para ella y en físico para su mamá</t>
        </r>
      </text>
    </comment>
    <comment ref="E903" authorId="0" shapeId="0">
      <text>
        <r>
          <rPr>
            <sz val="11"/>
            <color theme="1"/>
            <rFont val="Calibri"/>
            <family val="2"/>
            <scheme val="minor"/>
          </rPr>
          <t>Bco. Mercantil, cheque nro. 07148741</t>
        </r>
      </text>
    </comment>
    <comment ref="E916" authorId="1" shapeId="0">
      <text>
        <r>
          <rPr>
            <sz val="11"/>
            <color theme="1"/>
            <rFont val="Calibri"/>
            <family val="2"/>
            <scheme val="minor"/>
          </rPr>
          <t>Baco. Mercantil, cheque nro. 19428894</t>
        </r>
      </text>
    </comment>
    <comment ref="G938" authorId="0" shapeId="0">
      <text>
        <r>
          <rPr>
            <b/>
            <sz val="9"/>
            <color indexed="81"/>
            <rFont val="Tahoma"/>
            <family val="2"/>
          </rPr>
          <t>Martha Rivas de Fermín:</t>
        </r>
        <r>
          <rPr>
            <sz val="9"/>
            <color indexed="81"/>
            <rFont val="Tahoma"/>
            <family val="2"/>
          </rPr>
          <t xml:space="preserve">
La familia Manrique quiere recibo en electrónico para ella y en físico para su mamá</t>
        </r>
      </text>
    </comment>
    <comment ref="E947" authorId="0" shapeId="0">
      <text>
        <r>
          <rPr>
            <b/>
            <sz val="9"/>
            <color indexed="81"/>
            <rFont val="Tahoma"/>
            <family val="2"/>
          </rPr>
          <t>MColosso:</t>
        </r>
        <r>
          <rPr>
            <sz val="9"/>
            <color indexed="81"/>
            <rFont val="Tahoma"/>
            <family val="2"/>
          </rPr>
          <t xml:space="preserve">
BOD cheque nro. 92000183</t>
        </r>
      </text>
    </comment>
    <comment ref="E951" authorId="0" shapeId="0">
      <text>
        <r>
          <rPr>
            <sz val="11"/>
            <color theme="1"/>
            <rFont val="Calibri"/>
            <family val="2"/>
            <scheme val="minor"/>
          </rPr>
          <t>Bco. Mercantil, cheque nro. 07148741</t>
        </r>
      </text>
    </comment>
    <comment ref="J980" authorId="1" shapeId="0">
      <text>
        <r>
          <rPr>
            <sz val="11"/>
            <color theme="1"/>
            <rFont val="Calibri"/>
            <family val="2"/>
            <scheme val="minor"/>
          </rPr>
          <t>La totalidad del pago fue acreditado al mes de Abril/2018</t>
        </r>
      </text>
    </comment>
    <comment ref="E1008" authorId="0" shapeId="0">
      <text>
        <r>
          <rPr>
            <b/>
            <sz val="9"/>
            <color indexed="81"/>
            <rFont val="Tahoma"/>
            <family val="2"/>
          </rPr>
          <t>MColosso:</t>
        </r>
        <r>
          <rPr>
            <sz val="9"/>
            <color indexed="81"/>
            <rFont val="Tahoma"/>
            <family val="2"/>
          </rPr>
          <t xml:space="preserve">
BBVA Ch. 03642311</t>
        </r>
      </text>
    </comment>
    <comment ref="E1009" authorId="0" shapeId="0">
      <text>
        <r>
          <rPr>
            <b/>
            <sz val="9"/>
            <color indexed="81"/>
            <rFont val="Tahoma"/>
            <family val="2"/>
          </rPr>
          <t>MColosso:</t>
        </r>
        <r>
          <rPr>
            <sz val="9"/>
            <color indexed="81"/>
            <rFont val="Tahoma"/>
            <family val="2"/>
          </rPr>
          <t xml:space="preserve">
Ch. Bco. de Venezuela s92 7003668
Ch. Bco. Mercantil 69105020</t>
        </r>
      </text>
    </comment>
    <comment ref="E1028" authorId="0" shapeId="0">
      <text>
        <r>
          <rPr>
            <sz val="11"/>
            <color theme="1"/>
            <rFont val="Calibri"/>
            <family val="2"/>
            <scheme val="minor"/>
          </rPr>
          <t>BOD cheque nro. 59000184</t>
        </r>
      </text>
    </comment>
    <comment ref="J1059" authorId="0" shapeId="0">
      <text>
        <r>
          <rPr>
            <b/>
            <sz val="9"/>
            <color indexed="81"/>
            <rFont val="Tahoma"/>
            <family val="2"/>
          </rPr>
          <t>MColosso:</t>
        </r>
        <r>
          <rPr>
            <sz val="9"/>
            <color indexed="81"/>
            <rFont val="Tahoma"/>
            <family val="2"/>
          </rPr>
          <t xml:space="preserve">
El monto fue convertido en un adelanto del mes de Junio/2018</t>
        </r>
      </text>
    </comment>
    <comment ref="E1093" authorId="0" shapeId="0">
      <text>
        <r>
          <rPr>
            <b/>
            <sz val="9"/>
            <color indexed="81"/>
            <rFont val="Tahoma"/>
            <family val="2"/>
          </rPr>
          <t>MColosso:</t>
        </r>
        <r>
          <rPr>
            <sz val="9"/>
            <color indexed="81"/>
            <rFont val="Tahoma"/>
            <family val="2"/>
          </rPr>
          <t xml:space="preserve">
BBVA Ch. 03642347
Bs. 550.000</t>
        </r>
      </text>
    </comment>
    <comment ref="E1094" authorId="0" shapeId="0">
      <text>
        <r>
          <rPr>
            <b/>
            <sz val="9"/>
            <color indexed="81"/>
            <rFont val="Tahoma"/>
            <family val="2"/>
          </rPr>
          <t>MColosso:</t>
        </r>
        <r>
          <rPr>
            <sz val="9"/>
            <color indexed="81"/>
            <rFont val="Tahoma"/>
            <family val="2"/>
          </rPr>
          <t xml:space="preserve">
BBVA Ch. 03642347
Bs. 550.000</t>
        </r>
      </text>
    </comment>
    <comment ref="G1104" authorId="0" shapeId="0">
      <text>
        <r>
          <rPr>
            <b/>
            <sz val="9"/>
            <color indexed="81"/>
            <rFont val="Tahoma"/>
            <family val="2"/>
          </rPr>
          <t>Martha Rivas de Fermín:</t>
        </r>
        <r>
          <rPr>
            <sz val="9"/>
            <color indexed="81"/>
            <rFont val="Tahoma"/>
            <family val="2"/>
          </rPr>
          <t xml:space="preserve">
La familia Manrique quiere recibo en electrónico para ella y en físico para su mamá</t>
        </r>
      </text>
    </comment>
    <comment ref="E1135" authorId="0" shapeId="0">
      <text>
        <r>
          <rPr>
            <sz val="11"/>
            <color theme="1"/>
            <rFont val="Calibri"/>
            <family val="2"/>
            <scheme val="minor"/>
          </rPr>
          <t>BOD cheque nro. 84000185</t>
        </r>
      </text>
    </comment>
    <comment ref="E1136" authorId="0" shapeId="0">
      <text>
        <r>
          <rPr>
            <sz val="11"/>
            <color theme="1"/>
            <rFont val="Calibri"/>
            <family val="2"/>
            <scheme val="minor"/>
          </rPr>
          <t>BOD cheque nro. 84000185</t>
        </r>
      </text>
    </comment>
    <comment ref="E1147" authorId="1" shapeId="0">
      <text>
        <r>
          <rPr>
            <sz val="11"/>
            <color theme="1"/>
            <rFont val="Calibri"/>
            <family val="2"/>
            <scheme val="minor"/>
          </rPr>
          <t>Cheque BOD 57000855</t>
        </r>
      </text>
    </comment>
    <comment ref="E1217" authorId="0" shapeId="0">
      <text>
        <r>
          <rPr>
            <sz val="11"/>
            <color theme="1"/>
            <rFont val="Calibri"/>
            <family val="2"/>
            <scheme val="minor"/>
          </rPr>
          <t>BBVA Ch. 03642414
Bs. 600.000</t>
        </r>
      </text>
    </comment>
    <comment ref="G1225" authorId="0" shapeId="0">
      <text>
        <r>
          <rPr>
            <b/>
            <sz val="9"/>
            <color indexed="81"/>
            <rFont val="Tahoma"/>
            <family val="2"/>
          </rPr>
          <t>Martha Rivas de Fermín:</t>
        </r>
        <r>
          <rPr>
            <sz val="9"/>
            <color indexed="81"/>
            <rFont val="Tahoma"/>
            <family val="2"/>
          </rPr>
          <t xml:space="preserve">
La familia Manrique quiere recibo en electrónico para ella y en físico para su mamá</t>
        </r>
      </text>
    </comment>
    <comment ref="E1226" authorId="0" shapeId="0">
      <text>
        <r>
          <rPr>
            <sz val="11"/>
            <color theme="1"/>
            <rFont val="Calibri"/>
            <family val="2"/>
            <scheme val="minor"/>
          </rPr>
          <t>BOD cheque nro. 56000186</t>
        </r>
      </text>
    </comment>
    <comment ref="E1283" authorId="1" shapeId="0">
      <text>
        <r>
          <rPr>
            <sz val="11"/>
            <color theme="1"/>
            <rFont val="Calibri"/>
            <family val="2"/>
            <scheme val="minor"/>
          </rPr>
          <t>Cheque BOD 66000857</t>
        </r>
      </text>
    </comment>
    <comment ref="G1345" authorId="0" shapeId="0">
      <text>
        <r>
          <rPr>
            <b/>
            <sz val="9"/>
            <color indexed="81"/>
            <rFont val="Tahoma"/>
            <family val="2"/>
          </rPr>
          <t>Martha Rivas de Fermín:</t>
        </r>
        <r>
          <rPr>
            <sz val="9"/>
            <color indexed="81"/>
            <rFont val="Tahoma"/>
            <family val="2"/>
          </rPr>
          <t xml:space="preserve">
La familia Manrique quiere recibo en electrónico para ella y en físico para su mamá</t>
        </r>
      </text>
    </comment>
  </commentList>
</comments>
</file>

<file path=xl/comments2.xml><?xml version="1.0" encoding="utf-8"?>
<comments xmlns="http://schemas.openxmlformats.org/spreadsheetml/2006/main">
  <authors>
    <author>MColosso</author>
  </authors>
  <commentList>
    <comment ref="I54" authorId="0" shapeId="0">
      <text>
        <r>
          <rPr>
            <sz val="9"/>
            <color indexed="81"/>
            <rFont val="Tahoma"/>
            <family val="2"/>
          </rPr>
          <t xml:space="preserve">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t>
        </r>
        <r>
          <rPr>
            <b/>
            <sz val="9"/>
            <color indexed="81"/>
            <rFont val="Tahoma"/>
            <family val="2"/>
          </rPr>
          <t>Marisol Mendoza</t>
        </r>
        <r>
          <rPr>
            <sz val="9"/>
            <color indexed="81"/>
            <rFont val="Tahoma"/>
            <family val="2"/>
          </rPr>
          <t>.</t>
        </r>
      </text>
    </comment>
    <comment ref="B64" authorId="0" shapeId="0">
      <text>
        <r>
          <rPr>
            <b/>
            <sz val="9"/>
            <color indexed="81"/>
            <rFont val="Tahoma"/>
            <family val="2"/>
          </rPr>
          <t>MColosso:</t>
        </r>
        <r>
          <rPr>
            <sz val="9"/>
            <color indexed="81"/>
            <rFont val="Tahoma"/>
            <family val="2"/>
          </rPr>
          <t xml:space="preserve">
Marisol dice que es 89-93, y no 90</t>
        </r>
      </text>
    </comment>
    <comment ref="B65" authorId="0" shapeId="0">
      <text>
        <r>
          <rPr>
            <b/>
            <sz val="9"/>
            <color indexed="81"/>
            <rFont val="Tahoma"/>
            <family val="2"/>
          </rPr>
          <t>MColosso:</t>
        </r>
        <r>
          <rPr>
            <sz val="9"/>
            <color indexed="81"/>
            <rFont val="Tahoma"/>
            <family val="2"/>
          </rPr>
          <t xml:space="preserve">
Marisol indica que el número de la casa es 89-110</t>
        </r>
      </text>
    </comment>
    <comment ref="Q100" authorId="0" shapeId="0">
      <text>
        <r>
          <rPr>
            <b/>
            <sz val="9"/>
            <color indexed="81"/>
            <rFont val="Tahoma"/>
            <family val="2"/>
          </rPr>
          <t>MColosso:</t>
        </r>
        <r>
          <rPr>
            <sz val="9"/>
            <color indexed="81"/>
            <rFont val="Tahoma"/>
            <family val="2"/>
          </rPr>
          <t xml:space="preserve">
Condonado por donación de pego y fondo anticorrosivo</t>
        </r>
      </text>
    </comment>
    <comment ref="Q101" authorId="0" shapeId="0">
      <text>
        <r>
          <rPr>
            <b/>
            <sz val="9"/>
            <color indexed="81"/>
            <rFont val="Tahoma"/>
            <family val="2"/>
          </rPr>
          <t>MColosso:</t>
        </r>
        <r>
          <rPr>
            <sz val="9"/>
            <color indexed="81"/>
            <rFont val="Tahoma"/>
            <family val="2"/>
          </rPr>
          <t xml:space="preserve">
Bs. 50.000 anticipo
Bs. 12.450 cancelados al Sr. Francisco
Bs. 17550 diferencia</t>
        </r>
      </text>
    </comment>
    <comment ref="U112" authorId="0" shapeId="0">
      <text>
        <r>
          <rPr>
            <b/>
            <sz val="9"/>
            <color indexed="81"/>
            <rFont val="Tahoma"/>
            <family val="2"/>
          </rPr>
          <t>MColosso:</t>
        </r>
        <r>
          <rPr>
            <sz val="9"/>
            <color indexed="81"/>
            <rFont val="Tahoma"/>
            <family val="2"/>
          </rPr>
          <t xml:space="preserve">
Donación de tubo estructural para reparación de la caseta de vitilancia: Enero a Diciembre/2018</t>
        </r>
      </text>
    </comment>
  </commentList>
</comments>
</file>

<file path=xl/comments3.xml><?xml version="1.0" encoding="utf-8"?>
<comments xmlns="http://schemas.openxmlformats.org/spreadsheetml/2006/main">
  <authors>
    <author>MColosso</author>
  </authors>
  <commentList>
    <comment ref="AF7" authorId="0" shapeId="0">
      <text>
        <r>
          <rPr>
            <b/>
            <sz val="9"/>
            <color indexed="81"/>
            <rFont val="Tahoma"/>
            <family val="2"/>
          </rPr>
          <t>Martha Rivas:</t>
        </r>
        <r>
          <rPr>
            <sz val="9"/>
            <color indexed="81"/>
            <rFont val="Tahoma"/>
            <family val="2"/>
          </rPr>
          <t xml:space="preserve">
Se compraron 6 y quedan 4 para una eventualidad</t>
        </r>
      </text>
    </comment>
  </commentList>
</comments>
</file>

<file path=xl/comments4.xml><?xml version="1.0" encoding="utf-8"?>
<comments xmlns="http://schemas.openxmlformats.org/spreadsheetml/2006/main">
  <authors>
    <author>MColosso</author>
  </authors>
  <commentList>
    <comment ref="I17" authorId="0" shapeId="0">
      <text>
        <r>
          <rPr>
            <sz val="9"/>
            <color indexed="81"/>
            <rFont val="Tahoma"/>
            <family val="2"/>
          </rPr>
          <t xml:space="preserve">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t>
        </r>
        <r>
          <rPr>
            <b/>
            <sz val="9"/>
            <color indexed="81"/>
            <rFont val="Tahoma"/>
            <family val="2"/>
          </rPr>
          <t>Marisol Mendoza</t>
        </r>
        <r>
          <rPr>
            <sz val="9"/>
            <color indexed="81"/>
            <rFont val="Tahoma"/>
            <family val="2"/>
          </rPr>
          <t>.</t>
        </r>
      </text>
    </comment>
    <comment ref="B20" authorId="0" shapeId="0">
      <text>
        <r>
          <rPr>
            <b/>
            <sz val="9"/>
            <color indexed="81"/>
            <rFont val="Tahoma"/>
            <family val="2"/>
          </rPr>
          <t>MColosso:</t>
        </r>
        <r>
          <rPr>
            <sz val="9"/>
            <color indexed="81"/>
            <rFont val="Tahoma"/>
            <family val="2"/>
          </rPr>
          <t xml:space="preserve">
Marisol indica que el número de la casa es 89-110</t>
        </r>
      </text>
    </comment>
    <comment ref="B47" authorId="0" shapeId="0">
      <text>
        <r>
          <rPr>
            <b/>
            <sz val="9"/>
            <color indexed="81"/>
            <rFont val="Tahoma"/>
            <family val="2"/>
          </rPr>
          <t>MColosso:</t>
        </r>
        <r>
          <rPr>
            <sz val="9"/>
            <color indexed="81"/>
            <rFont val="Tahoma"/>
            <family val="2"/>
          </rPr>
          <t xml:space="preserve">
Marisol dice que es 89-93, y no 90</t>
        </r>
      </text>
    </comment>
  </commentList>
</comments>
</file>

<file path=xl/comments5.xml><?xml version="1.0" encoding="utf-8"?>
<comments xmlns="http://schemas.openxmlformats.org/spreadsheetml/2006/main">
  <authors>
    <author>MColosso</author>
  </authors>
  <commentList>
    <comment ref="E51" authorId="0" shapeId="0">
      <text>
        <r>
          <rPr>
            <b/>
            <sz val="9"/>
            <color indexed="81"/>
            <rFont val="Tahoma"/>
            <family val="2"/>
          </rPr>
          <t>MColosso:</t>
        </r>
        <r>
          <rPr>
            <sz val="9"/>
            <color indexed="81"/>
            <rFont val="Tahoma"/>
            <family val="2"/>
          </rPr>
          <t xml:space="preserve">
Donación de tres (03) camisas para los vigilantes (5 MMBs c/u)</t>
        </r>
      </text>
    </comment>
    <comment ref="B64" authorId="0" shapeId="0">
      <text>
        <r>
          <rPr>
            <b/>
            <sz val="9"/>
            <color indexed="81"/>
            <rFont val="Tahoma"/>
            <family val="2"/>
          </rPr>
          <t>MColosso:</t>
        </r>
        <r>
          <rPr>
            <sz val="9"/>
            <color indexed="81"/>
            <rFont val="Tahoma"/>
            <family val="2"/>
          </rPr>
          <t xml:space="preserve">
Marisol dice que es 89-93, y no 90</t>
        </r>
      </text>
    </comment>
    <comment ref="B65" authorId="0" shapeId="0">
      <text>
        <r>
          <rPr>
            <b/>
            <sz val="9"/>
            <color indexed="81"/>
            <rFont val="Tahoma"/>
            <family val="2"/>
          </rPr>
          <t>MColosso:</t>
        </r>
        <r>
          <rPr>
            <sz val="9"/>
            <color indexed="81"/>
            <rFont val="Tahoma"/>
            <family val="2"/>
          </rPr>
          <t xml:space="preserve">
Marisol indica que el número de la casa es 89-110</t>
        </r>
      </text>
    </comment>
  </commentList>
</comments>
</file>

<file path=xl/comments6.xml><?xml version="1.0" encoding="utf-8"?>
<comments xmlns="http://schemas.openxmlformats.org/spreadsheetml/2006/main">
  <authors>
    <author>MColosso</author>
  </authors>
  <commentList>
    <comment ref="C63" authorId="0" shapeId="0">
      <text>
        <r>
          <rPr>
            <b/>
            <sz val="9"/>
            <color indexed="81"/>
            <rFont val="Tahoma"/>
            <family val="2"/>
          </rPr>
          <t>MColosso:</t>
        </r>
        <r>
          <rPr>
            <sz val="9"/>
            <color indexed="81"/>
            <rFont val="Tahoma"/>
            <family val="2"/>
          </rPr>
          <t xml:space="preserve">
Marisol dice que es 89-93, y no 90</t>
        </r>
      </text>
    </comment>
    <comment ref="C64" authorId="0" shapeId="0">
      <text>
        <r>
          <rPr>
            <b/>
            <sz val="9"/>
            <color indexed="81"/>
            <rFont val="Tahoma"/>
            <family val="2"/>
          </rPr>
          <t>MColosso:</t>
        </r>
        <r>
          <rPr>
            <sz val="9"/>
            <color indexed="81"/>
            <rFont val="Tahoma"/>
            <family val="2"/>
          </rPr>
          <t xml:space="preserve">
Marisol indica que el número de la casa es 89-110</t>
        </r>
      </text>
    </comment>
  </commentList>
</comments>
</file>

<file path=xl/sharedStrings.xml><?xml version="1.0" encoding="utf-8"?>
<sst xmlns="http://schemas.openxmlformats.org/spreadsheetml/2006/main" count="10212" uniqueCount="1146">
  <si>
    <t>Nro. Recibo</t>
  </si>
  <si>
    <t>Generar</t>
  </si>
  <si>
    <t>Enviado</t>
  </si>
  <si>
    <t>Fecha</t>
  </si>
  <si>
    <t>Monto</t>
  </si>
  <si>
    <t>Beneficiario</t>
  </si>
  <si>
    <t>E-mail o celular</t>
  </si>
  <si>
    <t>Dirección</t>
  </si>
  <si>
    <t>Concepto</t>
  </si>
  <si>
    <t>Categoría</t>
  </si>
  <si>
    <t>Shared Link</t>
  </si>
  <si>
    <t>Recibo (ed)</t>
  </si>
  <si>
    <t>Fecha (ed)</t>
  </si>
  <si>
    <t>Mes</t>
  </si>
  <si>
    <t>Monto (ed)</t>
  </si>
  <si>
    <t>Monto en letras</t>
  </si>
  <si>
    <t>Anulado</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</si>
  <si>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</si>
  <si>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</si>
  <si>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</si>
  <si>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</si>
  <si>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</si>
  <si>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</si>
  <si>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</si>
  <si>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</si>
  <si>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</si>
  <si>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</si>
  <si>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</si>
  <si>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</si>
  <si>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</si>
  <si>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</si>
  <si>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</si>
  <si>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</si>
  <si>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</si>
  <si>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</si>
  <si>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</si>
  <si>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</si>
  <si>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</si>
  <si>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</si>
  <si>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</si>
  <si>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</si>
  <si>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</si>
  <si>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</si>
  <si>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</si>
  <si>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</si>
  <si>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</si>
  <si>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</si>
  <si>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</si>
  <si>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</si>
  <si>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</si>
  <si>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</si>
  <si>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</si>
  <si>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</si>
  <si>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</si>
  <si>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</si>
  <si>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</si>
  <si>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</si>
  <si>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</si>
  <si>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</si>
  <si>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</si>
  <si>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</si>
  <si>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</si>
  <si>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</si>
  <si>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</si>
  <si>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</si>
  <si>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</si>
  <si>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</si>
  <si>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</si>
  <si>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</si>
  <si>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</si>
  <si>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</si>
  <si>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</si>
  <si>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</si>
  <si>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</si>
  <si>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</si>
  <si>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</si>
  <si>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</si>
  <si>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</si>
  <si>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</si>
  <si>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</si>
  <si>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</si>
  <si>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</si>
  <si>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</si>
  <si>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</si>
  <si>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</si>
  <si>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</si>
  <si>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</si>
  <si>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</si>
  <si>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</si>
  <si>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</si>
  <si>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</si>
  <si>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</si>
  <si>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</si>
  <si>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</si>
  <si>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</si>
  <si>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</si>
  <si>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</si>
  <si>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</si>
  <si>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</si>
  <si>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</si>
  <si>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</si>
  <si>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</si>
  <si>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</si>
  <si>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</si>
  <si>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</si>
  <si>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</si>
  <si>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</si>
  <si>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</si>
  <si>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</si>
  <si>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</si>
  <si>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</si>
  <si>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</si>
  <si>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</si>
  <si>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</si>
  <si>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</si>
  <si>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</si>
  <si>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</si>
  <si>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</si>
  <si>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</si>
  <si>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</si>
  <si>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</si>
  <si>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</si>
  <si>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</si>
  <si>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</si>
  <si>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</si>
  <si>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</si>
  <si>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</si>
  <si>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</si>
  <si>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</si>
  <si>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</si>
  <si>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</si>
  <si>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</si>
  <si>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</si>
  <si>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</si>
  <si>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</si>
  <si>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</si>
  <si>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</si>
  <si>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</si>
  <si>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</si>
  <si>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</si>
  <si>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</si>
  <si>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</si>
  <si>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</si>
  <si>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</si>
  <si>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</si>
  <si>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</si>
  <si>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</si>
  <si>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</si>
  <si>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</si>
  <si>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</si>
  <si>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</si>
  <si>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</si>
  <si>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</si>
  <si>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</si>
  <si>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</si>
  <si>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</si>
  <si>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</si>
  <si>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</si>
  <si>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</si>
  <si>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</si>
  <si>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</si>
  <si>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</si>
  <si>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</si>
  <si>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</si>
  <si>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</si>
  <si>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</si>
  <si>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</si>
  <si>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</si>
  <si>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</si>
  <si>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</si>
  <si>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</si>
  <si>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</si>
  <si>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</si>
  <si>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</si>
  <si>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</si>
  <si>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</si>
  <si>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</si>
  <si>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</si>
  <si>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</si>
  <si>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</si>
  <si>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</si>
  <si>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Kabblan</t>
  </si>
  <si>
    <t>norisjsb56@hotmail.com</t>
  </si>
  <si>
    <t>Calle Güigüe Nro. 89-80</t>
  </si>
  <si>
    <t>https://drive.google.com/open?id=0ByOb8wNqoBtVdzdwOHk0RlotOEE</t>
  </si>
  <si>
    <t>Familia Acosta</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</si>
  <si>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</si>
  <si>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</si>
  <si>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</si>
  <si>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</si>
  <si>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</si>
  <si>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</si>
  <si>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</si>
  <si>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</si>
  <si>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</si>
  <si>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</si>
  <si>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</si>
  <si>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</si>
  <si>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</si>
  <si>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</si>
  <si>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</si>
  <si>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</si>
  <si>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</si>
  <si>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</si>
  <si>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</si>
  <si>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</si>
  <si>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</si>
  <si>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</si>
  <si>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</si>
  <si>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</si>
  <si>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</si>
  <si>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</si>
  <si>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</si>
  <si>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</si>
  <si>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</si>
  <si>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</si>
  <si>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</si>
  <si>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</si>
  <si>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</si>
  <si>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</si>
  <si>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</si>
  <si>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</si>
  <si>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</si>
  <si>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</si>
  <si>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</si>
  <si>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</si>
  <si>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</si>
  <si>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Anticipo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</si>
  <si>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</si>
  <si>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</si>
  <si>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</si>
  <si>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</si>
  <si>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</si>
  <si>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</si>
  <si>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</si>
  <si>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</si>
  <si>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</si>
  <si>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</si>
  <si>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</si>
  <si>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</si>
  <si>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</si>
  <si>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</si>
  <si>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</si>
  <si>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</si>
  <si>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</si>
  <si>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</si>
  <si>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</si>
  <si>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</si>
  <si>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</si>
  <si>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</si>
  <si>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</si>
  <si>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</si>
  <si>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</si>
  <si>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</si>
  <si>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</si>
  <si>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</si>
  <si>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</si>
  <si>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</si>
  <si>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</si>
  <si>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</si>
  <si>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</si>
  <si>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</si>
  <si>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</si>
  <si>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</si>
  <si>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</si>
  <si>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</si>
  <si>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</si>
  <si>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</si>
  <si>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</si>
  <si>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</si>
  <si>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</si>
  <si>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</si>
  <si>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</si>
  <si>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</si>
  <si>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</si>
  <si>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</si>
  <si>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</si>
  <si>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</si>
  <si>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</si>
  <si>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</si>
  <si>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</si>
  <si>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</si>
  <si>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</si>
  <si>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</si>
  <si>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</si>
  <si>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</si>
  <si>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</si>
  <si>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</si>
  <si>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</si>
  <si>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</si>
  <si>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</si>
  <si>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</si>
  <si>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</si>
  <si>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</si>
  <si>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</si>
  <si>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</si>
  <si>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</si>
  <si>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</si>
  <si>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</si>
  <si>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</si>
  <si>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</si>
  <si>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</si>
  <si>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</si>
  <si>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</si>
  <si>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</si>
  <si>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</si>
  <si>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</si>
  <si>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</si>
  <si>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</si>
  <si>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</si>
  <si>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</si>
  <si>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</si>
  <si>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</si>
  <si>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</si>
  <si>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</si>
  <si>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</si>
  <si>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</si>
  <si>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</si>
  <si>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</si>
  <si>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</si>
  <si>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</si>
  <si>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</si>
  <si>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Anticipio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</si>
  <si>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</si>
  <si>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</si>
  <si>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</si>
  <si>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</si>
  <si>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</si>
  <si>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</si>
  <si>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</si>
  <si>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</si>
  <si>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</si>
  <si>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</si>
  <si>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</si>
  <si>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</si>
  <si>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</si>
  <si>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</si>
  <si>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</si>
  <si>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</si>
  <si>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</si>
  <si>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</si>
  <si>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</si>
  <si>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</si>
  <si>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</si>
  <si>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</si>
  <si>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</si>
  <si>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Anticipo Vigilancia, mes de Febrero 2017</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</si>
  <si>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</si>
  <si>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</si>
  <si>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</si>
  <si>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</si>
  <si>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</si>
  <si>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</si>
  <si>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</si>
  <si>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</si>
  <si>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</si>
  <si>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</si>
  <si>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</si>
  <si>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</si>
  <si>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</si>
  <si>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</si>
  <si>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</si>
  <si>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</si>
  <si>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</si>
  <si>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</si>
  <si>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</si>
  <si>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</si>
  <si>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</si>
  <si>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</si>
  <si>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</si>
  <si>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</si>
  <si>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</si>
  <si>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</si>
  <si>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</si>
  <si>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</si>
  <si>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</si>
  <si>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</si>
  <si>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</si>
  <si>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</si>
  <si>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</si>
  <si>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</si>
  <si>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</si>
  <si>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</si>
  <si>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</si>
  <si>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</si>
  <si>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</si>
  <si>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</si>
  <si>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</si>
  <si>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</si>
  <si>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</si>
  <si>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</si>
  <si>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</si>
  <si>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</si>
  <si>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</si>
  <si>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</si>
  <si>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</si>
  <si>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</si>
  <si>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</si>
  <si>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</si>
  <si>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</si>
  <si>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</si>
  <si>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</si>
  <si>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Manuel Rodríguez</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</si>
  <si>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</si>
  <si>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</si>
  <si>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</si>
  <si>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</si>
  <si>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</si>
  <si>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</si>
  <si>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</si>
  <si>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</si>
  <si>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</si>
  <si>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</si>
  <si>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</si>
  <si>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</si>
  <si>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</si>
  <si>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</si>
  <si>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</si>
  <si>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</si>
  <si>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</si>
  <si>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</si>
  <si>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</si>
  <si>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</si>
  <si>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</si>
  <si>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</si>
  <si>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</si>
  <si>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</si>
  <si>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</si>
  <si>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</si>
  <si>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</si>
  <si>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</si>
  <si>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</si>
  <si>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</si>
  <si>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</si>
  <si>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</si>
  <si>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</si>
  <si>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</si>
  <si>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</si>
  <si>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</si>
  <si>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</si>
  <si>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</si>
  <si>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</si>
  <si>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</si>
  <si>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</si>
  <si>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</si>
  <si>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</si>
  <si>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</si>
  <si>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</si>
  <si>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</si>
  <si>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</si>
  <si>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</si>
  <si>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</si>
  <si>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</si>
  <si>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</si>
  <si>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</si>
  <si>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</si>
  <si>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</si>
  <si>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</si>
  <si>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</si>
  <si>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</si>
  <si>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</si>
  <si>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</si>
  <si>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</si>
  <si>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</si>
  <si>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</si>
  <si>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</si>
  <si>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</si>
  <si>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</si>
  <si>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</si>
  <si>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</si>
  <si>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</si>
  <si>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</si>
  <si>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</si>
  <si>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</si>
  <si>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</si>
  <si>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</si>
  <si>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</si>
  <si>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</si>
  <si>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</si>
  <si>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</si>
  <si>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</si>
  <si>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</si>
  <si>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</si>
  <si>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</si>
  <si>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</si>
  <si>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</si>
  <si>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</si>
  <si>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</si>
  <si>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pagos hasta Diciembre 2017</t>
  </si>
  <si>
    <t xml:space="preserve"> - - - </t>
  </si>
  <si>
    <t>- - -</t>
  </si>
  <si>
    <t>Colaboración Vigilancia, meses de Abril, Mayo y Junio 2017</t>
  </si>
  <si>
    <t>Familia Triana</t>
  </si>
  <si>
    <t>Calle Guacara Nro. 90-61</t>
  </si>
  <si>
    <t>Colaboración Vigilancia, meses de Ene-May 2017</t>
  </si>
  <si>
    <t>Cancelación saldo Vigilancia, meses de Mayo y Junio 2017</t>
  </si>
  <si>
    <t>Cancelación Vigilancia, meses de Marzo y Abril 2017</t>
  </si>
  <si>
    <t>Cancelación Vigilancia, mes de Junio y anticipó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</si>
  <si>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</si>
  <si>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</si>
  <si>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</si>
  <si>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</si>
  <si>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</si>
  <si>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</si>
  <si>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</si>
  <si>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</si>
  <si>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</si>
  <si>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</si>
  <si>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</si>
  <si>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</si>
  <si>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</si>
  <si>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</si>
  <si>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</si>
  <si>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</si>
  <si>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</si>
  <si>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</si>
  <si>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</si>
  <si>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</si>
  <si>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</si>
  <si>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</si>
  <si>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</si>
  <si>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</si>
  <si>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</si>
  <si>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</si>
  <si>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</si>
  <si>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</si>
  <si>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</si>
  <si>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</si>
  <si>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</si>
  <si>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</si>
  <si>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</si>
  <si>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</si>
  <si>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</si>
  <si>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</si>
  <si>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</si>
  <si>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</si>
  <si>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</si>
  <si>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</si>
  <si>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</si>
  <si>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</si>
  <si>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</si>
  <si>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</si>
  <si>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</si>
  <si>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</si>
  <si>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</si>
  <si>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</si>
  <si>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</si>
  <si>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</si>
  <si>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</si>
  <si>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</si>
  <si>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</si>
  <si>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</si>
  <si>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</si>
  <si>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</si>
  <si>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</si>
  <si>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</si>
  <si>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</si>
  <si>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</si>
  <si>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</si>
  <si>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</si>
  <si>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</si>
  <si>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</si>
  <si>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</si>
  <si>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</si>
  <si>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</si>
  <si>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</si>
  <si>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</si>
  <si>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</si>
  <si>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</si>
  <si>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</si>
  <si>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</si>
  <si>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</si>
  <si>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</si>
  <si>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</si>
  <si>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</si>
  <si>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</si>
  <si>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</si>
  <si>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</si>
  <si>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</si>
  <si>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</si>
  <si>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</si>
  <si>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</si>
  <si>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</si>
  <si>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</si>
  <si>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</si>
  <si>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</si>
  <si>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</si>
  <si>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</si>
  <si>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</si>
  <si>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</si>
  <si>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</si>
  <si>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</si>
  <si>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</si>
  <si>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</si>
  <si>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</si>
  <si>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</si>
  <si>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</si>
  <si>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</si>
  <si>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</si>
  <si>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</si>
  <si>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</si>
  <si>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</si>
  <si>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</si>
  <si>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</si>
  <si>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</si>
  <si>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</si>
  <si>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</si>
  <si>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</si>
  <si>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</si>
  <si>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</si>
  <si>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</si>
  <si>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</si>
  <si>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</si>
  <si>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</si>
  <si>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</si>
  <si>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</si>
  <si>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</si>
  <si>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</si>
  <si>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</si>
  <si>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</si>
  <si>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</si>
  <si>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</si>
  <si>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</si>
  <si>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</si>
  <si>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</si>
  <si>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</si>
  <si>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</si>
  <si>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</si>
  <si>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</si>
  <si>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</si>
  <si>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</si>
  <si>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</si>
  <si>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</si>
  <si>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</si>
  <si>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</si>
  <si>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</si>
  <si>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</si>
  <si>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</si>
  <si>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</si>
  <si>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adicional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</si>
  <si>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</si>
  <si>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</si>
  <si>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</si>
  <si>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</si>
  <si>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</si>
  <si>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</si>
  <si>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</si>
  <si>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</si>
  <si>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</si>
  <si>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</si>
  <si>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</si>
  <si>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</si>
  <si>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Otros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</si>
  <si>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</si>
  <si>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</si>
  <si>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</si>
  <si>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</si>
  <si>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</si>
  <si>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</si>
  <si>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</si>
  <si>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</si>
  <si>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</si>
  <si>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</si>
  <si>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</si>
  <si>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</si>
  <si>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</si>
  <si>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</si>
  <si>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</si>
  <si>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</si>
  <si>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</si>
  <si>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</si>
  <si>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adicional - SUSTITUYE AL ANTERIOR</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</si>
  <si>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</si>
  <si>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</si>
  <si>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</si>
  <si>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</si>
  <si>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</si>
  <si>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</si>
  <si>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adicional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</si>
  <si>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</si>
  <si>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</si>
  <si>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</si>
  <si>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</si>
  <si>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</si>
  <si>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</si>
  <si>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adicional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</si>
  <si>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</si>
  <si>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</si>
  <si>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</si>
  <si>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</si>
  <si>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</si>
  <si>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</si>
  <si>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</si>
  <si>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</si>
  <si>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</si>
  <si>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</si>
  <si>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</si>
  <si>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</si>
  <si>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</si>
  <si>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</si>
  <si>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</si>
  <si>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</si>
  <si>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</si>
  <si>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</si>
  <si>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</si>
  <si>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</si>
  <si>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</si>
  <si>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</si>
  <si>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</si>
  <si>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</si>
  <si>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</si>
  <si>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</si>
  <si>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</si>
  <si>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Cancelación Vigilancia, meses de Mayo y Junio 2018</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</si>
  <si>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</si>
  <si>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</si>
  <si>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</si>
  <si>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</si>
  <si>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</si>
  <si>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</si>
  <si>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</si>
  <si>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</si>
  <si>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</si>
  <si>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</si>
  <si>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</si>
  <si>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</si>
  <si>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</si>
  <si>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</si>
  <si>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</si>
  <si>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</si>
  <si>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</si>
  <si>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</si>
  <si>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</si>
  <si>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</si>
  <si>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</si>
  <si>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</si>
  <si>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</si>
  <si>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</si>
  <si>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</si>
  <si>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</si>
  <si>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</si>
  <si>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</si>
  <si>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</si>
  <si>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</si>
  <si>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</si>
  <si>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</si>
  <si>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</si>
  <si>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</si>
  <si>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</si>
  <si>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</si>
  <si>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</si>
  <si>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</si>
  <si>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</si>
  <si>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</si>
  <si>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</si>
  <si>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</si>
  <si>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</si>
  <si>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</si>
  <si>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</si>
  <si>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</si>
  <si>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</si>
  <si>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</si>
  <si>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</si>
  <si>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</si>
  <si>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</si>
  <si>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</si>
  <si>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</si>
  <si>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</si>
  <si>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</si>
  <si>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</si>
  <si>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Colaboración Vigilancia, meses de Junio y Julio 2018</t>
  </si>
  <si>
    <t>Cancelación Vigilancia, ajuste mes de Julio y Agosto 2018</t>
  </si>
  <si>
    <t>Cancelación Vigilancia, ajuste mes de Junio y anticipo mes de Julio 2018</t>
  </si>
  <si>
    <t>Familia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</si>
  <si>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</si>
  <si>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</si>
  <si>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</si>
  <si>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</si>
  <si>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</si>
  <si>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</si>
  <si>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Donativo para los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</si>
  <si>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</si>
  <si>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</si>
  <si>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</si>
  <si>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</si>
  <si>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</si>
  <si>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</si>
  <si>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</si>
  <si>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</si>
  <si>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</si>
  <si>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</si>
  <si>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</si>
  <si>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</si>
  <si>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</si>
  <si>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</si>
  <si>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</si>
  <si>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</si>
  <si>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</si>
  <si>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</si>
  <si>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</si>
  <si>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</si>
  <si>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</si>
  <si>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</si>
  <si>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</si>
  <si>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</si>
  <si>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</si>
  <si>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</si>
  <si>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</si>
  <si>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TOTAL</t>
  </si>
  <si>
    <t>Judith Lazo</t>
  </si>
  <si>
    <t>Av. "M" Nro. 146-25</t>
  </si>
  <si>
    <t>Familia González López</t>
  </si>
  <si>
    <t>Av. "Ñ" Nro. 145-27</t>
  </si>
  <si>
    <t>Familia Coronel</t>
  </si>
  <si>
    <t>Av. "O" Nro. 146-10</t>
  </si>
  <si>
    <t>Ma. Luisa Gornez</t>
  </si>
  <si>
    <t>Calle Guacara Nro. 87-05</t>
  </si>
  <si>
    <t>Familia Aponte . Anexo</t>
  </si>
  <si>
    <t>Doris Valderrama</t>
  </si>
  <si>
    <t>Calle Guacara Nro. 87-15</t>
  </si>
  <si>
    <t>Familia Delgado</t>
  </si>
  <si>
    <t>Calle Guacara Nro. 87-19</t>
  </si>
  <si>
    <t>Familia Pereira</t>
  </si>
  <si>
    <t>Calle Guacara Nro. 87-27</t>
  </si>
  <si>
    <t>Familia Padrón C. Bollingher</t>
  </si>
  <si>
    <t>Calle Guacara Nro. 87-30</t>
  </si>
  <si>
    <t>Familia Morillo</t>
  </si>
  <si>
    <t>Calle Guacara Nro. 87-35</t>
  </si>
  <si>
    <t>Familia Gorrín Gianfrancesco</t>
  </si>
  <si>
    <t>Calle Guacara Nro. 87-40</t>
  </si>
  <si>
    <t>Familia Moretti</t>
  </si>
  <si>
    <t>Calle Guacara Nro. 87-51</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</si>
  <si>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</si>
  <si>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</si>
  <si>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</si>
  <si>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</si>
  <si>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</si>
  <si>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</si>
  <si>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</si>
  <si>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</si>
  <si>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</si>
  <si>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Teresita Román</t>
  </si>
  <si>
    <t>Calle Guacara Nro. 87-90</t>
  </si>
  <si>
    <t>FUERA DEL PAÍS</t>
  </si>
  <si>
    <t>Olga Moncada</t>
  </si>
  <si>
    <t>Calle Guacara Nro. 88-95</t>
  </si>
  <si>
    <t>Familia Zampini Scaccia</t>
  </si>
  <si>
    <t>VENDIDA</t>
  </si>
  <si>
    <t>Familia Soto Urdaneta</t>
  </si>
  <si>
    <t>Calle Guacara Nro. 89-102</t>
  </si>
  <si>
    <t>Familia Aparicio. Anexo</t>
  </si>
  <si>
    <t>Calle Guacara Nro. 89-129</t>
  </si>
  <si>
    <t>Neira Chacón</t>
  </si>
  <si>
    <t>Calle Guacara Nro. 90-71</t>
  </si>
  <si>
    <t>Familia Rodríguez Chiappeta</t>
  </si>
  <si>
    <t>Calle Guacara Nro. 90-120</t>
  </si>
  <si>
    <t>Familia Ledezma Hernández</t>
  </si>
  <si>
    <t>Calle Guacara Nro. 145-30</t>
  </si>
  <si>
    <t>Claudia González</t>
  </si>
  <si>
    <t>Familia Moyetones</t>
  </si>
  <si>
    <t>Calle Güigüe Nro. 88-36</t>
  </si>
  <si>
    <t>Thanya Albornoz</t>
  </si>
  <si>
    <t>Calle Güigüe Nro. 88-42</t>
  </si>
  <si>
    <t>Familia Hernández Castillo</t>
  </si>
  <si>
    <t>Calle Güigüe Nro. 88-94</t>
  </si>
  <si>
    <t>Familia Rizzo</t>
  </si>
  <si>
    <t>Calle Güigüe Nro. 88-102</t>
  </si>
  <si>
    <t>Familia Blonval Hernández</t>
  </si>
  <si>
    <t>Calle Güigüe Nro. 89-64</t>
  </si>
  <si>
    <t>Familia Gurmeitte</t>
  </si>
  <si>
    <t>Calle Güigüe Nro. 89-74</t>
  </si>
  <si>
    <t>Familia Amirante</t>
  </si>
  <si>
    <t>ALQUILADA</t>
  </si>
  <si>
    <t>Alexander Pena</t>
  </si>
  <si>
    <t>Calle Güigüe Nro. 89-126</t>
  </si>
  <si>
    <t>Familia Pena Wierman</t>
  </si>
  <si>
    <t>NÚMERO DE PAGOS</t>
  </si>
  <si>
    <t>PAGOS 100% CUOTA</t>
  </si>
  <si>
    <t>PAGOS 100% EQUIVALENTES</t>
  </si>
  <si>
    <t>CUOTAS MENSUALES</t>
  </si>
  <si>
    <t>CUOTA La Casita Encantada</t>
  </si>
  <si>
    <t>CUOTA Colegio El Trigal</t>
  </si>
  <si>
    <t>CUOTA</t>
  </si>
  <si>
    <t>Saldos a la Fecha</t>
  </si>
  <si>
    <r>
      <rPr>
        <b/>
        <sz val="14"/>
        <color theme="1"/>
        <rFont val="Calibri"/>
        <family val="2"/>
        <scheme val="minor"/>
      </rPr>
      <t>Familia Del Negro Palermo</t>
    </r>
    <r>
      <rPr>
        <b/>
        <sz val="12"/>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</si>
  <si>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</si>
  <si>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Familia Ozar Rivero</t>
    </r>
    <r>
      <rPr>
        <b/>
        <sz val="11"/>
        <color theme="1"/>
        <rFont val="Calibri"/>
        <family val="2"/>
        <scheme val="minor"/>
      </rPr>
      <t>, Calle Güigue Nro. 88-06</t>
    </r>
  </si>
  <si>
    <r>
      <rPr>
        <b/>
        <sz val="14"/>
        <color theme="1"/>
        <rFont val="Calibri"/>
        <family val="2"/>
        <scheme val="minor"/>
      </rPr>
      <t>Familia Acevedo</t>
    </r>
    <r>
      <rPr>
        <b/>
        <sz val="11"/>
        <color theme="1"/>
        <rFont val="Calibri"/>
        <family val="2"/>
        <scheme val="minor"/>
      </rPr>
      <t>, Calle Guacara Nro. 88-A-10</t>
    </r>
  </si>
  <si>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</si>
  <si>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</si>
  <si>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</si>
  <si>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</si>
  <si>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</si>
  <si>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</si>
  <si>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</si>
  <si>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Deposito</t>
  </si>
  <si>
    <t>Duplicado de llave portón p/Colegio El Trigal</t>
  </si>
  <si>
    <t>Depósito</t>
  </si>
  <si>
    <t>Compra de pintura para reja centro comercial</t>
  </si>
  <si>
    <t>Cancelación Vigilancia, mes de Abril/2017</t>
  </si>
  <si>
    <t>Compra de dos (02) controles</t>
  </si>
  <si>
    <t>Cancelación Vigilancia, mes de Julio/2018</t>
  </si>
  <si>
    <t>Cancelación Vigilancia, saldo meses de Marzo y Abril/2018</t>
  </si>
  <si>
    <t>Compra de cemento y arena p/rep. caseta</t>
  </si>
  <si>
    <t>Cancelación Vigilancia, mes de Marzo/2018</t>
  </si>
  <si>
    <t>Cancelación Vigilancia, ajuste mes de Junio/2018</t>
  </si>
  <si>
    <t>Saldo febrero + cuotas Mar-Jun/2017</t>
  </si>
  <si>
    <t>Cancelación Vigilancia, meses de Ene-Jun/2017</t>
  </si>
  <si>
    <t>Cancelación Vigilancia, mes de Mayo/2018</t>
  </si>
  <si>
    <t>Cancelación Vigilancia, mes de Abril/2018</t>
  </si>
  <si>
    <t>Cancelación Vigilancia, saldo mes de Julio/2018</t>
  </si>
  <si>
    <t>Cancelación Vigilancia, mes de Agosto/2017</t>
  </si>
  <si>
    <t>Compra de control para el portón</t>
  </si>
  <si>
    <t>Anticipo Vigilancia, mes de Julio/2017</t>
  </si>
  <si>
    <t>Cancelación Vigilancia, Mes de Agosto/2018</t>
  </si>
  <si>
    <t>Compra de remaches p/cerradura</t>
  </si>
  <si>
    <t>Cancelación Vigilancia, mes de Mayo/2017</t>
  </si>
  <si>
    <t>Cancelación saldo Vigilancia, mes de Julio/2017</t>
  </si>
  <si>
    <t>Compra de rejilla p/baño rep. Caseta</t>
  </si>
  <si>
    <t xml:space="preserve">Depósito 9957128286 de Bco. </t>
  </si>
  <si>
    <t>Cancelación Vigilancia, mes de Junio/2017</t>
  </si>
  <si>
    <t>Cancelación Vigilancia, mes de Junio/2018</t>
  </si>
  <si>
    <t>Cancelación Vigilancia, saldo mes de Agosto/2018</t>
  </si>
  <si>
    <t>Compra de materiales p/rep. Caseta</t>
  </si>
  <si>
    <t>Cancelación Vigilancia, mes de Septiembre/2017</t>
  </si>
  <si>
    <t>Cancelación Vigilancia, mes de Octubre/2017</t>
  </si>
  <si>
    <t>Cancelación Dayana Alonso: Vigilancia 30-06-2018</t>
  </si>
  <si>
    <t>Cancelación Vigilancia, mes de Noviembre/2017</t>
  </si>
  <si>
    <t>Anticipo Vigilancia, mes de Julio/2018</t>
  </si>
  <si>
    <t>Cancelación Vigilancia, mes de Diciembre/2017</t>
  </si>
  <si>
    <t>Compra de electrodos</t>
  </si>
  <si>
    <t>Compra de talonario de recibos</t>
  </si>
  <si>
    <t>Cancelación Vigilancia, mes de Enero/2018</t>
  </si>
  <si>
    <t>Cancelación Vigilancia, mes de Febrero/2018</t>
  </si>
  <si>
    <t>Cancelación Vigilancia, anticipo mes de Agosto/2018</t>
  </si>
  <si>
    <t>Cancelación Vigilancia, mes de Agosto/2018</t>
  </si>
  <si>
    <t>F.Desde</t>
  </si>
  <si>
    <t>F.Hasta</t>
  </si>
  <si>
    <t>Colaboración</t>
  </si>
  <si>
    <t>No participa</t>
  </si>
  <si>
    <t>Cuota completa</t>
  </si>
  <si>
    <t>OCULTO</t>
  </si>
  <si>
    <t>Familia García Hurtado (Luis Zavarce)</t>
  </si>
  <si>
    <t>Pagos &lt; Cuota -- Cantidad</t>
  </si>
  <si>
    <t>Subtotal</t>
  </si>
  <si>
    <t>Pagos = Cuota -- Cantidad</t>
  </si>
  <si>
    <t>Pagos &gt; Cuota -- Cantidad</t>
  </si>
  <si>
    <t>Total pagos cuota-equivalentes</t>
  </si>
  <si>
    <t>Proyectos</t>
  </si>
  <si>
    <t>REPARACIÓN CASETA VIGILANCIA</t>
  </si>
  <si>
    <t>REPARACIÓN PORTON PRINCIPAL</t>
  </si>
  <si>
    <t>Fecha: Mayo/2018</t>
  </si>
  <si>
    <t>Fecha: Julio/2018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</si>
  <si>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</si>
  <si>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</si>
  <si>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</si>
  <si>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</si>
  <si>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</si>
  <si>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</si>
  <si>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</si>
  <si>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</si>
  <si>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</si>
  <si>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</si>
  <si>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</si>
  <si>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</si>
  <si>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</si>
  <si>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</si>
  <si>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</si>
  <si>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</si>
  <si>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</si>
  <si>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</si>
  <si>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</si>
  <si>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</si>
  <si>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</si>
  <si>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</si>
  <si>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</si>
  <si>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</si>
  <si>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</si>
  <si>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</si>
  <si>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</si>
  <si>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</si>
  <si>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</si>
  <si>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</si>
  <si>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Olga (sobrina de Reina Meléndez)</t>
  </si>
  <si>
    <t>0414-341.3070</t>
  </si>
  <si>
    <t>victor8manuel@hotmail.com</t>
  </si>
  <si>
    <t>0424-446.5349</t>
  </si>
  <si>
    <t>iuterdir@hotmail.com</t>
  </si>
  <si>
    <t>&lt;- Error en dirección</t>
  </si>
  <si>
    <t>0414-530.0177</t>
  </si>
  <si>
    <t>oflormo@hotmail.com</t>
  </si>
  <si>
    <t>0414-412.3763</t>
  </si>
  <si>
    <t>mercy_0709@hotmail.com</t>
  </si>
  <si>
    <t>Mercedes Trujillo de Calzadilla</t>
  </si>
  <si>
    <t>0424-498.6453</t>
  </si>
  <si>
    <t>Elizabeth Sánchez (Home House Service, C.A.)</t>
  </si>
  <si>
    <t>(anteriormente Rogelio García)</t>
  </si>
  <si>
    <t>Francisco Hurtado</t>
  </si>
  <si>
    <t>0416-436.8348</t>
  </si>
  <si>
    <t>efigam@hotmail.com</t>
  </si>
  <si>
    <t>0414-419.5299</t>
  </si>
  <si>
    <t>hugoemilioaponte@hotmail.com</t>
  </si>
  <si>
    <t>raul1franco@gmail.com</t>
  </si>
  <si>
    <t>0412-342.5692</t>
  </si>
  <si>
    <t>leszamoro2011@hotmail.com</t>
  </si>
  <si>
    <t>Chen Ying Hsuan</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</si>
  <si>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</si>
  <si>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</si>
  <si>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</si>
  <si>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</si>
  <si>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</si>
  <si>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</si>
  <si>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</si>
  <si>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</si>
  <si>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</si>
  <si>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</si>
  <si>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</si>
  <si>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</si>
  <si>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</si>
  <si>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</si>
  <si>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</si>
  <si>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</si>
  <si>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</si>
  <si>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</si>
  <si>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</si>
  <si>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</si>
  <si>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</si>
  <si>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</si>
  <si>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</si>
  <si>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</si>
  <si>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</si>
  <si>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</si>
  <si>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Familia Navas Gordon</t>
  </si>
  <si>
    <t>Ma. Eugenia Gordon</t>
  </si>
  <si>
    <t>0416-640.8634</t>
  </si>
  <si>
    <t>0414-436.8893</t>
  </si>
  <si>
    <t>0414-264.8109</t>
  </si>
  <si>
    <t>0414-430.0164</t>
  </si>
  <si>
    <t>0414-422.3473</t>
  </si>
  <si>
    <t>Elena Zavarce</t>
  </si>
  <si>
    <t>(Anteriormente Lugo Zavarce)</t>
  </si>
  <si>
    <t>Aurymar Castro</t>
  </si>
  <si>
    <t>0414-439.7774</t>
  </si>
  <si>
    <t>Carolina Hung</t>
  </si>
  <si>
    <t>0412-850.0478</t>
  </si>
  <si>
    <t>(Anteriormente Hilda Carrillo)</t>
  </si>
  <si>
    <t>josemanuel.ledezma@gmail.com</t>
  </si>
  <si>
    <t>Mario Narváez</t>
  </si>
  <si>
    <t>0414-341.5456</t>
  </si>
  <si>
    <t>0414-325.5322</t>
  </si>
  <si>
    <t>(anteriormente Claudia González)</t>
  </si>
  <si>
    <t>Carlos Delgado</t>
  </si>
  <si>
    <t>0412-673.3016</t>
  </si>
  <si>
    <t>Raquel Hidalgo</t>
  </si>
  <si>
    <t>0414-438.4292</t>
  </si>
  <si>
    <t>0416-644.1242</t>
  </si>
  <si>
    <t>Dora Chávez</t>
  </si>
  <si>
    <t>0414-413.6103</t>
  </si>
  <si>
    <t>Familia Alonso Hernández</t>
  </si>
  <si>
    <t>0414-406.8469</t>
  </si>
  <si>
    <t>evelynmoyetones@hotmail.com</t>
  </si>
  <si>
    <t>Evelyn Moyetones</t>
  </si>
  <si>
    <t>0426-942.5637</t>
  </si>
  <si>
    <t>Morella Rivero</t>
  </si>
  <si>
    <t>0414-040.3440</t>
  </si>
  <si>
    <t>thanyaalbornozm@hotmail.com</t>
  </si>
  <si>
    <t>Mario Colosso</t>
  </si>
  <si>
    <t>0414-438.8316</t>
  </si>
  <si>
    <t>Migdalia Delgado</t>
  </si>
  <si>
    <t>0414-426.6592</t>
  </si>
  <si>
    <t>0424-439.7539</t>
  </si>
  <si>
    <t>LizJorge2007@gmail.com</t>
  </si>
  <si>
    <t>0414-341.5549</t>
  </si>
  <si>
    <t>0414-348.3180</t>
  </si>
  <si>
    <t>Verónica Aular</t>
  </si>
  <si>
    <t>0416-795.7276</t>
  </si>
  <si>
    <t>mayela.rey@kamikaze.com.ve</t>
  </si>
  <si>
    <t>0414-437.6667</t>
  </si>
  <si>
    <t>Valerio Rafael Gascón</t>
  </si>
  <si>
    <t>0412-742.3161</t>
  </si>
  <si>
    <t>amnesquirm@gmail.com</t>
  </si>
  <si>
    <t>Raquel Martínez Rodríguez</t>
  </si>
  <si>
    <t>0414-432.5901</t>
  </si>
  <si>
    <t>0412-684.8327</t>
  </si>
  <si>
    <t>0414-437.3537</t>
  </si>
  <si>
    <t>0414-340.1447</t>
  </si>
  <si>
    <t>Emma Castillo</t>
  </si>
  <si>
    <t>0414-423.3509</t>
  </si>
  <si>
    <t>&lt;&lt;&lt;</t>
  </si>
  <si>
    <t>0412-438.3576</t>
  </si>
  <si>
    <t>Luis Díaz</t>
  </si>
  <si>
    <t>0414-410.1709</t>
  </si>
  <si>
    <t>0414-437.0414</t>
  </si>
  <si>
    <t>Alexis Sayago</t>
  </si>
  <si>
    <t>0424-430.1332</t>
  </si>
  <si>
    <t>Pablo Acosta</t>
  </si>
  <si>
    <t>0414-342.6030</t>
  </si>
  <si>
    <t>0424-496.4253</t>
  </si>
  <si>
    <t>Gerardo Piñero</t>
  </si>
  <si>
    <t>0414-440.5502</t>
  </si>
  <si>
    <t>(anteriormente Gerardo Piñero)</t>
  </si>
  <si>
    <t>0414-342.1752</t>
  </si>
  <si>
    <t>(Alexander Godoy)</t>
  </si>
  <si>
    <t>0414-837.1556</t>
  </si>
  <si>
    <t>0414-359.4806</t>
  </si>
  <si>
    <t>0414-420.3953</t>
  </si>
  <si>
    <t>0412-486.1241</t>
  </si>
  <si>
    <t>(anteriormente Familia Alonso Rodríguez)</t>
  </si>
  <si>
    <t>aferminb@hotmail.com</t>
  </si>
  <si>
    <t>0412-199.0834</t>
  </si>
  <si>
    <t>0424-496.3683</t>
  </si>
  <si>
    <t>0414-340.1631</t>
  </si>
  <si>
    <t>0424-426.4098</t>
  </si>
  <si>
    <t>0426-343.0173</t>
  </si>
  <si>
    <t>0414-409.3239</t>
  </si>
  <si>
    <t>Elizabeth Rueda de Civitico</t>
  </si>
  <si>
    <t>0412-474.9513</t>
  </si>
  <si>
    <t>Alquiló la casa a la Sra. Elizabeth Rueda</t>
  </si>
  <si>
    <t>Dairobys (Dairy) García</t>
  </si>
  <si>
    <t>0412-681.5408</t>
  </si>
  <si>
    <t>Jagia Kattar</t>
  </si>
  <si>
    <t>0412-406.9573</t>
  </si>
  <si>
    <t>0414-437.7970</t>
  </si>
  <si>
    <t>0414-430.0037</t>
  </si>
  <si>
    <t>0426-354.2153</t>
  </si>
  <si>
    <t>0414-088.9050</t>
  </si>
  <si>
    <t>Elizabeth Morales</t>
  </si>
  <si>
    <t>alexanderpenao@hotmail.com</t>
  </si>
  <si>
    <t>¿Quiénes solicitan recibos en físico?</t>
  </si>
  <si>
    <t>Cobranzas GyG</t>
  </si>
  <si>
    <t xml:space="preserve"> </t>
  </si>
  <si>
    <t>Gastos en el mes</t>
  </si>
  <si>
    <t>Fechas</t>
  </si>
  <si>
    <t>Total general</t>
  </si>
  <si>
    <t>Cobrado en el mes</t>
  </si>
  <si>
    <t>Diferencia</t>
  </si>
  <si>
    <t>Mes a cancelar</t>
  </si>
  <si>
    <t>Vigilantes</t>
  </si>
  <si>
    <t>Productos limpieza</t>
  </si>
  <si>
    <t>Papel sanitario</t>
  </si>
  <si>
    <t>Café</t>
  </si>
  <si>
    <t>Otros gastos</t>
  </si>
  <si>
    <t>Total gastos</t>
  </si>
  <si>
    <t>Etiquetas de columna</t>
  </si>
  <si>
    <t>Familia</t>
  </si>
  <si>
    <t>Total: 12 familias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</si>
</sst>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0"/>
    <numFmt numFmtId="165" formatCode="mmmm/yyyy"/>
    <numFmt numFmtId="166" formatCode="000"/>
    <numFmt numFmtId="167" formatCode="#,##0;[Red]\-#,##0;"/>
    <numFmt numFmtId="168" formatCode="mm/yyyy"/>
    <numFmt numFmtId="169" formatCode="mmm/yyyy"/>
    <numFmt numFmtId="170" formatCode="[$-C0A]mmmyyyy;@"/>
    <numFmt numFmtId="171" formatCode="0;\-0;"/>
    <numFmt numFmtId="172" formatCode="\ü"/>
    <numFmt numFmtId="173" formatCode="#,##0;[Red]\-#,##0;0"/>
    <numFmt numFmtId="174" formatCode="#,##0.0"/>
    <numFmt numFmtId="175" formatCode="#,##0_ ;[Red]\-#,##0\ "/>
    <numFmt numFmtId="176" formatCode="dd/mm/yy"/>
  </numFmts>
  <fonts count="26" x14ac:knownFonts="1">
    <font>
      <sz val="11"/>
      <color theme="1"/>
      <name val="Calibri"/>
      <family val="2"/>
      <scheme val="minor"/>
    </font>
    <font>
      <sz val="11"/>
      <color theme="0"/>
      <name val="Calibri"/>
      <family val="2"/>
      <scheme val="minor"/>
    </font>
    <font>
      <sz val="11"/>
      <color theme="1"/>
      <name val="Wingdings"/>
      <charset val="2"/>
    </font>
    <font>
      <sz val="9"/>
      <color indexed="81"/>
      <name val="Tahoma"/>
      <family val="2"/>
    </font>
    <font>
      <b/>
      <sz val="9"/>
      <color indexed="81"/>
      <name val="Tahoma"/>
      <family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0"/>
      <name val="Calibri"/>
      <family val="2"/>
      <scheme val="minor"/>
    </font>
    <font>
      <sz val="10"/>
      <color theme="1"/>
      <name val="Calibri"/>
      <family val="2"/>
      <scheme val="minor"/>
    </font>
    <font>
      <b/>
      <sz val="10"/>
      <color rgb="FFC00000"/>
      <name val="Calibri"/>
      <family val="2"/>
      <scheme val="minor"/>
    </font>
    <font>
      <sz val="10"/>
      <color theme="0"/>
      <name val="Wingdings"/>
      <charset val="2"/>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1"/>
      <color theme="0"/>
      <name val="Calibri"/>
      <family val="2"/>
      <scheme val="minor"/>
    </font>
  </fonts>
  <fills count="30">
    <fill>
      <patternFill patternType="none"/>
    </fill>
    <fill>
      <patternFill patternType="gray125"/>
    </fill>
    <fill>
      <patternFill patternType="solid">
        <fgColor theme="5"/>
      </patternFill>
    </fill>
    <fill>
      <patternFill patternType="solid">
        <fgColor theme="8"/>
      </patternFill>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0066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theme="4" tint="0.79998168889431442"/>
        <bgColor theme="4" tint="0.79998168889431442"/>
      </patternFill>
    </fill>
    <fill>
      <patternFill patternType="solid">
        <fgColor rgb="FF66FF66"/>
        <bgColor indexed="64"/>
      </patternFill>
    </fill>
    <fill>
      <patternFill patternType="lightUp">
        <fgColor rgb="FFFF0000"/>
      </patternFill>
    </fill>
  </fills>
  <borders count="113">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right style="thin">
        <color rgb="FF505050"/>
      </right>
      <top style="thin">
        <color rgb="FF505050"/>
      </top>
      <bottom/>
      <diagonal/>
    </border>
    <border>
      <left style="thin">
        <color rgb="FF505050"/>
      </left>
      <right style="double">
        <color rgb="FF505050"/>
      </right>
      <top style="thin">
        <color rgb="FF505050"/>
      </top>
      <bottom/>
      <diagonal/>
    </border>
    <border>
      <left style="thin">
        <color rgb="FF505050"/>
      </left>
      <right style="thin">
        <color rgb="FF505050"/>
      </right>
      <top style="thin">
        <color rgb="FF505050"/>
      </top>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double">
        <color rgb="FF505050"/>
      </right>
      <top/>
      <bottom style="thin">
        <color theme="0" tint="-0.24994659260841701"/>
      </bottom>
      <diagonal/>
    </border>
    <border>
      <left style="double">
        <color rgb="FF505050"/>
      </left>
      <right style="thin">
        <color auto="1"/>
      </right>
      <top/>
      <bottom style="thin">
        <color theme="0" tint="-0.2499465926084170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style="thin">
        <color auto="1"/>
      </right>
      <top style="thin">
        <color auto="1"/>
      </top>
      <bottom style="thin">
        <color rgb="FF505050"/>
      </bottom>
      <diagonal/>
    </border>
    <border>
      <left/>
      <right/>
      <top/>
      <bottom style="thin">
        <color theme="4" tint="0.39997558519241921"/>
      </bottom>
      <diagonal/>
    </border>
    <border>
      <left/>
      <right/>
      <top style="thin">
        <color theme="4" tint="0.39997558519241921"/>
      </top>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auto="1"/>
      </right>
      <top/>
      <bottom style="medium">
        <color rgb="FF505050"/>
      </bottom>
      <diagonal/>
    </border>
    <border>
      <left style="thin">
        <color auto="1"/>
      </left>
      <right style="double">
        <color rgb="FF505050"/>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right style="thin">
        <color auto="1"/>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right style="thin">
        <color auto="1"/>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s>
  <cellStyleXfs count="4">
    <xf numFmtId="0" fontId="0" fillId="0" borderId="0"/>
    <xf numFmtId="0" fontId="1" fillId="2" borderId="0" applyNumberFormat="0" applyBorder="0" applyAlignment="0" applyProtection="0"/>
    <xf numFmtId="0" fontId="1" fillId="3" borderId="0" applyNumberFormat="0" applyBorder="0" applyAlignment="0" applyProtection="0"/>
    <xf numFmtId="9" fontId="16" fillId="0" borderId="0" applyFont="0" applyFill="0" applyBorder="0" applyAlignment="0" applyProtection="0"/>
  </cellStyleXfs>
  <cellXfs count="404">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14" fontId="1" fillId="3" borderId="0" xfId="2" applyNumberFormat="1" applyAlignment="1">
      <alignment horizontal="center"/>
    </xf>
    <xf numFmtId="4" fontId="1" fillId="3" borderId="0" xfId="2" applyNumberFormat="1" applyAlignment="1">
      <alignment horizontal="center"/>
    </xf>
    <xf numFmtId="0" fontId="1" fillId="3" borderId="0" xfId="2"/>
    <xf numFmtId="165" fontId="1" fillId="3" borderId="0" xfId="2" applyNumberFormat="1" applyAlignment="1">
      <alignment horizontal="center"/>
    </xf>
    <xf numFmtId="0" fontId="0" fillId="4" borderId="0" xfId="0" applyFill="1" applyAlignment="1">
      <alignment horizontal="left" indent="1"/>
    </xf>
    <xf numFmtId="165" fontId="0" fillId="4" borderId="0" xfId="0" applyNumberFormat="1" applyFill="1" applyAlignment="1">
      <alignment horizontal="center"/>
    </xf>
    <xf numFmtId="165" fontId="0" fillId="0" borderId="0" xfId="0" applyNumberFormat="1"/>
    <xf numFmtId="0" fontId="0" fillId="6" borderId="0" xfId="0" applyFill="1"/>
    <xf numFmtId="164" fontId="2" fillId="0" borderId="0" xfId="0" applyNumberFormat="1" applyFont="1" applyAlignment="1">
      <alignment horizontal="center"/>
    </xf>
    <xf numFmtId="165" fontId="0" fillId="6" borderId="0" xfId="0" applyNumberFormat="1" applyFill="1"/>
    <xf numFmtId="4" fontId="0" fillId="6" borderId="0" xfId="0" applyNumberFormat="1" applyFill="1" applyAlignment="1">
      <alignment horizontal="right" indent="1"/>
    </xf>
    <xf numFmtId="164" fontId="1" fillId="3" borderId="0" xfId="2" applyNumberFormat="1" applyAlignment="1">
      <alignment horizontal="center" wrapText="1"/>
    </xf>
    <xf numFmtId="0" fontId="1" fillId="3" borderId="0" xfId="2" applyAlignment="1">
      <alignment horizontal="center" wrapText="1"/>
    </xf>
    <xf numFmtId="0" fontId="1" fillId="2" borderId="0" xfId="1" applyAlignment="1">
      <alignment horizontal="center" wrapText="1"/>
    </xf>
    <xf numFmtId="0" fontId="1" fillId="2" borderId="0" xfId="1" applyAlignment="1">
      <alignment horizontal="left" wrapText="1"/>
    </xf>
    <xf numFmtId="49" fontId="1" fillId="7" borderId="0" xfId="2" applyNumberFormat="1" applyFill="1" applyAlignment="1">
      <alignment horizontal="center" wrapText="1"/>
    </xf>
    <xf numFmtId="49" fontId="0" fillId="8" borderId="0" xfId="0" applyNumberFormat="1" applyFill="1"/>
    <xf numFmtId="164" fontId="2" fillId="9" borderId="0" xfId="0" applyNumberFormat="1" applyFont="1" applyFill="1" applyAlignment="1">
      <alignment horizontal="center"/>
    </xf>
    <xf numFmtId="4" fontId="0" fillId="9" borderId="0" xfId="0" applyNumberFormat="1" applyFill="1" applyAlignment="1">
      <alignment horizontal="right" indent="1"/>
    </xf>
    <xf numFmtId="0" fontId="0" fillId="9" borderId="0" xfId="0" applyFill="1"/>
    <xf numFmtId="165" fontId="0" fillId="9" borderId="0" xfId="0" applyNumberFormat="1" applyFill="1"/>
    <xf numFmtId="49" fontId="0" fillId="10" borderId="0" xfId="0" applyNumberFormat="1" applyFill="1"/>
    <xf numFmtId="14" fontId="0" fillId="9" borderId="0" xfId="0" applyNumberFormat="1" applyFill="1" applyAlignment="1">
      <alignment horizontal="center"/>
    </xf>
    <xf numFmtId="0" fontId="6" fillId="6" borderId="2" xfId="0" applyFont="1" applyFill="1" applyBorder="1" applyAlignment="1">
      <alignment horizontal="center"/>
    </xf>
    <xf numFmtId="3" fontId="0" fillId="0" borderId="0" xfId="0" applyNumberFormat="1"/>
    <xf numFmtId="14" fontId="6" fillId="0" borderId="0" xfId="0" applyNumberFormat="1" applyFont="1"/>
    <xf numFmtId="0" fontId="1" fillId="3" borderId="0" xfId="2" applyAlignment="1">
      <alignment horizontal="center"/>
    </xf>
    <xf numFmtId="0" fontId="6" fillId="14" borderId="0" xfId="0" applyFont="1" applyFill="1"/>
    <xf numFmtId="0" fontId="0" fillId="13" borderId="0" xfId="0" applyFill="1"/>
    <xf numFmtId="49" fontId="0" fillId="15" borderId="0" xfId="0" applyNumberFormat="1" applyFill="1"/>
    <xf numFmtId="167" fontId="0" fillId="0" borderId="0" xfId="0" applyNumberFormat="1"/>
    <xf numFmtId="167" fontId="1" fillId="3" borderId="0" xfId="2" applyNumberFormat="1" applyAlignment="1">
      <alignment horizontal="center"/>
    </xf>
    <xf numFmtId="0" fontId="6" fillId="6" borderId="0" xfId="0" applyFont="1" applyFill="1"/>
    <xf numFmtId="0" fontId="0" fillId="0" borderId="0" xfId="0" pivotButton="1"/>
    <xf numFmtId="169" fontId="0" fillId="0" borderId="0" xfId="0" applyNumberFormat="1" applyAlignment="1">
      <alignment horizontal="left"/>
    </xf>
    <xf numFmtId="168" fontId="0" fillId="4" borderId="0" xfId="0" applyNumberFormat="1" applyFill="1" applyAlignment="1">
      <alignment horizontal="center"/>
    </xf>
    <xf numFmtId="3" fontId="10" fillId="3" borderId="9" xfId="2" applyNumberFormat="1" applyFont="1" applyBorder="1" applyAlignment="1">
      <alignment horizontal="center" vertical="center"/>
    </xf>
    <xf numFmtId="3" fontId="11" fillId="0" borderId="13" xfId="0" applyNumberFormat="1" applyFont="1" applyBorder="1" applyAlignment="1">
      <alignment horizontal="right" vertical="center" indent="1"/>
    </xf>
    <xf numFmtId="3" fontId="11" fillId="11" borderId="13" xfId="0" applyNumberFormat="1" applyFont="1" applyFill="1" applyBorder="1" applyAlignment="1">
      <alignment horizontal="right" vertical="center" indent="1"/>
    </xf>
    <xf numFmtId="3" fontId="11" fillId="6" borderId="13" xfId="0" applyNumberFormat="1" applyFont="1" applyFill="1" applyBorder="1" applyAlignment="1">
      <alignment horizontal="right" vertical="center" indent="1"/>
    </xf>
    <xf numFmtId="3" fontId="11" fillId="5" borderId="13" xfId="0" applyNumberFormat="1" applyFont="1" applyFill="1" applyBorder="1" applyAlignment="1">
      <alignment horizontal="right" vertical="center" indent="1"/>
    </xf>
    <xf numFmtId="3" fontId="11" fillId="12" borderId="18" xfId="0" applyNumberFormat="1" applyFont="1" applyFill="1" applyBorder="1" applyAlignment="1">
      <alignment horizontal="right" vertical="center" indent="1"/>
    </xf>
    <xf numFmtId="3" fontId="11" fillId="0" borderId="15" xfId="0" applyNumberFormat="1" applyFont="1" applyBorder="1" applyAlignment="1">
      <alignment horizontal="right" indent="1"/>
    </xf>
    <xf numFmtId="3" fontId="11" fillId="0" borderId="0" xfId="0" applyNumberFormat="1" applyFont="1" applyAlignment="1">
      <alignment horizontal="right" indent="1"/>
    </xf>
    <xf numFmtId="167" fontId="11" fillId="0" borderId="0" xfId="0" applyNumberFormat="1" applyFont="1"/>
    <xf numFmtId="0" fontId="10" fillId="3" borderId="9" xfId="2" applyFont="1" applyBorder="1" applyAlignment="1">
      <alignment vertical="center"/>
    </xf>
    <xf numFmtId="0" fontId="10" fillId="3" borderId="10" xfId="2" applyFont="1" applyBorder="1" applyAlignment="1">
      <alignment vertical="center"/>
    </xf>
    <xf numFmtId="3" fontId="13" fillId="3" borderId="1" xfId="2" applyNumberFormat="1" applyFont="1" applyBorder="1" applyAlignment="1">
      <alignment horizontal="center" vertical="center"/>
    </xf>
    <xf numFmtId="0" fontId="11" fillId="0" borderId="0" xfId="0" applyFont="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4" fillId="0" borderId="14" xfId="0" applyFont="1" applyBorder="1" applyAlignment="1">
      <alignment horizontal="center" vertical="center"/>
    </xf>
    <xf numFmtId="0" fontId="11" fillId="6" borderId="11" xfId="0" applyFont="1" applyFill="1" applyBorder="1" applyAlignment="1">
      <alignment vertical="center"/>
    </xf>
    <xf numFmtId="0" fontId="11" fillId="6" borderId="12" xfId="0" applyFont="1" applyFill="1" applyBorder="1" applyAlignment="1">
      <alignment vertical="center"/>
    </xf>
    <xf numFmtId="0" fontId="14" fillId="6" borderId="12" xfId="0" applyFont="1" applyFill="1" applyBorder="1" applyAlignment="1">
      <alignment horizontal="center" vertical="center"/>
    </xf>
    <xf numFmtId="0" fontId="14" fillId="0" borderId="12" xfId="0" applyFont="1" applyBorder="1" applyAlignment="1">
      <alignment horizontal="center" vertical="center"/>
    </xf>
    <xf numFmtId="0" fontId="11" fillId="5" borderId="11" xfId="0" applyFont="1" applyFill="1" applyBorder="1" applyAlignment="1">
      <alignment vertical="center"/>
    </xf>
    <xf numFmtId="0" fontId="11" fillId="5" borderId="12" xfId="0" applyFont="1" applyFill="1" applyBorder="1" applyAlignment="1">
      <alignment vertical="center"/>
    </xf>
    <xf numFmtId="0" fontId="14" fillId="5" borderId="12" xfId="0" applyFont="1" applyFill="1" applyBorder="1" applyAlignment="1">
      <alignment horizontal="center" vertical="center"/>
    </xf>
    <xf numFmtId="0" fontId="11" fillId="12" borderId="16" xfId="0" applyFont="1" applyFill="1" applyBorder="1" applyAlignment="1">
      <alignment vertical="center"/>
    </xf>
    <xf numFmtId="0" fontId="11" fillId="12" borderId="17" xfId="0" applyFont="1" applyFill="1" applyBorder="1" applyAlignment="1">
      <alignment vertical="center"/>
    </xf>
    <xf numFmtId="0" fontId="14" fillId="12" borderId="17" xfId="0" applyFont="1" applyFill="1" applyBorder="1" applyAlignment="1">
      <alignment horizontal="center" vertical="center"/>
    </xf>
    <xf numFmtId="0" fontId="11" fillId="0" borderId="19" xfId="0" applyFont="1" applyBorder="1"/>
    <xf numFmtId="0" fontId="15" fillId="0" borderId="20" xfId="0" applyFont="1" applyBorder="1" applyAlignment="1">
      <alignment horizontal="right" indent="1"/>
    </xf>
    <xf numFmtId="0" fontId="11" fillId="0" borderId="0" xfId="0" applyFont="1"/>
    <xf numFmtId="0" fontId="14" fillId="0" borderId="0" xfId="0" applyFont="1" applyAlignment="1">
      <alignment horizontal="center"/>
    </xf>
    <xf numFmtId="0" fontId="10" fillId="3" borderId="9" xfId="2" applyFont="1" applyBorder="1" applyAlignment="1">
      <alignment horizontal="center" vertical="center"/>
    </xf>
    <xf numFmtId="165" fontId="0" fillId="4" borderId="0" xfId="0" applyNumberFormat="1" applyFill="1"/>
    <xf numFmtId="167" fontId="11" fillId="0" borderId="13" xfId="0" applyNumberFormat="1" applyFont="1" applyBorder="1" applyAlignment="1">
      <alignment horizontal="right" vertical="center" indent="1"/>
    </xf>
    <xf numFmtId="167" fontId="11" fillId="5" borderId="13" xfId="0" applyNumberFormat="1" applyFont="1" applyFill="1" applyBorder="1" applyAlignment="1">
      <alignment horizontal="right" vertical="center" indent="1"/>
    </xf>
    <xf numFmtId="0" fontId="0" fillId="6" borderId="2" xfId="0" applyFill="1" applyBorder="1"/>
    <xf numFmtId="165" fontId="0" fillId="6" borderId="0" xfId="0" quotePrefix="1" applyNumberFormat="1" applyFill="1" applyAlignment="1">
      <alignment horizontal="center"/>
    </xf>
    <xf numFmtId="0" fontId="0" fillId="6" borderId="0" xfId="0" quotePrefix="1" applyFill="1" applyAlignment="1">
      <alignment horizontal="left" indent="1"/>
    </xf>
    <xf numFmtId="3" fontId="11" fillId="16" borderId="13" xfId="0" applyNumberFormat="1" applyFont="1" applyFill="1" applyBorder="1" applyAlignment="1">
      <alignment horizontal="right" vertical="center" indent="1"/>
    </xf>
    <xf numFmtId="14" fontId="0" fillId="6" borderId="0" xfId="0" applyNumberFormat="1" applyFill="1" applyAlignment="1">
      <alignment horizontal="center"/>
    </xf>
    <xf numFmtId="3" fontId="11" fillId="17" borderId="13" xfId="0" applyNumberFormat="1" applyFont="1" applyFill="1" applyBorder="1" applyAlignment="1">
      <alignment horizontal="right" vertical="center" indent="1"/>
    </xf>
    <xf numFmtId="14" fontId="6" fillId="0" borderId="0" xfId="0" applyNumberFormat="1" applyFont="1" applyAlignment="1">
      <alignment horizontal="left"/>
    </xf>
    <xf numFmtId="0" fontId="0" fillId="0" borderId="0" xfId="0" applyAlignment="1">
      <alignment vertical="center"/>
    </xf>
    <xf numFmtId="0" fontId="11" fillId="0" borderId="22" xfId="0" applyFont="1" applyBorder="1"/>
    <xf numFmtId="3" fontId="11" fillId="0" borderId="24" xfId="0" applyNumberFormat="1" applyFont="1" applyBorder="1" applyAlignment="1">
      <alignment horizontal="right" indent="1"/>
    </xf>
    <xf numFmtId="3" fontId="11" fillId="0" borderId="22" xfId="0" applyNumberFormat="1" applyFont="1" applyBorder="1" applyAlignment="1">
      <alignment horizontal="right" indent="1"/>
    </xf>
    <xf numFmtId="3" fontId="11" fillId="0" borderId="23" xfId="0" applyNumberFormat="1" applyFont="1" applyBorder="1" applyAlignment="1">
      <alignment horizontal="right" indent="1"/>
    </xf>
    <xf numFmtId="0" fontId="18" fillId="18" borderId="11" xfId="0" applyFont="1" applyFill="1" applyBorder="1" applyAlignment="1">
      <alignment vertical="center"/>
    </xf>
    <xf numFmtId="0" fontId="18" fillId="18" borderId="12" xfId="0" applyFont="1" applyFill="1" applyBorder="1" applyAlignment="1">
      <alignment vertical="center"/>
    </xf>
    <xf numFmtId="3" fontId="11" fillId="5" borderId="11" xfId="0" applyNumberFormat="1" applyFont="1" applyFill="1" applyBorder="1" applyAlignment="1">
      <alignment horizontal="right" vertical="center" indent="1"/>
    </xf>
    <xf numFmtId="3" fontId="11" fillId="6" borderId="11" xfId="0" applyNumberFormat="1" applyFont="1" applyFill="1" applyBorder="1" applyAlignment="1">
      <alignment horizontal="right" vertical="center" indent="1"/>
    </xf>
    <xf numFmtId="3" fontId="11" fillId="0" borderId="11" xfId="0" applyNumberFormat="1" applyFont="1" applyBorder="1" applyAlignment="1">
      <alignment horizontal="right" vertical="center" indent="1"/>
    </xf>
    <xf numFmtId="3" fontId="11" fillId="12" borderId="16" xfId="0" applyNumberFormat="1" applyFont="1" applyFill="1" applyBorder="1" applyAlignment="1">
      <alignment horizontal="right" vertical="center" indent="1"/>
    </xf>
    <xf numFmtId="3" fontId="11" fillId="0" borderId="9" xfId="0" applyNumberFormat="1" applyFont="1" applyBorder="1" applyAlignment="1">
      <alignment horizontal="right" vertical="center" indent="1"/>
    </xf>
    <xf numFmtId="3" fontId="11" fillId="6" borderId="26" xfId="0" applyNumberFormat="1" applyFont="1" applyFill="1" applyBorder="1" applyAlignment="1">
      <alignment horizontal="right" vertical="center" indent="1"/>
    </xf>
    <xf numFmtId="3" fontId="11" fillId="0" borderId="26" xfId="0" applyNumberFormat="1" applyFont="1" applyBorder="1" applyAlignment="1">
      <alignment horizontal="right" vertical="center" indent="1"/>
    </xf>
    <xf numFmtId="3" fontId="11" fillId="5" borderId="26" xfId="0" applyNumberFormat="1" applyFont="1" applyFill="1" applyBorder="1" applyAlignment="1">
      <alignment horizontal="right" vertical="center" indent="1"/>
    </xf>
    <xf numFmtId="3" fontId="11" fillId="12" borderId="27" xfId="0" applyNumberFormat="1" applyFont="1" applyFill="1" applyBorder="1" applyAlignment="1">
      <alignment horizontal="right" vertical="center" indent="1"/>
    </xf>
    <xf numFmtId="3" fontId="11" fillId="0" borderId="25" xfId="0" applyNumberFormat="1" applyFont="1" applyBorder="1" applyAlignment="1">
      <alignment horizontal="right" indent="1"/>
    </xf>
    <xf numFmtId="3" fontId="11" fillId="0" borderId="28" xfId="0" applyNumberFormat="1" applyFont="1" applyBorder="1" applyAlignment="1">
      <alignment horizontal="right" indent="1"/>
    </xf>
    <xf numFmtId="3" fontId="11" fillId="0" borderId="30" xfId="0" applyNumberFormat="1" applyFont="1" applyBorder="1" applyAlignment="1">
      <alignment horizontal="right" vertical="center" indent="1"/>
    </xf>
    <xf numFmtId="3" fontId="11" fillId="6" borderId="30" xfId="0" applyNumberFormat="1" applyFont="1" applyFill="1" applyBorder="1" applyAlignment="1">
      <alignment horizontal="right" vertical="center" indent="1"/>
    </xf>
    <xf numFmtId="3" fontId="11" fillId="5" borderId="30" xfId="0" applyNumberFormat="1" applyFont="1" applyFill="1" applyBorder="1" applyAlignment="1">
      <alignment horizontal="right" vertical="center" indent="1"/>
    </xf>
    <xf numFmtId="3" fontId="11" fillId="12" borderId="31" xfId="0" applyNumberFormat="1" applyFont="1" applyFill="1" applyBorder="1" applyAlignment="1">
      <alignment horizontal="right" vertical="center" indent="1"/>
    </xf>
    <xf numFmtId="3" fontId="11" fillId="0" borderId="32" xfId="0" applyNumberFormat="1" applyFont="1" applyBorder="1" applyAlignment="1">
      <alignment horizontal="right" indent="1"/>
    </xf>
    <xf numFmtId="0" fontId="10" fillId="3" borderId="29" xfId="2" applyFont="1" applyBorder="1" applyAlignment="1">
      <alignment horizontal="center" vertical="center"/>
    </xf>
    <xf numFmtId="3" fontId="11" fillId="0" borderId="12" xfId="0" applyNumberFormat="1" applyFont="1" applyBorder="1" applyAlignment="1">
      <alignment horizontal="right" vertical="center" indent="1"/>
    </xf>
    <xf numFmtId="3" fontId="11" fillId="6" borderId="12" xfId="0" applyNumberFormat="1" applyFont="1" applyFill="1" applyBorder="1" applyAlignment="1">
      <alignment horizontal="right" vertical="center" indent="1"/>
    </xf>
    <xf numFmtId="3" fontId="11" fillId="11" borderId="12" xfId="0" applyNumberFormat="1" applyFont="1" applyFill="1" applyBorder="1" applyAlignment="1">
      <alignment horizontal="right" vertical="center" indent="1"/>
    </xf>
    <xf numFmtId="3" fontId="11" fillId="5" borderId="12" xfId="0" applyNumberFormat="1" applyFont="1" applyFill="1" applyBorder="1" applyAlignment="1">
      <alignment horizontal="right" vertical="center" indent="1"/>
    </xf>
    <xf numFmtId="3" fontId="11" fillId="12" borderId="17" xfId="0" applyNumberFormat="1" applyFont="1" applyFill="1" applyBorder="1" applyAlignment="1">
      <alignment horizontal="right" vertical="center" indent="1"/>
    </xf>
    <xf numFmtId="3" fontId="11" fillId="0" borderId="29" xfId="0" applyNumberFormat="1" applyFont="1" applyBorder="1" applyAlignment="1">
      <alignment horizontal="right" vertical="center" indent="1"/>
    </xf>
    <xf numFmtId="167" fontId="11" fillId="12" borderId="23" xfId="0" applyNumberFormat="1" applyFont="1" applyFill="1" applyBorder="1" applyAlignment="1">
      <alignment vertical="center"/>
    </xf>
    <xf numFmtId="3" fontId="10" fillId="3" borderId="33" xfId="2" applyNumberFormat="1" applyFont="1" applyBorder="1" applyAlignment="1">
      <alignment horizontal="center" vertical="center"/>
    </xf>
    <xf numFmtId="167" fontId="11" fillId="0" borderId="34" xfId="0" applyNumberFormat="1" applyFont="1" applyBorder="1" applyAlignment="1">
      <alignment vertical="center"/>
    </xf>
    <xf numFmtId="167" fontId="11" fillId="6" borderId="35" xfId="0" applyNumberFormat="1" applyFont="1" applyFill="1" applyBorder="1" applyAlignment="1">
      <alignment vertical="center"/>
    </xf>
    <xf numFmtId="167" fontId="11" fillId="0" borderId="35" xfId="0" applyNumberFormat="1" applyFont="1" applyBorder="1" applyAlignment="1">
      <alignment vertical="center"/>
    </xf>
    <xf numFmtId="167" fontId="11" fillId="5" borderId="35" xfId="0" applyNumberFormat="1" applyFont="1" applyFill="1" applyBorder="1" applyAlignment="1">
      <alignment vertical="center"/>
    </xf>
    <xf numFmtId="167" fontId="11" fillId="12" borderId="36" xfId="0" applyNumberFormat="1" applyFont="1" applyFill="1" applyBorder="1" applyAlignment="1">
      <alignment vertical="center"/>
    </xf>
    <xf numFmtId="3" fontId="11" fillId="0" borderId="37" xfId="0" applyNumberFormat="1" applyFont="1" applyBorder="1"/>
    <xf numFmtId="3" fontId="10" fillId="3" borderId="38" xfId="2" applyNumberFormat="1" applyFont="1" applyBorder="1" applyAlignment="1">
      <alignment horizontal="center" vertical="center"/>
    </xf>
    <xf numFmtId="3" fontId="11" fillId="0" borderId="23" xfId="0" applyNumberFormat="1" applyFont="1" applyBorder="1"/>
    <xf numFmtId="167" fontId="11" fillId="0" borderId="36" xfId="0" applyNumberFormat="1" applyFont="1" applyBorder="1" applyAlignment="1">
      <alignment vertical="center"/>
    </xf>
    <xf numFmtId="3" fontId="11" fillId="5" borderId="41" xfId="0" applyNumberFormat="1" applyFont="1" applyFill="1" applyBorder="1" applyAlignment="1">
      <alignment horizontal="right" vertical="center" indent="1"/>
    </xf>
    <xf numFmtId="3" fontId="11" fillId="6" borderId="41" xfId="0" applyNumberFormat="1" applyFont="1" applyFill="1" applyBorder="1" applyAlignment="1">
      <alignment horizontal="right" vertical="center" indent="1"/>
    </xf>
    <xf numFmtId="3" fontId="11" fillId="0" borderId="41" xfId="0" applyNumberFormat="1" applyFont="1" applyBorder="1" applyAlignment="1">
      <alignment horizontal="right" vertical="center" indent="1"/>
    </xf>
    <xf numFmtId="3" fontId="11" fillId="12" borderId="42" xfId="0" applyNumberFormat="1" applyFont="1" applyFill="1" applyBorder="1" applyAlignment="1">
      <alignment horizontal="right" vertical="center" indent="1"/>
    </xf>
    <xf numFmtId="3" fontId="11" fillId="0" borderId="43" xfId="0" applyNumberFormat="1" applyFont="1" applyBorder="1" applyAlignment="1">
      <alignment horizontal="right" indent="1"/>
    </xf>
    <xf numFmtId="3" fontId="11" fillId="0" borderId="44" xfId="0" applyNumberFormat="1" applyFont="1" applyBorder="1" applyAlignment="1">
      <alignment horizontal="right" indent="1"/>
    </xf>
    <xf numFmtId="3" fontId="11" fillId="0" borderId="35" xfId="0" applyNumberFormat="1" applyFont="1" applyBorder="1" applyAlignment="1">
      <alignment horizontal="right" vertical="center" indent="1"/>
    </xf>
    <xf numFmtId="3" fontId="11" fillId="5" borderId="35" xfId="0" applyNumberFormat="1" applyFont="1" applyFill="1" applyBorder="1" applyAlignment="1">
      <alignment horizontal="right" vertical="center" indent="1"/>
    </xf>
    <xf numFmtId="3" fontId="11" fillId="6" borderId="35" xfId="0" applyNumberFormat="1" applyFont="1" applyFill="1" applyBorder="1" applyAlignment="1">
      <alignment horizontal="right" vertical="center" indent="1"/>
    </xf>
    <xf numFmtId="3" fontId="11" fillId="12" borderId="36" xfId="0" applyNumberFormat="1" applyFont="1" applyFill="1" applyBorder="1" applyAlignment="1">
      <alignment horizontal="right" vertical="center" indent="1"/>
    </xf>
    <xf numFmtId="0" fontId="11" fillId="19" borderId="25" xfId="0" applyFont="1" applyFill="1" applyBorder="1"/>
    <xf numFmtId="3" fontId="11" fillId="20" borderId="28" xfId="0" applyNumberFormat="1" applyFont="1" applyFill="1" applyBorder="1" applyAlignment="1">
      <alignment horizontal="right" vertical="center" indent="1"/>
    </xf>
    <xf numFmtId="3" fontId="11" fillId="11" borderId="11" xfId="0" applyNumberFormat="1" applyFont="1" applyFill="1" applyBorder="1" applyAlignment="1">
      <alignment horizontal="right" vertical="center" indent="1"/>
    </xf>
    <xf numFmtId="3" fontId="11" fillId="6" borderId="13" xfId="0" quotePrefix="1" applyNumberFormat="1" applyFont="1" applyFill="1" applyBorder="1" applyAlignment="1">
      <alignment horizontal="center" vertical="center"/>
    </xf>
    <xf numFmtId="3" fontId="11" fillId="6" borderId="30" xfId="0" applyNumberFormat="1" applyFont="1" applyFill="1" applyBorder="1" applyAlignment="1">
      <alignment horizontal="center" vertical="center"/>
    </xf>
    <xf numFmtId="3" fontId="11" fillId="16" borderId="11" xfId="0" applyNumberFormat="1" applyFont="1" applyFill="1" applyBorder="1" applyAlignment="1">
      <alignment horizontal="right" vertical="center" indent="1"/>
    </xf>
    <xf numFmtId="3" fontId="11" fillId="0" borderId="13" xfId="0" quotePrefix="1" applyNumberFormat="1" applyFont="1" applyBorder="1" applyAlignment="1">
      <alignment horizontal="center" vertical="center" indent="1"/>
    </xf>
    <xf numFmtId="3" fontId="11" fillId="0" borderId="30" xfId="0" applyNumberFormat="1" applyFont="1" applyBorder="1" applyAlignment="1">
      <alignment horizontal="center" vertical="center" indent="1"/>
    </xf>
    <xf numFmtId="170" fontId="10" fillId="3" borderId="10" xfId="2" applyNumberFormat="1" applyFont="1" applyBorder="1" applyAlignment="1">
      <alignment horizontal="center" vertical="center"/>
    </xf>
    <xf numFmtId="170" fontId="10" fillId="3" borderId="9" xfId="2" applyNumberFormat="1" applyFont="1" applyBorder="1" applyAlignment="1">
      <alignment horizontal="center" vertical="center"/>
    </xf>
    <xf numFmtId="170" fontId="10" fillId="3" borderId="29" xfId="2" applyNumberFormat="1" applyFont="1" applyBorder="1" applyAlignment="1">
      <alignment horizontal="center" vertical="center"/>
    </xf>
    <xf numFmtId="170" fontId="10" fillId="3" borderId="39" xfId="2" applyNumberFormat="1" applyFont="1" applyBorder="1" applyAlignment="1">
      <alignment horizontal="center" vertical="center"/>
    </xf>
    <xf numFmtId="170" fontId="10" fillId="3" borderId="38" xfId="2" applyNumberFormat="1" applyFont="1" applyBorder="1" applyAlignment="1">
      <alignment horizontal="center" vertical="center"/>
    </xf>
    <xf numFmtId="170" fontId="10" fillId="3" borderId="40" xfId="2" applyNumberFormat="1" applyFont="1" applyBorder="1" applyAlignment="1">
      <alignment horizontal="center" vertical="center"/>
    </xf>
    <xf numFmtId="3" fontId="11" fillId="0" borderId="0" xfId="0" applyNumberFormat="1" applyFont="1" applyAlignment="1">
      <alignment horizontal="left"/>
    </xf>
    <xf numFmtId="170" fontId="10" fillId="3" borderId="46" xfId="2" applyNumberFormat="1" applyFont="1" applyBorder="1" applyAlignment="1">
      <alignment horizontal="center" vertical="center"/>
    </xf>
    <xf numFmtId="3" fontId="11" fillId="5" borderId="47" xfId="0" applyNumberFormat="1" applyFont="1" applyFill="1" applyBorder="1" applyAlignment="1">
      <alignment horizontal="left" vertical="center"/>
    </xf>
    <xf numFmtId="3" fontId="11" fillId="5" borderId="48" xfId="0" applyNumberFormat="1" applyFont="1" applyFill="1" applyBorder="1" applyAlignment="1">
      <alignment horizontal="right" vertical="center" indent="1"/>
    </xf>
    <xf numFmtId="3" fontId="11" fillId="6" borderId="47" xfId="0" applyNumberFormat="1" applyFont="1" applyFill="1" applyBorder="1" applyAlignment="1">
      <alignment horizontal="left" vertical="center"/>
    </xf>
    <xf numFmtId="3" fontId="11" fillId="6" borderId="48" xfId="0" applyNumberFormat="1" applyFont="1" applyFill="1" applyBorder="1" applyAlignment="1">
      <alignment horizontal="right" vertical="center" indent="1"/>
    </xf>
    <xf numFmtId="3" fontId="11" fillId="0" borderId="47" xfId="0" applyNumberFormat="1" applyFont="1" applyBorder="1" applyAlignment="1">
      <alignment horizontal="left" vertical="center"/>
    </xf>
    <xf numFmtId="3" fontId="11" fillId="0" borderId="48" xfId="0" applyNumberFormat="1" applyFont="1" applyBorder="1" applyAlignment="1">
      <alignment horizontal="right" vertical="center" indent="1"/>
    </xf>
    <xf numFmtId="3" fontId="11" fillId="11" borderId="48" xfId="0" applyNumberFormat="1" applyFont="1" applyFill="1" applyBorder="1" applyAlignment="1">
      <alignment horizontal="right" vertical="center" indent="1"/>
    </xf>
    <xf numFmtId="3" fontId="11" fillId="12" borderId="49" xfId="0" applyNumberFormat="1" applyFont="1" applyFill="1" applyBorder="1" applyAlignment="1">
      <alignment horizontal="left" vertical="center"/>
    </xf>
    <xf numFmtId="3" fontId="11" fillId="12" borderId="50" xfId="0" applyNumberFormat="1" applyFont="1" applyFill="1" applyBorder="1" applyAlignment="1">
      <alignment horizontal="right" vertical="center" indent="1"/>
    </xf>
    <xf numFmtId="3" fontId="11" fillId="0" borderId="52" xfId="0" applyNumberFormat="1" applyFont="1" applyBorder="1" applyAlignment="1">
      <alignment horizontal="right" indent="1"/>
    </xf>
    <xf numFmtId="3" fontId="11" fillId="12" borderId="51" xfId="0" applyNumberFormat="1" applyFont="1" applyFill="1" applyBorder="1" applyAlignment="1">
      <alignment horizontal="left"/>
    </xf>
    <xf numFmtId="3" fontId="19" fillId="5" borderId="47" xfId="0" applyNumberFormat="1" applyFont="1" applyFill="1" applyBorder="1" applyAlignment="1">
      <alignment horizontal="left" vertical="center"/>
    </xf>
    <xf numFmtId="3" fontId="11" fillId="0" borderId="13" xfId="0" quotePrefix="1" applyNumberFormat="1" applyFont="1" applyBorder="1" applyAlignment="1">
      <alignment horizontal="center" vertical="center"/>
    </xf>
    <xf numFmtId="3" fontId="11" fillId="0" borderId="13" xfId="0" applyNumberFormat="1" applyFont="1" applyBorder="1" applyAlignment="1">
      <alignment horizontal="center" vertical="center" indent="1"/>
    </xf>
    <xf numFmtId="3" fontId="10" fillId="3" borderId="9" xfId="2" applyNumberFormat="1" applyFont="1" applyBorder="1" applyAlignment="1">
      <alignment horizontal="center" vertical="center" wrapText="1"/>
    </xf>
    <xf numFmtId="0" fontId="11" fillId="21" borderId="11" xfId="0" applyFont="1" applyFill="1" applyBorder="1" applyAlignment="1">
      <alignment vertical="center"/>
    </xf>
    <xf numFmtId="0" fontId="11" fillId="21" borderId="12" xfId="0" applyFont="1" applyFill="1" applyBorder="1" applyAlignment="1">
      <alignment vertical="center"/>
    </xf>
    <xf numFmtId="167" fontId="11" fillId="21" borderId="13" xfId="0" applyNumberFormat="1" applyFont="1" applyFill="1" applyBorder="1" applyAlignment="1">
      <alignment horizontal="right" vertical="center" indent="1"/>
    </xf>
    <xf numFmtId="165" fontId="1" fillId="3" borderId="0" xfId="2" applyNumberFormat="1" applyAlignment="1">
      <alignment horizontal="center" shrinkToFit="1"/>
    </xf>
    <xf numFmtId="165" fontId="0" fillId="0" borderId="0" xfId="0" applyNumberFormat="1" applyAlignment="1">
      <alignment horizontal="center" shrinkToFit="1"/>
    </xf>
    <xf numFmtId="165" fontId="0" fillId="9" borderId="0" xfId="0" applyNumberFormat="1" applyFill="1" applyAlignment="1">
      <alignment horizontal="center" shrinkToFit="1"/>
    </xf>
    <xf numFmtId="165" fontId="0" fillId="0" borderId="0" xfId="0" applyNumberFormat="1" applyAlignment="1">
      <alignment shrinkToFit="1"/>
    </xf>
    <xf numFmtId="3" fontId="14" fillId="0" borderId="26" xfId="0" applyNumberFormat="1" applyFont="1" applyBorder="1" applyAlignment="1">
      <alignment horizontal="center" vertical="center"/>
    </xf>
    <xf numFmtId="3" fontId="14" fillId="0" borderId="11" xfId="0" applyNumberFormat="1" applyFont="1" applyBorder="1" applyAlignment="1">
      <alignment horizontal="center" vertical="center"/>
    </xf>
    <xf numFmtId="3" fontId="14" fillId="0" borderId="30" xfId="0" applyNumberFormat="1" applyFont="1" applyBorder="1" applyAlignment="1">
      <alignment horizontal="center" vertical="center"/>
    </xf>
    <xf numFmtId="3" fontId="14" fillId="0" borderId="35" xfId="0" applyNumberFormat="1" applyFont="1" applyBorder="1" applyAlignment="1">
      <alignment horizontal="center" vertical="center"/>
    </xf>
    <xf numFmtId="3" fontId="14" fillId="0" borderId="41" xfId="0" applyNumberFormat="1" applyFont="1" applyBorder="1" applyAlignment="1">
      <alignment horizontal="center" vertical="center"/>
    </xf>
    <xf numFmtId="3" fontId="17" fillId="6" borderId="13" xfId="0" applyNumberFormat="1" applyFont="1" applyFill="1" applyBorder="1" applyAlignment="1">
      <alignment horizontal="center" vertical="center"/>
    </xf>
    <xf numFmtId="3" fontId="17" fillId="6" borderId="41" xfId="0" applyNumberFormat="1" applyFont="1" applyFill="1" applyBorder="1" applyAlignment="1">
      <alignment horizontal="center" vertical="center"/>
    </xf>
    <xf numFmtId="3" fontId="17" fillId="6" borderId="30" xfId="0" applyNumberFormat="1" applyFont="1" applyFill="1" applyBorder="1" applyAlignment="1">
      <alignment horizontal="center" vertical="center"/>
    </xf>
    <xf numFmtId="0" fontId="10" fillId="3" borderId="45" xfId="2" applyFont="1" applyBorder="1" applyAlignment="1">
      <alignment horizontal="center" vertical="center"/>
    </xf>
    <xf numFmtId="3" fontId="11" fillId="22" borderId="30" xfId="0" applyNumberFormat="1" applyFont="1" applyFill="1" applyBorder="1" applyAlignment="1">
      <alignment horizontal="right" vertical="center" indent="1"/>
    </xf>
    <xf numFmtId="3" fontId="11" fillId="22" borderId="13" xfId="0" applyNumberFormat="1" applyFont="1" applyFill="1" applyBorder="1" applyAlignment="1">
      <alignment horizontal="right" vertical="center" indent="1"/>
    </xf>
    <xf numFmtId="3" fontId="11" fillId="22" borderId="48" xfId="0" applyNumberFormat="1" applyFont="1" applyFill="1" applyBorder="1" applyAlignment="1">
      <alignment horizontal="right" vertical="center" indent="1"/>
    </xf>
    <xf numFmtId="3" fontId="11" fillId="23" borderId="30" xfId="0" applyNumberFormat="1" applyFont="1" applyFill="1" applyBorder="1" applyAlignment="1">
      <alignment horizontal="right" vertical="center" indent="1"/>
    </xf>
    <xf numFmtId="3" fontId="11" fillId="23" borderId="12" xfId="0" applyNumberFormat="1" applyFont="1" applyFill="1" applyBorder="1" applyAlignment="1">
      <alignment horizontal="right" vertical="center" indent="1"/>
    </xf>
    <xf numFmtId="3" fontId="11" fillId="23" borderId="13" xfId="0" applyNumberFormat="1" applyFont="1" applyFill="1" applyBorder="1" applyAlignment="1">
      <alignment horizontal="right" vertical="center" indent="1"/>
    </xf>
    <xf numFmtId="3" fontId="11" fillId="23" borderId="26" xfId="0" applyNumberFormat="1" applyFont="1" applyFill="1" applyBorder="1" applyAlignment="1">
      <alignment horizontal="right" vertical="center" indent="1"/>
    </xf>
    <xf numFmtId="3" fontId="11" fillId="23" borderId="11" xfId="0" applyNumberFormat="1" applyFont="1" applyFill="1" applyBorder="1" applyAlignment="1">
      <alignment horizontal="right" vertical="center" indent="1"/>
    </xf>
    <xf numFmtId="3" fontId="17" fillId="6" borderId="26" xfId="0" applyNumberFormat="1" applyFont="1" applyFill="1" applyBorder="1" applyAlignment="1">
      <alignment horizontal="center" vertical="center"/>
    </xf>
    <xf numFmtId="3" fontId="17" fillId="6" borderId="35" xfId="0" applyNumberFormat="1" applyFont="1" applyFill="1" applyBorder="1" applyAlignment="1">
      <alignment horizontal="center" vertical="center"/>
    </xf>
    <xf numFmtId="167" fontId="11" fillId="0" borderId="12" xfId="0" applyNumberFormat="1" applyFont="1" applyBorder="1" applyAlignment="1">
      <alignment horizontal="right" vertical="center" indent="1"/>
    </xf>
    <xf numFmtId="0" fontId="11" fillId="0" borderId="17" xfId="0" applyFont="1" applyBorder="1" applyAlignment="1">
      <alignment vertical="center"/>
    </xf>
    <xf numFmtId="0" fontId="11" fillId="0" borderId="14" xfId="0" applyFont="1" applyBorder="1" applyAlignment="1">
      <alignment vertical="center"/>
    </xf>
    <xf numFmtId="0" fontId="11" fillId="0" borderId="16" xfId="0" applyFont="1" applyBorder="1" applyAlignment="1">
      <alignment vertical="center"/>
    </xf>
    <xf numFmtId="0" fontId="11" fillId="0" borderId="9" xfId="0" applyFont="1" applyBorder="1" applyAlignment="1">
      <alignment vertical="center"/>
    </xf>
    <xf numFmtId="167" fontId="11" fillId="21" borderId="12" xfId="0" applyNumberFormat="1" applyFont="1" applyFill="1" applyBorder="1" applyAlignment="1">
      <alignment horizontal="right" vertical="center" indent="1"/>
    </xf>
    <xf numFmtId="3" fontId="11" fillId="24" borderId="11" xfId="0" applyNumberFormat="1" applyFont="1" applyFill="1" applyBorder="1" applyAlignment="1">
      <alignment horizontal="right" vertical="center" indent="1"/>
    </xf>
    <xf numFmtId="3" fontId="11" fillId="24" borderId="30" xfId="0" applyNumberFormat="1" applyFont="1" applyFill="1" applyBorder="1" applyAlignment="1">
      <alignment horizontal="right" vertical="center" indent="1"/>
    </xf>
    <xf numFmtId="167" fontId="11" fillId="24" borderId="35" xfId="0" applyNumberFormat="1" applyFont="1" applyFill="1" applyBorder="1" applyAlignment="1">
      <alignment vertical="center"/>
    </xf>
    <xf numFmtId="3" fontId="11" fillId="21" borderId="11" xfId="0" applyNumberFormat="1" applyFont="1" applyFill="1" applyBorder="1" applyAlignment="1">
      <alignment horizontal="right" vertical="center" indent="1"/>
    </xf>
    <xf numFmtId="3" fontId="11" fillId="21" borderId="30" xfId="0" applyNumberFormat="1" applyFont="1" applyFill="1" applyBorder="1" applyAlignment="1">
      <alignment horizontal="right" vertical="center" indent="1"/>
    </xf>
    <xf numFmtId="167" fontId="11" fillId="21" borderId="35" xfId="0" applyNumberFormat="1" applyFont="1" applyFill="1" applyBorder="1" applyAlignment="1">
      <alignment vertical="center"/>
    </xf>
    <xf numFmtId="0" fontId="11" fillId="24" borderId="11" xfId="0" applyFont="1" applyFill="1" applyBorder="1" applyAlignment="1">
      <alignment vertical="center"/>
    </xf>
    <xf numFmtId="0" fontId="11" fillId="24" borderId="12" xfId="0" applyFont="1" applyFill="1" applyBorder="1" applyAlignment="1">
      <alignment vertical="center"/>
    </xf>
    <xf numFmtId="3" fontId="12" fillId="24" borderId="13" xfId="0" applyNumberFormat="1" applyFont="1" applyFill="1" applyBorder="1" applyAlignment="1">
      <alignment horizontal="left" vertical="center" indent="1"/>
    </xf>
    <xf numFmtId="3" fontId="11" fillId="24" borderId="26" xfId="0" applyNumberFormat="1" applyFont="1" applyFill="1" applyBorder="1" applyAlignment="1">
      <alignment horizontal="right" vertical="center" indent="1"/>
    </xf>
    <xf numFmtId="3" fontId="11" fillId="24" borderId="13" xfId="0" applyNumberFormat="1" applyFont="1" applyFill="1" applyBorder="1" applyAlignment="1">
      <alignment horizontal="right" vertical="center" indent="1"/>
    </xf>
    <xf numFmtId="3" fontId="11" fillId="25" borderId="30" xfId="0" applyNumberFormat="1" applyFont="1" applyFill="1" applyBorder="1" applyAlignment="1">
      <alignment horizontal="right" vertical="center" indent="1"/>
    </xf>
    <xf numFmtId="3" fontId="11" fillId="25" borderId="48" xfId="0" applyNumberFormat="1" applyFont="1" applyFill="1" applyBorder="1" applyAlignment="1">
      <alignment horizontal="right" vertical="center" indent="1"/>
    </xf>
    <xf numFmtId="3" fontId="11" fillId="25" borderId="13" xfId="0" applyNumberFormat="1" applyFont="1" applyFill="1" applyBorder="1" applyAlignment="1">
      <alignment horizontal="right" vertical="center" indent="1"/>
    </xf>
    <xf numFmtId="3" fontId="11" fillId="25" borderId="41" xfId="0" applyNumberFormat="1" applyFont="1" applyFill="1" applyBorder="1" applyAlignment="1">
      <alignment horizontal="right" vertical="center" indent="1"/>
    </xf>
    <xf numFmtId="3" fontId="11" fillId="25" borderId="35" xfId="0" applyNumberFormat="1" applyFont="1" applyFill="1" applyBorder="1" applyAlignment="1">
      <alignment horizontal="right" vertical="center" indent="1"/>
    </xf>
    <xf numFmtId="3" fontId="12" fillId="24" borderId="41" xfId="0" applyNumberFormat="1" applyFont="1" applyFill="1" applyBorder="1" applyAlignment="1">
      <alignment horizontal="left" vertical="center" indent="1"/>
    </xf>
    <xf numFmtId="3" fontId="11" fillId="24" borderId="41" xfId="0" applyNumberFormat="1" applyFont="1" applyFill="1" applyBorder="1" applyAlignment="1">
      <alignment horizontal="right" vertical="center" indent="1"/>
    </xf>
    <xf numFmtId="3" fontId="12" fillId="24" borderId="30" xfId="0" applyNumberFormat="1" applyFont="1" applyFill="1" applyBorder="1" applyAlignment="1">
      <alignment horizontal="left" vertical="center" indent="1"/>
    </xf>
    <xf numFmtId="3" fontId="12" fillId="24" borderId="35" xfId="0" applyNumberFormat="1" applyFont="1" applyFill="1" applyBorder="1" applyAlignment="1">
      <alignment horizontal="left" vertical="center" indent="1"/>
    </xf>
    <xf numFmtId="3" fontId="11" fillId="23" borderId="48" xfId="0" applyNumberFormat="1" applyFont="1" applyFill="1" applyBorder="1" applyAlignment="1">
      <alignment horizontal="right" vertical="center" indent="1"/>
    </xf>
    <xf numFmtId="3" fontId="11" fillId="23" borderId="41" xfId="0" applyNumberFormat="1" applyFont="1" applyFill="1" applyBorder="1" applyAlignment="1">
      <alignment horizontal="right" vertical="center" indent="1"/>
    </xf>
    <xf numFmtId="3" fontId="11" fillId="23" borderId="35" xfId="0" applyNumberFormat="1" applyFont="1" applyFill="1" applyBorder="1" applyAlignment="1">
      <alignment horizontal="right" vertical="center" indent="1"/>
    </xf>
    <xf numFmtId="3" fontId="11" fillId="24" borderId="35" xfId="0" applyNumberFormat="1" applyFont="1" applyFill="1" applyBorder="1" applyAlignment="1">
      <alignment horizontal="right" vertical="center" indent="1"/>
    </xf>
    <xf numFmtId="14" fontId="8" fillId="0" borderId="0" xfId="0" applyNumberFormat="1" applyFont="1"/>
    <xf numFmtId="0" fontId="0" fillId="0" borderId="0" xfId="0" applyAlignment="1">
      <alignment horizontal="left"/>
    </xf>
    <xf numFmtId="0" fontId="8" fillId="0" borderId="0" xfId="0" applyFont="1"/>
    <xf numFmtId="0" fontId="7" fillId="0" borderId="0" xfId="0" applyFont="1" applyAlignment="1">
      <alignment horizontal="left"/>
    </xf>
    <xf numFmtId="169" fontId="0" fillId="0" borderId="0" xfId="0" applyNumberFormat="1"/>
    <xf numFmtId="3" fontId="0" fillId="0" borderId="0" xfId="0" applyNumberFormat="1" applyAlignment="1">
      <alignment horizontal="right" wrapText="1"/>
    </xf>
    <xf numFmtId="0" fontId="6" fillId="6" borderId="2" xfId="0" applyFont="1" applyFill="1" applyBorder="1"/>
    <xf numFmtId="0" fontId="11" fillId="0" borderId="20" xfId="0" applyFont="1" applyBorder="1"/>
    <xf numFmtId="0" fontId="11" fillId="0" borderId="53" xfId="0" applyFont="1" applyBorder="1"/>
    <xf numFmtId="0" fontId="15" fillId="0" borderId="53" xfId="0" applyFont="1" applyBorder="1" applyAlignment="1">
      <alignment horizontal="right" indent="1"/>
    </xf>
    <xf numFmtId="0" fontId="14" fillId="0" borderId="54" xfId="0" applyFont="1" applyBorder="1" applyAlignment="1">
      <alignment horizontal="center"/>
    </xf>
    <xf numFmtId="171" fontId="11" fillId="0" borderId="32" xfId="0" applyNumberFormat="1" applyFont="1" applyBorder="1" applyAlignment="1">
      <alignment horizontal="right" indent="1"/>
    </xf>
    <xf numFmtId="171" fontId="11" fillId="0" borderId="21" xfId="0" applyNumberFormat="1" applyFont="1" applyBorder="1" applyAlignment="1">
      <alignment horizontal="right" indent="1"/>
    </xf>
    <xf numFmtId="171" fontId="11" fillId="0" borderId="15" xfId="0" applyNumberFormat="1" applyFont="1" applyBorder="1" applyAlignment="1">
      <alignment horizontal="right" indent="1"/>
    </xf>
    <xf numFmtId="9" fontId="11" fillId="0" borderId="0" xfId="3" applyFont="1"/>
    <xf numFmtId="172" fontId="14" fillId="6" borderId="13" xfId="0" applyNumberFormat="1" applyFont="1" applyFill="1" applyBorder="1" applyAlignment="1">
      <alignment horizontal="center" vertical="center"/>
    </xf>
    <xf numFmtId="0" fontId="6" fillId="27" borderId="0" xfId="0" applyFont="1" applyFill="1"/>
    <xf numFmtId="3" fontId="6" fillId="27" borderId="55" xfId="0" applyNumberFormat="1" applyFont="1" applyFill="1" applyBorder="1" applyAlignment="1">
      <alignment horizontal="right" wrapText="1"/>
    </xf>
    <xf numFmtId="169" fontId="6" fillId="27" borderId="56" xfId="0" applyNumberFormat="1" applyFont="1" applyFill="1" applyBorder="1" applyAlignment="1">
      <alignment horizontal="left"/>
    </xf>
    <xf numFmtId="3" fontId="6" fillId="27" borderId="56" xfId="0" applyNumberFormat="1" applyFont="1" applyFill="1" applyBorder="1"/>
    <xf numFmtId="0" fontId="6" fillId="27" borderId="55" xfId="0" applyFont="1" applyFill="1" applyBorder="1"/>
    <xf numFmtId="3" fontId="0" fillId="0" borderId="0" xfId="0" pivotButton="1" applyNumberFormat="1"/>
    <xf numFmtId="3" fontId="6" fillId="27" borderId="0" xfId="0" applyNumberFormat="1" applyFont="1" applyFill="1"/>
    <xf numFmtId="14" fontId="20" fillId="0" borderId="0" xfId="0" applyNumberFormat="1" applyFont="1"/>
    <xf numFmtId="167" fontId="11" fillId="29" borderId="13" xfId="0" applyNumberFormat="1" applyFont="1" applyFill="1" applyBorder="1" applyAlignment="1">
      <alignment horizontal="right" vertical="center" indent="1"/>
    </xf>
    <xf numFmtId="167" fontId="11" fillId="29" borderId="12" xfId="0" applyNumberFormat="1" applyFont="1" applyFill="1" applyBorder="1" applyAlignment="1">
      <alignment horizontal="right" vertical="center" indent="1"/>
    </xf>
    <xf numFmtId="3" fontId="21" fillId="21" borderId="11" xfId="0" applyNumberFormat="1" applyFont="1" applyFill="1" applyBorder="1" applyAlignment="1">
      <alignment horizontal="left" vertical="center" indent="1"/>
    </xf>
    <xf numFmtId="3" fontId="11" fillId="21" borderId="13" xfId="0" applyNumberFormat="1" applyFont="1" applyFill="1" applyBorder="1" applyAlignment="1">
      <alignment horizontal="right" vertical="center" indent="1"/>
    </xf>
    <xf numFmtId="3" fontId="11" fillId="21" borderId="41" xfId="0" applyNumberFormat="1" applyFont="1" applyFill="1" applyBorder="1" applyAlignment="1">
      <alignment horizontal="right" vertical="center" indent="1"/>
    </xf>
    <xf numFmtId="0" fontId="11" fillId="0" borderId="26" xfId="0" applyFont="1" applyBorder="1" applyAlignment="1">
      <alignment vertical="center"/>
    </xf>
    <xf numFmtId="0" fontId="11" fillId="0" borderId="22" xfId="0" applyFont="1" applyBorder="1" applyAlignment="1">
      <alignment horizontal="left" indent="2"/>
    </xf>
    <xf numFmtId="0" fontId="11" fillId="0" borderId="25" xfId="0" applyFont="1" applyBorder="1"/>
    <xf numFmtId="0" fontId="14" fillId="0" borderId="23" xfId="0" applyFont="1" applyBorder="1" applyAlignment="1">
      <alignment horizontal="center"/>
    </xf>
    <xf numFmtId="3" fontId="11" fillId="0" borderId="58" xfId="0" applyNumberFormat="1" applyFont="1" applyBorder="1" applyAlignment="1">
      <alignment horizontal="right" indent="1"/>
    </xf>
    <xf numFmtId="167" fontId="11" fillId="12" borderId="58" xfId="0" applyNumberFormat="1" applyFont="1" applyFill="1" applyBorder="1" applyAlignment="1">
      <alignment vertical="center"/>
    </xf>
    <xf numFmtId="3" fontId="0" fillId="0" borderId="59" xfId="0" applyNumberFormat="1" applyBorder="1"/>
    <xf numFmtId="164" fontId="2" fillId="6" borderId="0" xfId="0" applyNumberFormat="1" applyFont="1" applyFill="1" applyAlignment="1">
      <alignment horizontal="center"/>
    </xf>
    <xf numFmtId="3" fontId="11" fillId="0" borderId="18" xfId="0" applyNumberFormat="1" applyFont="1" applyBorder="1" applyAlignment="1">
      <alignment horizontal="right" vertical="center" indent="1"/>
    </xf>
    <xf numFmtId="3" fontId="11" fillId="0" borderId="60" xfId="0" applyNumberFormat="1" applyFont="1" applyBorder="1" applyAlignment="1">
      <alignment horizontal="right" vertical="center" indent="1"/>
    </xf>
    <xf numFmtId="3" fontId="21" fillId="21" borderId="13" xfId="0" applyNumberFormat="1" applyFont="1" applyFill="1" applyBorder="1" applyAlignment="1">
      <alignment horizontal="left" vertical="center" indent="1"/>
    </xf>
    <xf numFmtId="3" fontId="11" fillId="22" borderId="12" xfId="0" applyNumberFormat="1" applyFont="1" applyFill="1" applyBorder="1" applyAlignment="1">
      <alignment horizontal="right" vertical="center" indent="1"/>
    </xf>
    <xf numFmtId="3" fontId="11" fillId="22" borderId="26" xfId="0" applyNumberFormat="1" applyFont="1" applyFill="1" applyBorder="1" applyAlignment="1">
      <alignment horizontal="right" vertical="center" indent="1"/>
    </xf>
    <xf numFmtId="3" fontId="11" fillId="22" borderId="11" xfId="0" applyNumberFormat="1" applyFont="1" applyFill="1" applyBorder="1" applyAlignment="1">
      <alignment horizontal="right" vertical="center" indent="1"/>
    </xf>
    <xf numFmtId="0" fontId="0" fillId="0" borderId="0" xfId="0" quotePrefix="1" applyAlignment="1">
      <alignment vertical="center"/>
    </xf>
    <xf numFmtId="0" fontId="0" fillId="6" borderId="0" xfId="0" applyFill="1" applyAlignment="1">
      <alignment vertical="center"/>
    </xf>
    <xf numFmtId="0" fontId="0" fillId="0" borderId="0" xfId="0" applyAlignment="1">
      <alignment horizontal="right" vertical="center"/>
    </xf>
    <xf numFmtId="0" fontId="0" fillId="5" borderId="0" xfId="0" applyFill="1" applyAlignment="1">
      <alignment vertical="center"/>
    </xf>
    <xf numFmtId="0" fontId="5" fillId="0" borderId="0" xfId="0" applyFont="1" applyAlignment="1">
      <alignment vertical="center"/>
    </xf>
    <xf numFmtId="0" fontId="0" fillId="0" borderId="6" xfId="0" applyBorder="1" applyAlignment="1">
      <alignment vertical="center"/>
    </xf>
    <xf numFmtId="0" fontId="0" fillId="0" borderId="7" xfId="0" applyBorder="1" applyAlignment="1">
      <alignment vertical="center"/>
    </xf>
    <xf numFmtId="0" fontId="6" fillId="0" borderId="4" xfId="0" applyFont="1" applyBorder="1" applyAlignment="1">
      <alignment vertical="center"/>
    </xf>
    <xf numFmtId="0" fontId="0" fillId="0" borderId="8" xfId="0" applyBorder="1" applyAlignment="1">
      <alignment vertical="center"/>
    </xf>
    <xf numFmtId="0" fontId="0" fillId="21" borderId="0" xfId="0" applyFill="1"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6" borderId="3" xfId="0" applyFill="1" applyBorder="1" applyAlignment="1">
      <alignment vertical="center"/>
    </xf>
    <xf numFmtId="0" fontId="0" fillId="6" borderId="4"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8" borderId="0" xfId="0" applyFill="1" applyAlignment="1">
      <alignment vertical="center"/>
    </xf>
    <xf numFmtId="0" fontId="0" fillId="6" borderId="6" xfId="0" applyFill="1" applyBorder="1" applyAlignment="1">
      <alignment vertical="center"/>
    </xf>
    <xf numFmtId="0" fontId="6" fillId="0" borderId="7" xfId="0" applyFont="1" applyBorder="1" applyAlignment="1">
      <alignment vertical="center"/>
    </xf>
    <xf numFmtId="0" fontId="0" fillId="26" borderId="3" xfId="0" applyFill="1" applyBorder="1" applyAlignment="1">
      <alignment vertical="center"/>
    </xf>
    <xf numFmtId="0" fontId="0" fillId="21" borderId="4" xfId="0" applyFill="1" applyBorder="1" applyAlignment="1">
      <alignment vertical="center"/>
    </xf>
    <xf numFmtId="0" fontId="0" fillId="26" borderId="4" xfId="0" applyFill="1" applyBorder="1" applyAlignment="1">
      <alignment vertical="center"/>
    </xf>
    <xf numFmtId="0" fontId="6" fillId="21" borderId="4" xfId="0" applyFont="1" applyFill="1" applyBorder="1" applyAlignment="1">
      <alignment vertical="center"/>
    </xf>
    <xf numFmtId="0" fontId="9" fillId="21" borderId="5" xfId="0" applyFont="1" applyFill="1" applyBorder="1" applyAlignment="1">
      <alignment horizontal="center" vertical="center"/>
    </xf>
    <xf numFmtId="0" fontId="0" fillId="12" borderId="0" xfId="0" applyFill="1" applyAlignment="1">
      <alignment vertical="center"/>
    </xf>
    <xf numFmtId="3" fontId="11" fillId="22" borderId="41" xfId="0" applyNumberFormat="1" applyFont="1" applyFill="1" applyBorder="1" applyAlignment="1">
      <alignment horizontal="right" vertical="center" indent="1"/>
    </xf>
    <xf numFmtId="3" fontId="11" fillId="22" borderId="35" xfId="0" applyNumberFormat="1" applyFont="1" applyFill="1" applyBorder="1" applyAlignment="1">
      <alignment horizontal="right" vertical="center" indent="1"/>
    </xf>
    <xf numFmtId="169" fontId="10" fillId="3" borderId="38" xfId="2" applyNumberFormat="1" applyFont="1" applyBorder="1" applyAlignment="1">
      <alignment horizontal="center" vertical="center"/>
    </xf>
    <xf numFmtId="169" fontId="11" fillId="5" borderId="35" xfId="0" applyNumberFormat="1" applyFont="1" applyFill="1" applyBorder="1" applyAlignment="1">
      <alignment horizontal="center" vertical="center"/>
    </xf>
    <xf numFmtId="169" fontId="11" fillId="6" borderId="35" xfId="0" applyNumberFormat="1" applyFont="1" applyFill="1" applyBorder="1" applyAlignment="1">
      <alignment horizontal="center" vertical="center"/>
    </xf>
    <xf numFmtId="169" fontId="11" fillId="0" borderId="35" xfId="0" applyNumberFormat="1" applyFont="1" applyBorder="1" applyAlignment="1">
      <alignment horizontal="center" vertical="center"/>
    </xf>
    <xf numFmtId="169" fontId="11" fillId="24" borderId="35" xfId="0" applyNumberFormat="1" applyFont="1" applyFill="1" applyBorder="1" applyAlignment="1">
      <alignment horizontal="center" vertical="center"/>
    </xf>
    <xf numFmtId="169" fontId="11" fillId="0" borderId="34" xfId="0" applyNumberFormat="1" applyFont="1" applyBorder="1" applyAlignment="1">
      <alignment horizontal="center" vertical="center"/>
    </xf>
    <xf numFmtId="169" fontId="11" fillId="12" borderId="36" xfId="0" applyNumberFormat="1" applyFont="1" applyFill="1" applyBorder="1" applyAlignment="1">
      <alignment horizontal="center" vertical="center"/>
    </xf>
    <xf numFmtId="169" fontId="11" fillId="21" borderId="35" xfId="0" applyNumberFormat="1" applyFont="1" applyFill="1" applyBorder="1" applyAlignment="1">
      <alignment horizontal="center" vertical="center"/>
    </xf>
    <xf numFmtId="169" fontId="11" fillId="0" borderId="36" xfId="0" applyNumberFormat="1" applyFont="1" applyBorder="1" applyAlignment="1">
      <alignment horizontal="center" vertical="center"/>
    </xf>
    <xf numFmtId="169" fontId="11" fillId="0" borderId="23" xfId="0" applyNumberFormat="1" applyFont="1" applyBorder="1" applyAlignment="1">
      <alignment horizontal="center"/>
    </xf>
    <xf numFmtId="169" fontId="11" fillId="0" borderId="37" xfId="0" applyNumberFormat="1" applyFont="1" applyBorder="1" applyAlignment="1">
      <alignment horizontal="center"/>
    </xf>
    <xf numFmtId="169" fontId="11" fillId="12" borderId="23" xfId="0" applyNumberFormat="1" applyFont="1" applyFill="1" applyBorder="1" applyAlignment="1">
      <alignment horizontal="center" vertical="center"/>
    </xf>
    <xf numFmtId="169" fontId="11" fillId="0" borderId="0" xfId="0" applyNumberFormat="1" applyFont="1" applyAlignment="1">
      <alignment horizontal="center"/>
    </xf>
    <xf numFmtId="173" fontId="0" fillId="0" borderId="0" xfId="0" applyNumberFormat="1"/>
    <xf numFmtId="167" fontId="11" fillId="29" borderId="11" xfId="0" applyNumberFormat="1" applyFont="1" applyFill="1" applyBorder="1" applyAlignment="1">
      <alignment horizontal="right" vertical="center" indent="1"/>
    </xf>
    <xf numFmtId="167" fontId="11" fillId="0" borderId="11" xfId="0" applyNumberFormat="1" applyFont="1" applyBorder="1" applyAlignment="1">
      <alignment horizontal="right" vertical="center" indent="1"/>
    </xf>
    <xf numFmtId="167" fontId="11" fillId="21" borderId="11" xfId="0" applyNumberFormat="1" applyFont="1" applyFill="1" applyBorder="1" applyAlignment="1">
      <alignment horizontal="right" vertical="center" indent="1"/>
    </xf>
    <xf numFmtId="0" fontId="0" fillId="6" borderId="63" xfId="0" applyFill="1" applyBorder="1"/>
    <xf numFmtId="0" fontId="0" fillId="6" borderId="64" xfId="0" applyFill="1" applyBorder="1"/>
    <xf numFmtId="0" fontId="0" fillId="6" borderId="65" xfId="0" applyFill="1" applyBorder="1"/>
    <xf numFmtId="0" fontId="11" fillId="29" borderId="11" xfId="0" applyFont="1" applyFill="1" applyBorder="1" applyAlignment="1">
      <alignment vertical="center"/>
    </xf>
    <xf numFmtId="0" fontId="11" fillId="29" borderId="12" xfId="0" applyFont="1" applyFill="1" applyBorder="1" applyAlignment="1">
      <alignment vertical="center"/>
    </xf>
    <xf numFmtId="0" fontId="0" fillId="0" borderId="66" xfId="0" applyBorder="1"/>
    <xf numFmtId="0" fontId="0" fillId="0" borderId="67" xfId="0" applyBorder="1"/>
    <xf numFmtId="3" fontId="11" fillId="0" borderId="68" xfId="0" applyNumberFormat="1" applyFont="1" applyBorder="1" applyAlignment="1">
      <alignment horizontal="right" indent="1"/>
    </xf>
    <xf numFmtId="3" fontId="11" fillId="0" borderId="61" xfId="0" applyNumberFormat="1" applyFont="1" applyBorder="1" applyAlignment="1">
      <alignment horizontal="right" indent="1"/>
    </xf>
    <xf numFmtId="3" fontId="11" fillId="0" borderId="70" xfId="0" applyNumberFormat="1" applyFont="1" applyBorder="1" applyAlignment="1">
      <alignment horizontal="right" indent="1"/>
    </xf>
    <xf numFmtId="3" fontId="11" fillId="0" borderId="71" xfId="0" applyNumberFormat="1" applyFont="1" applyBorder="1" applyAlignment="1">
      <alignment horizontal="right" indent="1"/>
    </xf>
    <xf numFmtId="0" fontId="0" fillId="0" borderId="62" xfId="0" applyBorder="1"/>
    <xf numFmtId="0" fontId="0" fillId="0" borderId="57" xfId="0" applyBorder="1"/>
    <xf numFmtId="0" fontId="0" fillId="0" borderId="72" xfId="0" applyBorder="1"/>
    <xf numFmtId="0" fontId="0" fillId="0" borderId="73" xfId="0" applyBorder="1"/>
    <xf numFmtId="3" fontId="6" fillId="0" borderId="0" xfId="0" applyNumberFormat="1" applyFont="1" applyBorder="1"/>
    <xf numFmtId="3" fontId="0" fillId="0" borderId="0" xfId="0" applyNumberFormat="1" applyBorder="1"/>
    <xf numFmtId="0" fontId="0" fillId="0" borderId="1" xfId="0" applyBorder="1"/>
    <xf numFmtId="0" fontId="0" fillId="0" borderId="74" xfId="0" applyBorder="1"/>
    <xf numFmtId="0" fontId="0" fillId="0" borderId="75" xfId="0" applyBorder="1"/>
    <xf numFmtId="0" fontId="0" fillId="0" borderId="76" xfId="0" applyBorder="1"/>
    <xf numFmtId="0" fontId="0" fillId="0" borderId="0" xfId="0" applyBorder="1"/>
    <xf numFmtId="0" fontId="23" fillId="0" borderId="0" xfId="0" applyFont="1"/>
    <xf numFmtId="0" fontId="23" fillId="0" borderId="73" xfId="0" applyFont="1" applyBorder="1"/>
    <xf numFmtId="3" fontId="7" fillId="0" borderId="0" xfId="0" applyNumberFormat="1" applyFont="1" applyBorder="1"/>
    <xf numFmtId="3" fontId="23" fillId="0" borderId="0" xfId="0" applyNumberFormat="1" applyFont="1" applyBorder="1"/>
    <xf numFmtId="0" fontId="23" fillId="0" borderId="1" xfId="0" applyFont="1" applyBorder="1"/>
    <xf numFmtId="0" fontId="24" fillId="0" borderId="0" xfId="0" applyFont="1"/>
    <xf numFmtId="0" fontId="0" fillId="0" borderId="0" xfId="0" applyFont="1"/>
    <xf numFmtId="0" fontId="20" fillId="0" borderId="73" xfId="0" applyFont="1" applyBorder="1" applyAlignment="1">
      <alignment vertical="top"/>
    </xf>
    <xf numFmtId="3" fontId="20" fillId="0" borderId="0" xfId="0" applyNumberFormat="1" applyFont="1" applyBorder="1" applyAlignment="1">
      <alignment vertical="top"/>
    </xf>
    <xf numFmtId="0" fontId="20" fillId="0" borderId="1" xfId="0" applyFont="1" applyBorder="1" applyAlignment="1">
      <alignment vertical="top"/>
    </xf>
    <xf numFmtId="0" fontId="20" fillId="0" borderId="0" xfId="0" applyFont="1" applyAlignment="1">
      <alignment vertical="top"/>
    </xf>
    <xf numFmtId="0" fontId="11" fillId="0" borderId="77" xfId="0" applyFont="1" applyBorder="1"/>
    <xf numFmtId="0" fontId="15" fillId="0" borderId="78" xfId="0" applyFont="1" applyBorder="1" applyAlignment="1">
      <alignment horizontal="right" indent="1"/>
    </xf>
    <xf numFmtId="3" fontId="11" fillId="0" borderId="79" xfId="0" applyNumberFormat="1" applyFont="1" applyBorder="1" applyAlignment="1">
      <alignment horizontal="right" indent="1"/>
    </xf>
    <xf numFmtId="0" fontId="0" fillId="0" borderId="80" xfId="0" applyBorder="1"/>
    <xf numFmtId="3" fontId="11" fillId="0" borderId="82" xfId="0" applyNumberFormat="1" applyFont="1" applyBorder="1" applyAlignment="1">
      <alignment horizontal="right" indent="1"/>
    </xf>
    <xf numFmtId="3" fontId="11" fillId="0" borderId="83" xfId="0" applyNumberFormat="1" applyFont="1" applyBorder="1" applyAlignment="1">
      <alignment horizontal="right" indent="1"/>
    </xf>
    <xf numFmtId="0" fontId="0" fillId="0" borderId="81" xfId="0" applyBorder="1" applyAlignment="1">
      <alignment horizontal="right" indent="1"/>
    </xf>
    <xf numFmtId="0" fontId="0" fillId="0" borderId="59" xfId="0" applyBorder="1" applyAlignment="1">
      <alignment horizontal="right" indent="1"/>
    </xf>
    <xf numFmtId="0" fontId="0" fillId="0" borderId="0" xfId="0" applyAlignment="1">
      <alignment horizontal="right" indent="1"/>
    </xf>
    <xf numFmtId="0" fontId="0" fillId="0" borderId="69" xfId="0" applyBorder="1" applyAlignment="1">
      <alignment horizontal="right" indent="1"/>
    </xf>
    <xf numFmtId="165" fontId="0" fillId="0" borderId="0" xfId="0" applyNumberFormat="1" applyFill="1"/>
    <xf numFmtId="3" fontId="11" fillId="0" borderId="11" xfId="0" applyNumberFormat="1" applyFont="1" applyFill="1" applyBorder="1" applyAlignment="1">
      <alignment horizontal="right" vertical="center" indent="1"/>
    </xf>
    <xf numFmtId="4" fontId="0" fillId="0" borderId="0" xfId="0" applyNumberFormat="1" applyFill="1" applyAlignment="1">
      <alignment horizontal="right" indent="1"/>
    </xf>
    <xf numFmtId="0" fontId="0" fillId="0" borderId="20" xfId="0" applyFont="1" applyBorder="1" applyAlignment="1">
      <alignment horizontal="right" indent="1"/>
    </xf>
    <xf numFmtId="0" fontId="11" fillId="0" borderId="84" xfId="0" applyFont="1" applyBorder="1"/>
    <xf numFmtId="0" fontId="15" fillId="0" borderId="84" xfId="0" applyFont="1" applyBorder="1" applyAlignment="1">
      <alignment horizontal="right" indent="1"/>
    </xf>
    <xf numFmtId="0" fontId="14" fillId="0" borderId="85" xfId="0" applyFont="1" applyBorder="1" applyAlignment="1">
      <alignment horizontal="center"/>
    </xf>
    <xf numFmtId="171" fontId="11" fillId="0" borderId="86" xfId="0" applyNumberFormat="1" applyFont="1" applyBorder="1" applyAlignment="1">
      <alignment horizontal="right" indent="1"/>
    </xf>
    <xf numFmtId="3" fontId="11" fillId="0" borderId="87" xfId="0" applyNumberFormat="1" applyFont="1" applyBorder="1"/>
    <xf numFmtId="0" fontId="15" fillId="0" borderId="88" xfId="0" applyFont="1" applyBorder="1"/>
    <xf numFmtId="0" fontId="15" fillId="19" borderId="89" xfId="0" applyFont="1" applyFill="1" applyBorder="1"/>
    <xf numFmtId="0" fontId="22" fillId="20" borderId="90" xfId="0" applyFont="1" applyFill="1" applyBorder="1" applyAlignment="1">
      <alignment horizontal="center" vertical="center"/>
    </xf>
    <xf numFmtId="3" fontId="15" fillId="20" borderId="91" xfId="0" applyNumberFormat="1" applyFont="1" applyFill="1" applyBorder="1" applyAlignment="1">
      <alignment horizontal="right" vertical="center" indent="1"/>
    </xf>
    <xf numFmtId="3" fontId="15" fillId="0" borderId="92" xfId="0" applyNumberFormat="1" applyFont="1" applyBorder="1" applyAlignment="1">
      <alignment horizontal="right" indent="1"/>
    </xf>
    <xf numFmtId="3" fontId="15" fillId="0" borderId="93" xfId="0" applyNumberFormat="1" applyFont="1" applyBorder="1" applyAlignment="1">
      <alignment horizontal="right" indent="1"/>
    </xf>
    <xf numFmtId="3" fontId="15" fillId="0" borderId="94" xfId="0" applyNumberFormat="1" applyFont="1" applyBorder="1" applyAlignment="1">
      <alignment horizontal="right" indent="1"/>
    </xf>
    <xf numFmtId="3" fontId="15" fillId="0" borderId="88" xfId="0" applyNumberFormat="1" applyFont="1" applyBorder="1" applyAlignment="1">
      <alignment horizontal="right" indent="1"/>
    </xf>
    <xf numFmtId="167" fontId="11" fillId="12" borderId="92" xfId="0" applyNumberFormat="1" applyFont="1" applyFill="1" applyBorder="1" applyAlignment="1">
      <alignment vertical="center"/>
    </xf>
    <xf numFmtId="0" fontId="11" fillId="0" borderId="95" xfId="0" applyFont="1" applyBorder="1"/>
    <xf numFmtId="0" fontId="15" fillId="0" borderId="96" xfId="0" applyFont="1" applyBorder="1" applyAlignment="1">
      <alignment horizontal="right" indent="1"/>
    </xf>
    <xf numFmtId="3" fontId="14" fillId="0" borderId="97" xfId="0" applyNumberFormat="1" applyFont="1" applyBorder="1" applyAlignment="1">
      <alignment horizontal="center"/>
    </xf>
    <xf numFmtId="3" fontId="11" fillId="0" borderId="98" xfId="0" applyNumberFormat="1" applyFont="1" applyBorder="1" applyAlignment="1">
      <alignment horizontal="right" indent="1"/>
    </xf>
    <xf numFmtId="3" fontId="11" fillId="0" borderId="97" xfId="0" applyNumberFormat="1" applyFont="1" applyBorder="1" applyAlignment="1">
      <alignment horizontal="right" indent="1"/>
    </xf>
    <xf numFmtId="3" fontId="11" fillId="0" borderId="99" xfId="0" applyNumberFormat="1" applyFont="1" applyBorder="1" applyAlignment="1">
      <alignment horizontal="right" indent="1"/>
    </xf>
    <xf numFmtId="3" fontId="11" fillId="0" borderId="100" xfId="0" applyNumberFormat="1" applyFont="1" applyBorder="1"/>
    <xf numFmtId="0" fontId="11" fillId="0" borderId="101" xfId="0" applyFont="1" applyBorder="1"/>
    <xf numFmtId="0" fontId="15" fillId="0" borderId="101" xfId="0" applyFont="1" applyBorder="1" applyAlignment="1">
      <alignment horizontal="right" indent="1"/>
    </xf>
    <xf numFmtId="0" fontId="14" fillId="0" borderId="102" xfId="0" applyFont="1" applyBorder="1" applyAlignment="1">
      <alignment horizontal="center"/>
    </xf>
    <xf numFmtId="171" fontId="11" fillId="0" borderId="103" xfId="0" applyNumberFormat="1" applyFont="1" applyBorder="1" applyAlignment="1">
      <alignment horizontal="right" indent="1"/>
    </xf>
    <xf numFmtId="171" fontId="11" fillId="0" borderId="102" xfId="0" applyNumberFormat="1" applyFont="1" applyBorder="1" applyAlignment="1">
      <alignment horizontal="right" indent="1"/>
    </xf>
    <xf numFmtId="171" fontId="11" fillId="0" borderId="104" xfId="0" applyNumberFormat="1" applyFont="1" applyBorder="1" applyAlignment="1">
      <alignment horizontal="right" indent="1"/>
    </xf>
    <xf numFmtId="3" fontId="11" fillId="0" borderId="105" xfId="0" applyNumberFormat="1" applyFont="1" applyBorder="1"/>
    <xf numFmtId="171" fontId="11" fillId="0" borderId="106" xfId="0" applyNumberFormat="1" applyFont="1" applyBorder="1" applyAlignment="1">
      <alignment horizontal="right" indent="1"/>
    </xf>
    <xf numFmtId="171" fontId="11" fillId="0" borderId="99" xfId="0" applyNumberFormat="1" applyFont="1" applyBorder="1" applyAlignment="1">
      <alignment horizontal="right" indent="1"/>
    </xf>
    <xf numFmtId="171" fontId="11" fillId="0" borderId="98" xfId="0" applyNumberFormat="1" applyFont="1" applyBorder="1" applyAlignment="1">
      <alignment horizontal="right" indent="1"/>
    </xf>
    <xf numFmtId="171" fontId="11" fillId="0" borderId="107" xfId="0" applyNumberFormat="1" applyFont="1" applyBorder="1" applyAlignment="1">
      <alignment horizontal="right" indent="1"/>
    </xf>
    <xf numFmtId="171" fontId="11" fillId="0" borderId="108" xfId="0" applyNumberFormat="1" applyFont="1" applyBorder="1" applyAlignment="1">
      <alignment horizontal="right" indent="1"/>
    </xf>
    <xf numFmtId="3" fontId="15" fillId="0" borderId="109" xfId="0" applyNumberFormat="1" applyFont="1" applyBorder="1" applyAlignment="1">
      <alignment horizontal="right" indent="1"/>
    </xf>
    <xf numFmtId="3" fontId="15" fillId="0" borderId="110" xfId="0" applyNumberFormat="1" applyFont="1" applyBorder="1" applyAlignment="1">
      <alignment horizontal="right" indent="1"/>
    </xf>
    <xf numFmtId="3" fontId="11" fillId="0" borderId="111" xfId="0" applyNumberFormat="1" applyFont="1" applyBorder="1" applyAlignment="1">
      <alignment horizontal="right" indent="1"/>
    </xf>
    <xf numFmtId="3" fontId="11" fillId="0" borderId="112" xfId="0" applyNumberFormat="1" applyFont="1" applyBorder="1" applyAlignment="1">
      <alignment horizontal="right" indent="1"/>
    </xf>
    <xf numFmtId="164" fontId="0" fillId="0" borderId="0" xfId="0" applyNumberFormat="1" applyFill="1" applyAlignment="1">
      <alignment horizontal="center"/>
    </xf>
    <xf numFmtId="3" fontId="11" fillId="0" borderId="41" xfId="0" applyNumberFormat="1" applyFont="1" applyFill="1" applyBorder="1" applyAlignment="1">
      <alignment horizontal="right" vertical="center" indent="1"/>
    </xf>
    <xf numFmtId="175" fontId="6" fillId="0" borderId="0" xfId="0" applyNumberFormat="1" applyFont="1" applyBorder="1"/>
    <xf numFmtId="167" fontId="11" fillId="0" borderId="13" xfId="0" applyNumberFormat="1" applyFont="1" applyFill="1" applyBorder="1" applyAlignment="1">
      <alignment horizontal="right" vertical="center" indent="1"/>
    </xf>
    <xf numFmtId="174" fontId="11" fillId="0" borderId="15" xfId="0" applyNumberFormat="1" applyFont="1" applyBorder="1" applyAlignment="1">
      <alignment horizontal="right" indent="1"/>
    </xf>
    <xf numFmtId="0" fontId="0" fillId="0" borderId="0" xfId="0" applyNumberFormat="1" applyFont="1" applyFill="1" applyBorder="1" applyAlignment="1"/>
    <xf numFmtId="0" fontId="1" fillId="3" borderId="0" xfId="2" applyNumberFormat="1" applyAlignment="1">
      <alignment horizontal="center" wrapText="1"/>
    </xf>
    <xf numFmtId="0" fontId="2" fillId="0" borderId="0" xfId="0" applyNumberFormat="1" applyFont="1" applyAlignment="1">
      <alignment horizontal="center"/>
    </xf>
    <xf numFmtId="0" fontId="2" fillId="9" borderId="0" xfId="0" applyNumberFormat="1" applyFont="1" applyFill="1" applyAlignment="1">
      <alignment horizontal="center"/>
    </xf>
    <xf numFmtId="176" fontId="25" fillId="3" borderId="0" xfId="2" applyNumberFormat="1" applyFont="1" applyAlignment="1">
      <alignment horizontal="center"/>
    </xf>
    <xf numFmtId="4" fontId="25" fillId="3" borderId="0" xfId="2" applyNumberFormat="1" applyFont="1" applyBorder="1" applyAlignment="1">
      <alignment horizontal="center" wrapText="1"/>
    </xf>
    <xf numFmtId="3" fontId="15" fillId="0" borderId="0" xfId="0" applyNumberFormat="1" applyFont="1" applyBorder="1" applyAlignment="1">
      <alignment horizontal="right" indent="1"/>
    </xf>
    <xf numFmtId="3" fontId="11" fillId="0" borderId="0" xfId="0" applyNumberFormat="1" applyFont="1" applyBorder="1" applyAlignment="1">
      <alignment horizontal="right" indent="1"/>
    </xf>
    <xf numFmtId="0" fontId="0" fillId="4" borderId="0" xfId="0" applyFill="1"/>
  </cellXfs>
  <cellStyles count="4">
    <cellStyle name="Énfasis2" xfId="1" builtinId="33"/>
    <cellStyle name="Énfasis5" xfId="2" builtinId="45"/>
    <cellStyle name="Normal" xfId="0" builtinId="0"/>
    <cellStyle name="Porcentaje" xfId="3" builtinId="5"/>
  </cellStyles>
  <dxfs count="415">
    <dxf>
      <numFmt numFmtId="3" formatCode="#,##0"/>
    </dxf>
    <dxf>
      <numFmt numFmtId="3" formatCode="#,##0"/>
    </dxf>
    <dxf>
      <numFmt numFmtId="3" formatCode="#,##0"/>
    </dxf>
    <dxf>
      <alignment horizontal="right" readingOrder="0"/>
    </dxf>
    <dxf>
      <alignment horizontal="right" readingOrder="0"/>
    </dxf>
    <dxf>
      <alignment wrapText="1" readingOrder="0"/>
    </dxf>
    <dxf>
      <alignment wrapText="1" readingOrder="0"/>
    </dxf>
    <dxf>
      <numFmt numFmtId="3" formatCode="#,##0"/>
    </dxf>
    <dxf>
      <numFmt numFmtId="3" formatCode="#,##0"/>
    </dxf>
    <dxf>
      <numFmt numFmtId="3" formatCode="#,##0"/>
    </dxf>
    <dxf>
      <numFmt numFmtId="169" formatCode="mmm/yyyy"/>
    </dxf>
    <dxf>
      <numFmt numFmtId="169" formatCode="mmm/yyyy"/>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00FF00"/>
      <color rgb="FF505050"/>
      <color rgb="FF66FF66"/>
      <color rgb="FFFF66FF"/>
      <color rgb="FFFFCC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Colosso" refreshedDate="43313.934520601855" createdVersion="5" refreshedVersion="5" minRefreshableVersion="3" recordCount="1342">
  <cacheSource type="worksheet">
    <worksheetSource ref="A1:P1380" sheet="Vigilancia"/>
  </cacheSource>
  <cacheFields count="16">
    <cacheField name="Nro. Recibo" numFmtId="164">
      <sharedItems containsString="0" containsBlank="1" containsNumber="1" containsInteger="1" minValue="1" maxValue="1341"/>
    </cacheField>
    <cacheField name="Archivo" numFmtId="166">
      <sharedItems containsString="0" containsBlank="1" containsNumber="1" containsInteger="1" minValue="1324" maxValue="1341"/>
    </cacheField>
    <cacheField name="Enviado" numFmtId="164">
      <sharedItems containsBlank="1"/>
    </cacheField>
    <cacheField name="Fecha" numFmtId="14">
      <sharedItems containsNonDate="0" containsDate="1" containsString="0" containsBlank="1" minDate="2016-12-09T00:00:00" maxDate="2018-08-02T00:00:00"/>
    </cacheField>
    <cacheField name="Monto" numFmtId="4">
      <sharedItems containsString="0" containsBlank="1" containsNumber="1" containsInteger="1" minValue="1500" maxValue="3000000"/>
    </cacheField>
    <cacheField name="Beneficiario" numFmtId="0">
      <sharedItems containsBlank="1" count="96">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s v="Familia Morales Sesar"/>
        <s v="Familia Pérez Malpica"/>
        <s v="Familia Hurtado"/>
        <s v="Familia Kabblan"/>
        <s v="Familia Acosta"/>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ranco Gómez"/>
        <s v="Sra. Reina Meléndez"/>
        <s v="Familia Machado Stoppa"/>
        <s v="Familia Cegarra Villamizar"/>
        <s v="Familia Delgado Hidalgo"/>
        <s v="Familia Medina Colina"/>
        <s v="Familia Santos Carrillo"/>
        <s v="Manuel Rodríguez"/>
        <s v="Familia Guerra Miret"/>
        <s v="Yuraima Rodríguez"/>
        <s v="Gloria Molina"/>
        <s v="Familia Sirit Palencia"/>
        <s v="Colegio El Trigal"/>
        <s v="Familia Chávez Hernández"/>
        <s v="Ely Saúl Rivero Gómez, C.I 18.448.557"/>
        <s v="Familia Montilla García"/>
        <s v="Amparo Acosta"/>
        <s v="Familia Ramírez"/>
        <s v="Familia Molina Estopiñán"/>
        <s v="Familia Leung"/>
        <s v="Familia Milanés Carmona"/>
        <s v="Familia Triana"/>
        <s v="Familia Navarrete Medina"/>
        <s v="Familia Alonso Rojas"/>
        <s v="Familia Jiménez de Avila"/>
        <s v="Familia Romero"/>
        <s v="Familia Ozar Rivero"/>
        <s v="Familia Costermani Terrer"/>
        <s v="Isbeth Palacios"/>
        <s v="Carmen Moreno"/>
        <s v="Familia Civitico Rueda"/>
        <s v="Familia Acevedo"/>
        <s v="Wilson Escamilla"/>
        <m/>
        <s v="Ely Saúl Rivero Gómez, C.I 18.448.557" u="1"/>
      </sharedItems>
    </cacheField>
    <cacheField name="E-mail o celular" numFmtId="0">
      <sharedItems containsBlank="1" count="89">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m/>
      </sharedItems>
    </cacheField>
    <cacheField name="Dirección" numFmtId="0">
      <sharedItems containsBlank="1"/>
    </cacheField>
    <cacheField name="Concepto" numFmtId="0">
      <sharedItems containsBlank="1"/>
    </cacheField>
    <cacheField name="Categoría" numFmtId="165">
      <sharedItems containsBlank="1"/>
    </cacheField>
    <cacheField name="Shared Link" numFmtId="49">
      <sharedItems containsBlank="1"/>
    </cacheField>
    <cacheField name="Recibo (ed)" numFmtId="165">
      <sharedItems containsBlank="1"/>
    </cacheField>
    <cacheField name="Fecha (ed)" numFmtId="165">
      <sharedItems containsBlank="1"/>
    </cacheField>
    <cacheField name="Mes" numFmtId="168">
      <sharedItems containsNonDate="0" containsDate="1" containsString="0" containsBlank="1" minDate="1899-12-31T00:00:00" maxDate="2018-08-02T00:00:00"/>
    </cacheField>
    <cacheField name="Monto (ed)" numFmtId="165">
      <sharedItems containsBlank="1"/>
    </cacheField>
    <cacheField name="Monto en letras"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Colosso" refreshedDate="43313.935105439814" createdVersion="5" refreshedVersion="5" minRefreshableVersion="3" recordCount="1342">
  <cacheSource type="worksheet">
    <worksheetSource ref="A1:P1380" sheet="Vigilancia"/>
  </cacheSource>
  <cacheFields count="16">
    <cacheField name="Nro. Recibo" numFmtId="164">
      <sharedItems containsString="0" containsBlank="1" containsNumber="1" containsInteger="1" minValue="1" maxValue="1341"/>
    </cacheField>
    <cacheField name="Archivo" numFmtId="166">
      <sharedItems containsString="0" containsBlank="1" containsNumber="1" containsInteger="1" minValue="1324" maxValue="1341"/>
    </cacheField>
    <cacheField name="Enviado" numFmtId="164">
      <sharedItems containsBlank="1"/>
    </cacheField>
    <cacheField name="Fecha" numFmtId="14">
      <sharedItems containsNonDate="0" containsDate="1" containsString="0" containsBlank="1" minDate="2016-12-09T00:00:00" maxDate="2018-08-02T00:00:00"/>
    </cacheField>
    <cacheField name="Monto" numFmtId="4">
      <sharedItems containsString="0" containsBlank="1" containsNumber="1" containsInteger="1" minValue="1500" maxValue="3000000"/>
    </cacheField>
    <cacheField name="Beneficiario" numFmtId="0">
      <sharedItems containsBlank="1"/>
    </cacheField>
    <cacheField name="E-mail o celular" numFmtId="0">
      <sharedItems containsBlank="1"/>
    </cacheField>
    <cacheField name="Dirección" numFmtId="0">
      <sharedItems containsBlank="1"/>
    </cacheField>
    <cacheField name="Concepto" numFmtId="0">
      <sharedItems containsBlank="1"/>
    </cacheField>
    <cacheField name="Categoría" numFmtId="165">
      <sharedItems containsBlank="1" count="11">
        <s v="Vigilancia"/>
        <s v="Anticipo"/>
        <s v="Control"/>
        <s v="ANULADO"/>
        <s v="Reja CC"/>
        <s v="Logo"/>
        <s v="Otros"/>
        <s v="Caseta Vigilancia"/>
        <s v="Comida Vigilantes"/>
        <s v="Reparación Portón"/>
        <m/>
      </sharedItems>
    </cacheField>
    <cacheField name="Shared Link" numFmtId="49">
      <sharedItems containsBlank="1"/>
    </cacheField>
    <cacheField name="Recibo (ed)" numFmtId="165">
      <sharedItems containsBlank="1"/>
    </cacheField>
    <cacheField name="Fecha (ed)" numFmtId="165">
      <sharedItems containsBlank="1"/>
    </cacheField>
    <cacheField name="Mes" numFmtId="168">
      <sharedItems containsNonDate="0" containsDate="1" containsString="0" containsBlank="1" minDate="1899-12-31T00:00:00" maxDate="2018-08-02T00:00:00" count="23">
        <d v="2016-12-01T00:00:00"/>
        <d v="2017-01-01T00:00:00"/>
        <d v="2017-02-01T00:00:00"/>
        <d v="2017-03-01T00:00:00"/>
        <d v="2017-04-01T00:00:00"/>
        <d v="2017-05-01T00:00:00"/>
        <d v="1899-12-31T00:00:00"/>
        <d v="2017-06-01T00:00:00"/>
        <d v="2017-07-01T00:00:00"/>
        <d v="2017-08-01T00:00:00"/>
        <d v="2017-09-01T00:00:00"/>
        <d v="2017-10-01T00:00:00"/>
        <d v="2017-11-01T00:00:00"/>
        <d v="2017-12-01T00:00:00"/>
        <d v="2018-01-01T00:00:00"/>
        <d v="2018-02-01T00:00:00"/>
        <d v="2018-03-01T00:00:00"/>
        <d v="2018-04-01T00:00:00"/>
        <d v="2018-05-01T00:00:00"/>
        <d v="2018-06-01T00:00:00"/>
        <d v="2018-07-01T00:00:00"/>
        <d v="2018-08-01T00:00:00"/>
        <m/>
      </sharedItems>
    </cacheField>
    <cacheField name="Monto (ed)" numFmtId="165">
      <sharedItems containsBlank="1"/>
    </cacheField>
    <cacheField name="Monto en letra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2">
  <r>
    <n v="1"/>
    <m/>
    <s v="ü"/>
    <d v="2016-12-09T00:00:00"/>
    <n v="10500"/>
    <x v="0"/>
    <x v="0"/>
    <s v="Calle Guacara Nro. 88-45"/>
    <s v="Anticipo Vigilancia, mes de Enero/2017"/>
    <s v="Vigilancia"/>
    <s v="https://drive.google.com/open?id=0ByOb8wNqoBtVQ2JYRkVQTFVWQU0"/>
    <s v="00001"/>
    <s v="09 de diciembre de 2016"/>
    <d v="2016-12-01T00:00:00"/>
    <s v="10.500,00"/>
    <s v="Diez Mil Quinientos Bolívares con 00/100"/>
  </r>
  <r>
    <n v="2"/>
    <m/>
    <s v="ü"/>
    <d v="2016-12-13T00:00:00"/>
    <n v="10500"/>
    <x v="1"/>
    <x v="1"/>
    <s v="Calle Güigüe Nro. 88-44"/>
    <s v="Anticipo Vigilancia, mes de Enero/2017"/>
    <s v="Vigilancia"/>
    <s v="https://drive.google.com/open?id=0ByOb8wNqoBtVWTdmYzQ4N0NUQ3c"/>
    <s v="00002"/>
    <s v="13 de diciembre de 2016"/>
    <d v="2016-12-01T00:00:00"/>
    <s v="10.500,00"/>
    <s v="Diez Mil Quinientos Bolívares con 00/100"/>
  </r>
  <r>
    <n v="3"/>
    <m/>
    <s v="ü"/>
    <d v="2016-12-20T00:00:00"/>
    <n v="4500"/>
    <x v="2"/>
    <x v="2"/>
    <s v="Calle Guacara Nro. 88-19"/>
    <s v="Anticipo Vigilancia, mes de Enero/2017"/>
    <s v="Vigilancia"/>
    <s v="https://drive.google.com/open?id=0ByOb8wNqoBtVZU5vcE5wOUtYRVU"/>
    <s v="00003"/>
    <s v="20 de diciembre de 2016"/>
    <d v="2016-12-01T00:00:00"/>
    <s v="4.500,00"/>
    <s v="Cuatro Mil Quinientos Bolívares con 00/100"/>
  </r>
  <r>
    <n v="4"/>
    <m/>
    <s v="ü"/>
    <d v="2017-01-02T00:00:00"/>
    <n v="10500"/>
    <x v="3"/>
    <x v="3"/>
    <s v="Calle Güigüe Nro. 88-62"/>
    <s v="Anticipo Vigilancia, mes de Enero/2017"/>
    <s v="Vigilancia"/>
    <s v="https://drive.google.com/open?id=0ByOb8wNqoBtVbnMxZWNSWHF3WlU"/>
    <s v="00004"/>
    <s v="02 de enero de 2017"/>
    <d v="2017-01-01T00:00:00"/>
    <s v="10.500,00"/>
    <s v="Diez Mil Quinientos Bolívares con 00/100"/>
  </r>
  <r>
    <n v="5"/>
    <m/>
    <s v="ü"/>
    <d v="2017-01-06T00:00:00"/>
    <n v="10500"/>
    <x v="4"/>
    <x v="4"/>
    <s v="Calle Güigüe Nro. 89-55"/>
    <s v="Anticipo Vigilancia, mes de Enero/2017"/>
    <s v="Vigilancia"/>
    <s v="https://drive.google.com/open?id=0ByOb8wNqoBtVcm9mb2w4S1F3N1k"/>
    <s v="00005"/>
    <s v="06 de enero de 2017"/>
    <d v="2017-01-01T00:00:00"/>
    <s v="10.500,00"/>
    <s v="Diez Mil Quinientos Bolívares con 00/100"/>
  </r>
  <r>
    <n v="6"/>
    <m/>
    <s v="ü"/>
    <d v="2017-01-07T00:00:00"/>
    <n v="10500"/>
    <x v="5"/>
    <x v="5"/>
    <s v="Calle Güigüe Nro. 88-120"/>
    <s v="Anticipo Vigilancia, mes de Enero/2017"/>
    <s v="Vigilancia"/>
    <s v="https://drive.google.com/open?id=0ByOb8wNqoBtVM1MzMzhjNmMzeEE"/>
    <s v="00006"/>
    <s v="07 de enero de 2017"/>
    <d v="2017-01-01T00:00:00"/>
    <s v="10.500,00"/>
    <s v="Diez Mil Quinientos Bolívares con 00/100"/>
  </r>
  <r>
    <n v="7"/>
    <m/>
    <s v="ü"/>
    <d v="2017-01-10T00:00:00"/>
    <n v="10000"/>
    <x v="6"/>
    <x v="6"/>
    <s v="Calle Guacara Nro. 89-60"/>
    <s v="Anticipo Vigilancia, mes de Enero/2017"/>
    <s v="Vigilancia"/>
    <s v="https://drive.google.com/open?id=0ByOb8wNqoBtVUmlGT0tPUnR5WU0"/>
    <s v="00007"/>
    <s v="10 de enero de 2017"/>
    <d v="2017-01-01T00:00:00"/>
    <s v="10.000,00"/>
    <s v="Diez Mil Bolívares con 00/100"/>
  </r>
  <r>
    <n v="8"/>
    <m/>
    <s v="ü"/>
    <d v="2017-01-11T00:00:00"/>
    <n v="5000"/>
    <x v="7"/>
    <x v="7"/>
    <s v="Calle Guacara Nro. 87-86"/>
    <s v="Colaboración Vigilancia, mes de Enero/2017"/>
    <s v="Vigilancia"/>
    <s v="https://drive.google.com/open?id=0ByOb8wNqoBtVb0Z2TFRxN0pyLTA"/>
    <s v="00008"/>
    <s v="11 de enero de 2017"/>
    <d v="2017-01-01T00:00:00"/>
    <s v="5.000,00"/>
    <s v="Cinco Mil Bolívares con 00/100"/>
  </r>
  <r>
    <n v="9"/>
    <m/>
    <s v="ü"/>
    <d v="2017-01-11T00:00:00"/>
    <n v="10500"/>
    <x v="8"/>
    <x v="8"/>
    <s v="Calle Guacara Nro. 90-51"/>
    <s v="Anticipo Vigilancia, mes de Enero/2017"/>
    <s v="Vigilancia"/>
    <s v="https://drive.google.com/open?id=0ByOb8wNqoBtVRXNhMmNDZkI0eVE"/>
    <s v="00009"/>
    <s v="11 de enero de 2017"/>
    <d v="2017-01-01T00:00:00"/>
    <s v="10.500,00"/>
    <s v="Diez Mil Quinientos Bolívares con 00/100"/>
  </r>
  <r>
    <n v="10"/>
    <m/>
    <s v="ü"/>
    <d v="2017-01-15T00:00:00"/>
    <n v="12000"/>
    <x v="9"/>
    <x v="9"/>
    <s v="Av. &quot;M&quot; Nro. 146-30"/>
    <s v="Cancelación Vigilancia, mes de Enero/2017"/>
    <s v="Vigilancia"/>
    <s v="https://drive.google.com/open?id=0ByOb8wNqoBtVRDZWQUxwZm43cUU"/>
    <s v="00010"/>
    <s v="15 de enero de 2017"/>
    <d v="2017-01-01T00:00:00"/>
    <s v="12.000,00"/>
    <s v="Doce Mil Bolívares con 00/100"/>
  </r>
  <r>
    <n v="11"/>
    <m/>
    <s v="ü"/>
    <d v="2017-01-13T00:00:00"/>
    <n v="10500"/>
    <x v="10"/>
    <x v="10"/>
    <s v="Av. &quot;M&quot; Nro. 146-15"/>
    <s v="Anticipo Vigilancia, mes de Enero/2017"/>
    <s v="Vigilancia"/>
    <s v="https://drive.google.com/open?id=0ByOb8wNqoBtVc1BVRG1xMDFyck0"/>
    <s v="00011"/>
    <s v="13 de enero de 2017"/>
    <d v="2017-01-01T00:00:00"/>
    <s v="10.500,00"/>
    <s v="Diez Mil Quinientos Bolívares con 00/100"/>
  </r>
  <r>
    <n v="12"/>
    <m/>
    <s v="ü"/>
    <d v="2017-01-15T00:00:00"/>
    <n v="10500"/>
    <x v="11"/>
    <x v="11"/>
    <s v="Calle Guacara Nro. 89-86"/>
    <s v="Anticipo Vigilancia, mes de Enero/2017"/>
    <s v="Vigilancia"/>
    <s v="https://drive.google.com/open?id=0ByOb8wNqoBtVLTlZOGVxSlVYV0U"/>
    <s v="00012"/>
    <s v="15 de enero de 2017"/>
    <d v="2017-01-01T00:00:00"/>
    <s v="10.500,00"/>
    <s v="Diez Mil Quinientos Bolívares con 00/100"/>
  </r>
  <r>
    <n v="13"/>
    <m/>
    <s v="ü"/>
    <d v="2017-01-19T00:00:00"/>
    <n v="10500"/>
    <x v="12"/>
    <x v="12"/>
    <s v="Calle Guacara Nro. 89-20"/>
    <s v="Anticipo Vigilancia, mes de Enero/2017"/>
    <s v="Vigilancia"/>
    <s v="https://drive.google.com/open?id=0ByOb8wNqoBtVQzNkS1BObWJDMWs"/>
    <s v="00013"/>
    <s v="19 de enero de 2017"/>
    <d v="2017-01-01T00:00:00"/>
    <s v="10.500,00"/>
    <s v="Diez Mil Quinientos Bolívares con 00/100"/>
  </r>
  <r>
    <n v="14"/>
    <m/>
    <s v="ü"/>
    <d v="2017-01-19T00:00:00"/>
    <n v="4500"/>
    <x v="13"/>
    <x v="9"/>
    <s v="Calle Güigüe Nro. 89-90"/>
    <s v="Colaboración Vigilancia, mes de Enero/2017"/>
    <s v="Vigilancia"/>
    <s v="https://drive.google.com/open?id=0ByOb8wNqoBtVUnAtM1N6cFhtTlU"/>
    <s v="00014"/>
    <s v="19 de enero de 2017"/>
    <d v="2017-01-01T00:00:00"/>
    <s v="4.500,00"/>
    <s v="Cuatro Mil Quinientos Bolívares con 00/100"/>
  </r>
  <r>
    <n v="15"/>
    <m/>
    <s v="ü"/>
    <d v="2017-01-20T00:00:00"/>
    <n v="6500"/>
    <x v="12"/>
    <x v="12"/>
    <s v="Calle Guacara Nro. 89-20"/>
    <s v="Cancelación saldo Vigilancia, mes de Enero/2017"/>
    <s v="Vigilancia"/>
    <s v="https://drive.google.com/open?id=0ByOb8wNqoBtVQU84dFVIUlhueVk"/>
    <s v="00015"/>
    <s v="20 de enero de 2017"/>
    <d v="2017-01-01T00:00:00"/>
    <s v="6.500,00"/>
    <s v="Seis Mil Quinientos Bolívares con 00/100"/>
  </r>
  <r>
    <n v="16"/>
    <m/>
    <s v="ü"/>
    <d v="2017-01-20T00:00:00"/>
    <n v="6500"/>
    <x v="0"/>
    <x v="0"/>
    <s v="Calle Guacara Nro. 88-45"/>
    <s v="Cancelación saldo Vigilancia, mes de Enero/2017"/>
    <s v="Vigilancia"/>
    <s v="https://drive.google.com/open?id=0ByOb8wNqoBtVTXZQd1FMTHZsSHc"/>
    <s v="00016"/>
    <s v="20 de enero de 2017"/>
    <d v="2017-01-01T00:00:00"/>
    <s v="6.500,00"/>
    <s v="Seis Mil Quinientos Bolívares con 00/100"/>
  </r>
  <r>
    <n v="17"/>
    <m/>
    <s v="ü"/>
    <d v="2017-01-20T00:00:00"/>
    <n v="17000"/>
    <x v="14"/>
    <x v="13"/>
    <s v="Calle Güigüe Nro. 89-83"/>
    <s v="Cancelación Vigilancia, mes de Enero/2017"/>
    <s v="Vigilancia"/>
    <s v="https://drive.google.com/open?id=0ByOb8wNqoBtVbmVRMlBsVFN0b0U"/>
    <s v="00017"/>
    <s v="20 de enero de 2017"/>
    <d v="2017-01-01T00:00:00"/>
    <s v="17.000,00"/>
    <s v="Diecisiete Mil Bolívares con 00/100"/>
  </r>
  <r>
    <n v="18"/>
    <m/>
    <s v="ü"/>
    <d v="2017-01-20T00:00:00"/>
    <n v="6000"/>
    <x v="15"/>
    <x v="14"/>
    <s v="Calle Guacara Nro. 89-94"/>
    <s v="Colaboración Vigilancia, mes de Enero/2017"/>
    <s v="Vigilancia"/>
    <s v="https://drive.google.com/open?id=0ByOb8wNqoBtVQW1LSko5bFZRUUE"/>
    <s v="00018"/>
    <s v="20 de enero de 2017"/>
    <d v="2017-01-01T00:00:00"/>
    <s v="6.000,00"/>
    <s v="Seis Mil Bolívares con 00/100"/>
  </r>
  <r>
    <n v="19"/>
    <m/>
    <s v="ü"/>
    <d v="2017-01-24T00:00:00"/>
    <n v="6500"/>
    <x v="1"/>
    <x v="1"/>
    <s v="Calle Güigüe Nro. 88-44"/>
    <s v="Cancelación saldo Vigilancia, mes de Enero/2017"/>
    <s v="Vigilancia"/>
    <s v="https://drive.google.com/open?id=0ByOb8wNqoBtVcEo1SFFiUkRWVTg"/>
    <s v="00019"/>
    <s v="24 de enero de 2017"/>
    <d v="2017-01-01T00:00:00"/>
    <s v="6.500,00"/>
    <s v="Seis Mil Quinientos Bolívares con 00/100"/>
  </r>
  <r>
    <n v="20"/>
    <m/>
    <s v="ü"/>
    <d v="2017-01-24T00:00:00"/>
    <n v="10000"/>
    <x v="2"/>
    <x v="2"/>
    <s v="Calle Guacara Nro. 88-19"/>
    <s v="Anticipo Vigilancia, mes de Enero/2017"/>
    <s v="Vigilancia"/>
    <s v="https://drive.google.com/open?id=0ByOb8wNqoBtVTU4tNjBsajdQRDQ"/>
    <s v="00020"/>
    <s v="24 de enero de 2017"/>
    <d v="2017-01-01T00:00:00"/>
    <s v="10.000,00"/>
    <s v="Diez Mil Bolívares con 00/100"/>
  </r>
  <r>
    <n v="21"/>
    <m/>
    <s v="ü"/>
    <d v="2017-01-24T00:00:00"/>
    <n v="17000"/>
    <x v="16"/>
    <x v="15"/>
    <s v="Calle Guacara Nro. 90-81"/>
    <s v="Cancelación Vigilancia, mes de Enero/2017"/>
    <s v="Vigilancia"/>
    <s v="https://drive.google.com/open?id=0ByOb8wNqoBtVS3l5VmhmSjFmSVU"/>
    <s v="00021"/>
    <s v="24 de enero de 2017"/>
    <d v="2017-01-01T00:00:00"/>
    <s v="17.000,00"/>
    <s v="Diecisiete Mil Bolívares con 00/100"/>
  </r>
  <r>
    <n v="22"/>
    <m/>
    <s v="ü"/>
    <d v="2017-01-25T00:00:00"/>
    <n v="2000"/>
    <x v="17"/>
    <x v="16"/>
    <s v="Av. &quot;M&quot; Nro. 146-20"/>
    <s v="Colaboración Vigilancia, mes de Enero/2017"/>
    <s v="Vigilancia"/>
    <s v="https://drive.google.com/open?id=0ByOb8wNqoBtVWUo3dWpkTk55NmM"/>
    <s v="00022"/>
    <s v="25 de enero de 2017"/>
    <d v="2017-01-01T00:00:00"/>
    <s v="2.000,00"/>
    <s v="Dos Mil Bolívares con 00/100"/>
  </r>
  <r>
    <n v="23"/>
    <m/>
    <s v="ü"/>
    <d v="2017-01-25T00:00:00"/>
    <n v="6500"/>
    <x v="3"/>
    <x v="3"/>
    <s v="Calle Güigüe Nro. 88-62"/>
    <s v="Cancelación saldo Vigilancia, mes de Enero/2017"/>
    <s v="Vigilancia"/>
    <s v="https://drive.google.com/open?id=0ByOb8wNqoBtVQmtEU3cxY0lSZkk"/>
    <s v="00023"/>
    <s v="25 de enero de 2017"/>
    <d v="2017-01-01T00:00:00"/>
    <s v="6.500,00"/>
    <s v="Seis Mil Quinientos Bolívares con 00/100"/>
  </r>
  <r>
    <n v="24"/>
    <m/>
    <s v="ü"/>
    <d v="2017-01-25T00:00:00"/>
    <n v="17000"/>
    <x v="18"/>
    <x v="16"/>
    <s v="Calle Guacara Nro. 87-100"/>
    <s v="Cancelación Vigilancia, mes de Enero/2017"/>
    <s v="Vigilancia"/>
    <s v="https://drive.google.com/open?id=0ByOb8wNqoBtVYlZIVVZKODlkY2s"/>
    <s v="00024"/>
    <s v="25 de enero de 2017"/>
    <d v="2017-01-01T00:00:00"/>
    <s v="17.000,00"/>
    <s v="Diecisiete Mil Bolívares con 00/100"/>
  </r>
  <r>
    <n v="25"/>
    <m/>
    <s v="ü"/>
    <d v="2017-01-26T00:00:00"/>
    <n v="17000"/>
    <x v="19"/>
    <x v="17"/>
    <s v="Calle Guacara Nro. 89-130"/>
    <s v="Cancelación Vigilancia, mes de Enero/2017"/>
    <s v="Vigilancia"/>
    <s v="https://drive.google.com/open?id=0ByOb8wNqoBtVOGxVVDBFdjFoOEE"/>
    <s v="00025"/>
    <s v="26 de enero de 2017"/>
    <d v="2017-01-01T00:00:00"/>
    <s v="17.000,00"/>
    <s v="Diecisiete Mil Bolívares con 00/100"/>
  </r>
  <r>
    <n v="26"/>
    <m/>
    <s v="ü"/>
    <d v="2017-01-27T00:00:00"/>
    <n v="17000"/>
    <x v="20"/>
    <x v="18"/>
    <s v="Calle Guacara Nro. 89-30"/>
    <s v="Cancelación Vigilancia, mes de Enero/2017"/>
    <s v="Vigilancia"/>
    <s v="https://drive.google.com/open?id=0ByOb8wNqoBtVWWhHMFRzN19FMkE"/>
    <s v="00026"/>
    <s v="27 de enero de 2017"/>
    <d v="2017-01-01T00:00:00"/>
    <s v="17.000,00"/>
    <s v="Diecisiete Mil Bolívares con 00/100"/>
  </r>
  <r>
    <n v="27"/>
    <m/>
    <s v="ü"/>
    <d v="2017-01-30T00:00:00"/>
    <n v="6500"/>
    <x v="4"/>
    <x v="4"/>
    <s v="Calle Güigüe Nro. 89-55"/>
    <s v="Cancelación saldo Vigilancia, mes de Enero/2017"/>
    <s v="Vigilancia"/>
    <s v="https://drive.google.com/open?id=0ByOb8wNqoBtVaE9MMGtlUFp2OHM"/>
    <s v="00027"/>
    <s v="30 de enero de 2017"/>
    <d v="2017-01-01T00:00:00"/>
    <s v="6.500,00"/>
    <s v="Seis Mil Quinientos Bolívares con 00/100"/>
  </r>
  <r>
    <n v="28"/>
    <m/>
    <s v="ü"/>
    <d v="2017-01-30T00:00:00"/>
    <n v="7488"/>
    <x v="4"/>
    <x v="4"/>
    <s v="Calle Güigüe Nro. 89-55"/>
    <s v="Anticipo Vigilancia, mes de Febero/2017"/>
    <s v="Vigilancia"/>
    <s v="https://drive.google.com/open?id=0ByOb8wNqoBtVMWUwa3dUWW1rNjg"/>
    <s v="00028"/>
    <s v="30 de enero de 2017"/>
    <d v="2017-01-01T00:00:00"/>
    <s v="7.488,00"/>
    <s v="Siete Mil Cuatrocientos Ochenta y Ocho Bolívares con 00/100"/>
  </r>
  <r>
    <n v="29"/>
    <m/>
    <s v="ü"/>
    <d v="2017-01-31T00:00:00"/>
    <n v="17000"/>
    <x v="21"/>
    <x v="19"/>
    <s v="Calle Güigüe Nro. 89-105"/>
    <s v="Cancelación Vigilancia, mes de Enero/2017"/>
    <s v="Vigilancia"/>
    <s v="https://drive.google.com/open?id=0ByOb8wNqoBtVTFo0NGg5NmJjTWM"/>
    <s v="00029"/>
    <s v="31 de enero de 2017"/>
    <d v="2017-01-01T00:00:00"/>
    <s v="17.000,00"/>
    <s v="Diecisiete Mil Bolívares con 00/100"/>
  </r>
  <r>
    <n v="30"/>
    <m/>
    <s v="ü"/>
    <d v="2017-01-31T00:00:00"/>
    <n v="7960"/>
    <x v="22"/>
    <x v="20"/>
    <s v="Calle Guacara Nro. 88-25"/>
    <s v="Colaboración Vigilancia, mes de Enero/2017"/>
    <s v="Vigilancia"/>
    <s v="https://drive.google.com/open?id=0ByOb8wNqoBtVcjJtZUVZdEZrak0"/>
    <s v="00030"/>
    <s v="31 de enero de 2017"/>
    <d v="2017-01-01T00:00:00"/>
    <s v="7.960,00"/>
    <s v="Siete Mil Novecientos Sesenta Bolívares con 00/100"/>
  </r>
  <r>
    <n v="31"/>
    <m/>
    <s v="ü"/>
    <d v="2017-02-01T00:00:00"/>
    <n v="17000"/>
    <x v="23"/>
    <x v="21"/>
    <s v="Calle Güigüe Nro. 88-116"/>
    <s v="Cancelación Vigilancia, mes de Enero/2017"/>
    <s v="Vigilancia"/>
    <s v="https://drive.google.com/open?id=0ByOb8wNqoBtVZWtLcEtyMWxfV28"/>
    <s v="00031"/>
    <s v="01 de febrero de 2017"/>
    <d v="2017-02-01T00:00:00"/>
    <s v="17.000,00"/>
    <s v="Diecisiete Mil Bolívares con 00/100"/>
  </r>
  <r>
    <n v="32"/>
    <m/>
    <s v="ü"/>
    <d v="2017-02-01T00:00:00"/>
    <n v="17000"/>
    <x v="24"/>
    <x v="22"/>
    <s v="Calle Güigüe Nro. 88-54"/>
    <s v="Cancelación Vigilancia, mes de Enero/2017"/>
    <s v="Vigilancia"/>
    <s v="https://drive.google.com/open?id=0ByOb8wNqoBtVYzd4OGlhTTFJTlU"/>
    <s v="00032"/>
    <s v="01 de febrero de 2017"/>
    <d v="2017-02-01T00:00:00"/>
    <s v="17.000,00"/>
    <s v="Diecisiete Mil Bolívares con 00/100"/>
  </r>
  <r>
    <n v="33"/>
    <m/>
    <s v="ü"/>
    <d v="2017-02-01T00:00:00"/>
    <n v="10500"/>
    <x v="25"/>
    <x v="23"/>
    <s v="Calle Güigüe Nro. 88-58"/>
    <s v="Colaboración Vigilancia, mes de Enero/2017"/>
    <s v="Vigilancia"/>
    <s v="https://drive.google.com/open?id=0ByOb8wNqoBtVclJQNllLdEJPQXc"/>
    <s v="00033"/>
    <s v="01 de febrero de 2017"/>
    <d v="2017-02-01T00:00:00"/>
    <s v="10.500,00"/>
    <s v="Diez Mil Quinientos Bolívares con 00/100"/>
  </r>
  <r>
    <n v="34"/>
    <m/>
    <s v="ü"/>
    <d v="2017-02-02T00:00:00"/>
    <n v="17000"/>
    <x v="26"/>
    <x v="24"/>
    <s v="Calle Güigüe Nro. 89-96"/>
    <s v="Cancelación Vigilancia, mes de Enero/2017"/>
    <s v="Vigilancia"/>
    <s v="https://drive.google.com/open?id=0ByOb8wNqoBtVbTczRzFtWnRLVDg"/>
    <s v="00034"/>
    <s v="02 de febrero de 2017"/>
    <d v="2017-02-01T00:00:00"/>
    <s v="17.000,00"/>
    <s v="Diecisiete Mil Bolívares con 00/100"/>
  </r>
  <r>
    <n v="35"/>
    <m/>
    <s v="ü"/>
    <d v="2017-02-02T00:00:00"/>
    <n v="17000"/>
    <x v="27"/>
    <x v="25"/>
    <s v="Calle Güigüe Nro. 89-106"/>
    <s v="Cancelación Vigilancia, mes de Enero/2017"/>
    <s v="Vigilancia"/>
    <s v="https://drive.google.com/open?id=0ByOb8wNqoBtVempWaXRRMXprTkE"/>
    <s v="00035"/>
    <s v="02 de febrero de 2017"/>
    <d v="2017-02-01T00:00:00"/>
    <s v="17.000,00"/>
    <s v="Diecisiete Mil Bolívares con 00/100"/>
  </r>
  <r>
    <n v="36"/>
    <m/>
    <s v="ü"/>
    <d v="2017-02-02T00:00:00"/>
    <n v="17000"/>
    <x v="6"/>
    <x v="6"/>
    <s v="Calle Guacara Nro. 89-60"/>
    <s v="Cancelación Vigilancia, mes de Febrero/2017"/>
    <s v="Vigilancia"/>
    <s v="https://drive.google.com/open?id=0ByOb8wNqoBtVQm9MS3FaU19uRDQ"/>
    <s v="00036"/>
    <s v="02 de febrero de 2017"/>
    <d v="2017-02-01T00:00:00"/>
    <s v="17.000,00"/>
    <s v="Diecisiete Mil Bolívares con 00/100"/>
  </r>
  <r>
    <n v="37"/>
    <m/>
    <s v="ü"/>
    <d v="2017-02-02T00:00:00"/>
    <n v="3000"/>
    <x v="28"/>
    <x v="26"/>
    <s v="Calle Güigüe Nro. 88-30"/>
    <s v="Colaboración Vigilancia, mes de Enero/2017"/>
    <s v="Vigilancia"/>
    <s v="https://drive.google.com/open?id=0ByOb8wNqoBtVamduZWo4ZThvSUE"/>
    <s v="00037"/>
    <s v="02 de febrero de 2017"/>
    <d v="2017-02-01T00:00:00"/>
    <s v="3.000,00"/>
    <s v="Tres Mil Bolívares con 00/100"/>
  </r>
  <r>
    <n v="38"/>
    <m/>
    <s v="ü"/>
    <d v="2017-02-03T00:00:00"/>
    <n v="17000"/>
    <x v="29"/>
    <x v="27"/>
    <s v="Calle Guacara Nro. 88-75"/>
    <s v="Cancelación Vigilancia, mes de Enero/2017"/>
    <s v="Vigilancia"/>
    <s v="https://drive.google.com/open?id=0ByOb8wNqoBtVZVhicDRZalZyTVk"/>
    <s v="00038"/>
    <s v="03 de febrero de 2017"/>
    <d v="2017-02-01T00:00:00"/>
    <s v="17.000,00"/>
    <s v="Diecisiete Mil Bolívares con 00/100"/>
  </r>
  <r>
    <n v="39"/>
    <m/>
    <s v="ü"/>
    <d v="2017-02-03T00:00:00"/>
    <n v="17000"/>
    <x v="30"/>
    <x v="28"/>
    <s v="Calle Güigüe Nro. 89-04"/>
    <s v="Cancelación Vigilancia, mes de Enero/2017"/>
    <s v="Vigilancia"/>
    <s v="https://drive.google.com/open?id=0ByOb8wNqoBtVS2lTMnE2M0UzVW8"/>
    <s v="00039"/>
    <s v="03 de febrero de 2017"/>
    <d v="2017-02-01T00:00:00"/>
    <s v="17.000,00"/>
    <s v="Diecisiete Mil Bolívares con 00/100"/>
  </r>
  <r>
    <n v="40"/>
    <m/>
    <s v="ü"/>
    <d v="2017-02-04T00:00:00"/>
    <n v="9512"/>
    <x v="4"/>
    <x v="4"/>
    <s v="Calle Güigüe Nro. 89-55"/>
    <s v="Cancelación saldo Vigilancia, mes de Febrero/2017"/>
    <s v="Vigilancia"/>
    <s v="https://drive.google.com/open?id=0ByOb8wNqoBtVT1Qzd0hkN1g1OWs"/>
    <s v="00040"/>
    <s v="04 de febrero de 2017"/>
    <d v="2017-02-01T00:00:00"/>
    <s v="9.512,00"/>
    <s v="Nueve Mil Quinientos Doce Bolívares con 00/100"/>
  </r>
  <r>
    <n v="41"/>
    <m/>
    <s v="ü"/>
    <d v="2017-02-05T00:00:00"/>
    <n v="5000"/>
    <x v="7"/>
    <x v="7"/>
    <s v="Calle Guacara Nro. 87-86"/>
    <s v="Colaboración Vigilancia, mes de Febrero/2017"/>
    <s v="Vigilancia"/>
    <s v="https://drive.google.com/open?id=0ByOb8wNqoBtVVktmTlFfRDdlUGM"/>
    <s v="00041"/>
    <s v="05 de febrero de 2017"/>
    <d v="2017-02-01T00:00:00"/>
    <s v="5.000,00"/>
    <s v="Cinco Mil Bolívares con 00/100"/>
  </r>
  <r>
    <n v="42"/>
    <m/>
    <s v="ü"/>
    <d v="2017-02-05T00:00:00"/>
    <n v="4000"/>
    <x v="15"/>
    <x v="14"/>
    <s v="Calle Guacara Nro. 89-94"/>
    <s v="Colaboración Vigilancia, mes de Enero/2017"/>
    <s v="Vigilancia"/>
    <s v="https://drive.google.com/open?id=0ByOb8wNqoBtVNXZxU2VEOEt0RlU"/>
    <s v="00042"/>
    <s v="05 de febrero de 2017"/>
    <d v="2017-02-01T00:00:00"/>
    <s v="4.000,00"/>
    <s v="Cuatro Mil Bolívares con 00/100"/>
  </r>
  <r>
    <n v="43"/>
    <m/>
    <s v="ü"/>
    <d v="2017-02-07T00:00:00"/>
    <n v="17000"/>
    <x v="1"/>
    <x v="1"/>
    <s v="Calle Güigüe Nro. 88-44"/>
    <s v="Cancelación Vigilancia, mes de Febrero/2017"/>
    <s v="Vigilancia"/>
    <s v="https://drive.google.com/open?id=0ByOb8wNqoBtVUUtRcEp5REVFOUk"/>
    <s v="00043"/>
    <s v="07 de febrero de 2017"/>
    <d v="2017-02-01T00:00:00"/>
    <s v="17.000,00"/>
    <s v="Diecisiete Mil Bolívares con 00/100"/>
  </r>
  <r>
    <n v="44"/>
    <m/>
    <s v="ü"/>
    <d v="2017-02-08T00:00:00"/>
    <n v="17000"/>
    <x v="31"/>
    <x v="29"/>
    <s v="Calle Güigüe Nro. 89-95"/>
    <s v="Cancelación Vigilancia, mes de Enero/2017"/>
    <s v="Vigilancia"/>
    <s v="https://drive.google.com/open?id=0ByOb8wNqoBtVaDZDQ2JQMkRIWjQ"/>
    <s v="00044"/>
    <s v="08 de febrero de 2017"/>
    <d v="2017-02-01T00:00:00"/>
    <s v="17.000,00"/>
    <s v="Diecisiete Mil Bolívares con 00/100"/>
  </r>
  <r>
    <n v="45"/>
    <m/>
    <s v="ü"/>
    <d v="2017-02-08T00:00:00"/>
    <n v="12000"/>
    <x v="31"/>
    <x v="29"/>
    <s v="Calle Güigüe Nro. 89-95"/>
    <s v="Anticipo Vigilancia, mes de Febero/2017"/>
    <s v="Vigilancia"/>
    <s v="https://drive.google.com/open?id=0ByOb8wNqoBtVRDFXdWdqZF81b28"/>
    <s v="00045"/>
    <s v="08 de febrero de 2017"/>
    <d v="2017-02-01T00:00:00"/>
    <s v="12.000,00"/>
    <s v="Doce Mil Bolívares con 00/100"/>
  </r>
  <r>
    <n v="46"/>
    <m/>
    <s v="ü"/>
    <d v="2017-02-08T00:00:00"/>
    <n v="17000"/>
    <x v="32"/>
    <x v="30"/>
    <s v="Calle Güigüe Nro. 89-120"/>
    <s v="Cancelación Vigilancia, mes de Enero/2017"/>
    <s v="Vigilancia"/>
    <s v="https://drive.google.com/open?id=0ByOb8wNqoBtVT0ZSd3ZWTVMybFE"/>
    <s v="00046"/>
    <s v="08 de febrero de 2017"/>
    <d v="2017-02-01T00:00:00"/>
    <s v="17.000,00"/>
    <s v="Diecisiete Mil Bolívares con 00/100"/>
  </r>
  <r>
    <n v="47"/>
    <m/>
    <s v="ü"/>
    <d v="2017-02-08T00:00:00"/>
    <n v="2000"/>
    <x v="33"/>
    <x v="9"/>
    <s v="Calle Güigüe Nro. 88-110"/>
    <s v="Colaboración Vigilancia, mes de Enero/2017"/>
    <s v="Vigilancia"/>
    <s v="https://drive.google.com/open?id=0ByOb8wNqoBtVTGt0X2pvUXozaEU"/>
    <s v="00047"/>
    <s v="08 de febrero de 2017"/>
    <d v="2017-02-01T00:00:00"/>
    <s v="2.000,00"/>
    <s v="Dos Mil Bolívares con 00/100"/>
  </r>
  <r>
    <n v="48"/>
    <m/>
    <s v="ü"/>
    <d v="2017-02-08T00:00:00"/>
    <n v="3000"/>
    <x v="28"/>
    <x v="26"/>
    <s v="Calle Güigüe Nro. 88-30"/>
    <s v="Colaboración Vigilancia, mes de Febrero/2017"/>
    <s v="Vigilancia"/>
    <s v="https://drive.google.com/open?id=0ByOb8wNqoBtVb0pxcE91dkRwNUk"/>
    <s v="00048"/>
    <s v="08 de febrero de 2017"/>
    <d v="2017-02-01T00:00:00"/>
    <s v="3.000,00"/>
    <s v="Tres Mil Bolívares con 00/100"/>
  </r>
  <r>
    <n v="49"/>
    <m/>
    <s v="ü"/>
    <d v="2017-02-08T00:00:00"/>
    <n v="17000"/>
    <x v="16"/>
    <x v="15"/>
    <s v="Calle Guacara Nro. 90-81"/>
    <s v="Cancelación Vigilancia, mes de Febrero/2017"/>
    <s v="Vigilancia"/>
    <s v="https://drive.google.com/open?id=0ByOb8wNqoBtVb1VuTmFjUDNaME0"/>
    <s v="00049"/>
    <s v="08 de febrero de 2017"/>
    <d v="2017-02-01T00:00:00"/>
    <s v="17.000,00"/>
    <s v="Diecisiete Mil Bolívares con 00/100"/>
  </r>
  <r>
    <n v="50"/>
    <m/>
    <s v="ü"/>
    <d v="2017-02-09T00:00:00"/>
    <n v="4500"/>
    <x v="13"/>
    <x v="9"/>
    <s v="Calle Güigüe Nro. 89-90"/>
    <s v="Colaboración Vigilancia, mes de Febrero/2017"/>
    <s v="Vigilancia"/>
    <s v="https://drive.google.com/open?id=0ByOb8wNqoBtVaXZKdk1qOVM3Tjg"/>
    <s v="00050"/>
    <s v="09 de febrero de 2017"/>
    <d v="2017-02-01T00:00:00"/>
    <s v="4.500,00"/>
    <s v="Cuatro Mil Quinientos Bolívares con 00/100"/>
  </r>
  <r>
    <n v="51"/>
    <m/>
    <s v="ü"/>
    <d v="2017-02-09T00:00:00"/>
    <n v="10500"/>
    <x v="34"/>
    <x v="31"/>
    <s v="Av. &quot;O&quot; Nro. 146-11"/>
    <s v="Colaboración Vigilancia, mes de Enero/2017"/>
    <s v="Vigilancia"/>
    <s v="https://drive.google.com/open?id=0ByOb8wNqoBtVN3BPaFhSVWZpTms"/>
    <s v="00051"/>
    <s v="09 de febrero de 2017"/>
    <d v="2017-02-01T00:00:00"/>
    <s v="10.500,00"/>
    <s v="Diez Mil Quinientos Bolívares con 00/100"/>
  </r>
  <r>
    <n v="52"/>
    <m/>
    <s v="ü"/>
    <d v="2017-02-09T00:00:00"/>
    <n v="10000"/>
    <x v="35"/>
    <x v="32"/>
    <s v="Calle Güigüe Nro. 89-80"/>
    <s v="Colaboración Vigilancia, mes de Enero/2017"/>
    <s v="Vigilancia"/>
    <s v="https://drive.google.com/open?id=0ByOb8wNqoBtVdzdwOHk0RlotOEE"/>
    <s v="00052"/>
    <s v="09 de febrero de 2017"/>
    <d v="2017-02-01T00:00:00"/>
    <s v="10.000,00"/>
    <s v="Diez Mil Bolívares con 00/100"/>
  </r>
  <r>
    <n v="53"/>
    <m/>
    <s v="ü"/>
    <d v="2017-02-11T00:00:00"/>
    <n v="17000"/>
    <x v="36"/>
    <x v="33"/>
    <s v="Calle Güigüe Nro. 89-10"/>
    <s v="Cancelación Vigilancia, mes de Enero/2017"/>
    <s v="Vigilancia"/>
    <s v="https://drive.google.com/open?id=0ByOb8wNqoBtVYlNEMFVTUC1EUjg"/>
    <s v="00053"/>
    <s v="11 de febrero de 2017"/>
    <d v="2017-02-01T00:00:00"/>
    <s v="17.000,00"/>
    <s v="Diecisiete Mil Bolívares con 00/100"/>
  </r>
  <r>
    <n v="54"/>
    <m/>
    <s v="ü"/>
    <d v="2017-02-12T00:00:00"/>
    <n v="17000"/>
    <x v="14"/>
    <x v="13"/>
    <s v="Calle Güigüe Nro. 89-83"/>
    <s v="Cancelación Vigilancia, mes de Febrero/2017"/>
    <s v="Vigilancia"/>
    <s v="https://drive.google.com/open?id=0ByOb8wNqoBtVWnlXMTFuSzA5dm8"/>
    <s v="00054"/>
    <s v="12 de febrero de 2017"/>
    <d v="2017-02-01T00:00:00"/>
    <s v="17.000,00"/>
    <s v="Diecisiete Mil Bolívares con 00/100"/>
  </r>
  <r>
    <n v="55"/>
    <m/>
    <s v="ü"/>
    <d v="2017-02-12T00:00:00"/>
    <n v="17000"/>
    <x v="11"/>
    <x v="11"/>
    <s v="Calle Guacara Nro. 89-86"/>
    <s v="Cancelación Vigilancia, mes de Febrero/2017"/>
    <s v="Vigilancia"/>
    <s v="https://drive.google.com/open?id=0ByOb8wNqoBtVR3NHX2RBVHdMRUE"/>
    <s v="00055"/>
    <s v="12 de febrero de 2017"/>
    <d v="2017-02-01T00:00:00"/>
    <s v="17.000,00"/>
    <s v="Diecisiete Mil Bolívares con 00/100"/>
  </r>
  <r>
    <n v="56"/>
    <m/>
    <s v="ü"/>
    <d v="2017-02-12T00:00:00"/>
    <n v="2040"/>
    <x v="22"/>
    <x v="20"/>
    <s v="Calle Guacara Nro. 88-25"/>
    <s v="Colaboración Vigilancia, mes de Enero/2017"/>
    <s v="Vigilancia"/>
    <s v="https://drive.google.com/open?id=0ByOb8wNqoBtVOFV5X3hsb2tkLXc"/>
    <s v="00056"/>
    <s v="12 de febrero de 2017"/>
    <d v="2017-02-01T00:00:00"/>
    <s v="2.040,00"/>
    <s v="Dos Mil Cuarenta Bolívares con 00/100"/>
  </r>
  <r>
    <n v="57"/>
    <m/>
    <s v="ü"/>
    <d v="2017-02-13T00:00:00"/>
    <n v="10000"/>
    <x v="15"/>
    <x v="14"/>
    <s v="Calle Guacara Nro. 89-94"/>
    <s v="Colaboración Vigilancia, mes de Febrero/2017"/>
    <s v="Vigilancia"/>
    <s v="https://drive.google.com/open?id=0ByOb8wNqoBtVUjQ4Q0swVTVHZEU"/>
    <s v="00057"/>
    <s v="13 de febrero de 2017"/>
    <d v="2017-02-01T00:00:00"/>
    <s v="10.000,00"/>
    <s v="Diez Mil Bolívares con 00/100"/>
  </r>
  <r>
    <n v="58"/>
    <m/>
    <s v="ü"/>
    <d v="2017-02-14T00:00:00"/>
    <n v="17000"/>
    <x v="27"/>
    <x v="25"/>
    <s v="Calle Güigüe Nro. 89-106"/>
    <s v="Cancelación Vigilancia, mes de Febrero/2017"/>
    <s v="Vigilancia"/>
    <s v="https://drive.google.com/open?id=0ByOb8wNqoBtVdWRXdWdtZ1YwdXM"/>
    <s v="00058"/>
    <s v="14 de febrero de 2017"/>
    <d v="2017-02-01T00:00:00"/>
    <s v="17.000,00"/>
    <s v="Diecisiete Mil Bolívares con 00/100"/>
  </r>
  <r>
    <n v="59"/>
    <m/>
    <s v="ü"/>
    <d v="2017-02-14T00:00:00"/>
    <n v="17000"/>
    <x v="19"/>
    <x v="17"/>
    <s v="Calle Guacara Nro. 89-130"/>
    <s v="Cancelación Vigilancia, mes de Febrero/2017"/>
    <s v="Vigilancia"/>
    <s v="https://drive.google.com/open?id=0ByOb8wNqoBtVWHhMdUtYekJUV1U"/>
    <s v="00059"/>
    <s v="14 de febrero de 2017"/>
    <d v="2017-02-01T00:00:00"/>
    <s v="17.000,00"/>
    <s v="Diecisiete Mil Bolívares con 00/100"/>
  </r>
  <r>
    <n v="60"/>
    <m/>
    <s v="ü"/>
    <d v="2017-02-14T00:00:00"/>
    <n v="34000"/>
    <x v="0"/>
    <x v="0"/>
    <s v="Calle Guacara Nro. 88-45"/>
    <s v="Cancelación Vigilancia, meses de Feb-Mar/2017"/>
    <s v="Vigilancia"/>
    <s v="https://drive.google.com/open?id=0ByOb8wNqoBtVM2ZQQjdkOVV6UVE"/>
    <s v="00060"/>
    <s v="14 de febrero de 2017"/>
    <d v="2017-02-01T00:00:00"/>
    <s v="34.000,00"/>
    <s v="Treinta y Cuatro Mil Bolívares con 00/100"/>
  </r>
  <r>
    <n v="61"/>
    <m/>
    <s v="ü"/>
    <d v="2017-02-14T00:00:00"/>
    <n v="17000"/>
    <x v="37"/>
    <x v="34"/>
    <s v="Av. &quot;I&quot; Nro. 146-40"/>
    <s v="Cancelación Vigilancia, mes de Enero/2017"/>
    <s v="Vigilancia"/>
    <s v="https://drive.google.com/open?id=0ByOb8wNqoBtVQWlFM0g0XzIxcU0"/>
    <s v="00061"/>
    <s v="14 de febrero de 2017"/>
    <d v="2017-02-01T00:00:00"/>
    <s v="17.000,00"/>
    <s v="Diecisiete Mil Bolívares con 00/100"/>
  </r>
  <r>
    <n v="62"/>
    <m/>
    <s v="ü"/>
    <d v="2017-02-14T00:00:00"/>
    <n v="17000"/>
    <x v="38"/>
    <x v="35"/>
    <s v="Calle Guacara Nro. 89-78"/>
    <s v="Cancelación Vigilancia, mes de Enero/2017"/>
    <s v="Vigilancia"/>
    <s v="https://drive.google.com/open?id=0ByOb8wNqoBtVTGhxT2p0M2pybG8"/>
    <s v="00062"/>
    <s v="14 de febrero de 2017"/>
    <d v="2017-02-01T00:00:00"/>
    <s v="17.000,00"/>
    <s v="Diecisiete Mil Bolívares con 00/100"/>
  </r>
  <r>
    <n v="63"/>
    <m/>
    <s v="ü"/>
    <d v="2017-02-14T00:00:00"/>
    <n v="17000"/>
    <x v="21"/>
    <x v="19"/>
    <s v="Calle Güigüe Nro. 89-105"/>
    <s v="Cancelación Vigilancia, mes de Febrero/2017"/>
    <s v="Vigilancia"/>
    <s v="https://drive.google.com/open?id=0ByOb8wNqoBtVWF9BSkxwOHgzMDA"/>
    <s v="00063"/>
    <s v="14 de febrero de 2017"/>
    <d v="2017-02-01T00:00:00"/>
    <s v="17.000,00"/>
    <s v="Diecisiete Mil Bolívares con 00/100"/>
  </r>
  <r>
    <n v="64"/>
    <m/>
    <s v="ü"/>
    <d v="2017-02-15T00:00:00"/>
    <n v="17000"/>
    <x v="39"/>
    <x v="36"/>
    <s v="Calle Güigüe Nro. 88-111"/>
    <s v="Cancelación Vigilancia, mes de Enero/2017"/>
    <s v="Vigilancia"/>
    <s v="https://drive.google.com/open?id=0ByOb8wNqoBtVUnJDbUZaZ3k2NDQ"/>
    <s v="00064"/>
    <s v="15 de febrero de 2017"/>
    <d v="2017-02-01T00:00:00"/>
    <s v="17.000,00"/>
    <s v="Diecisiete Mil Bolívares con 00/100"/>
  </r>
  <r>
    <n v="65"/>
    <m/>
    <s v="ü"/>
    <d v="2017-02-15T00:00:00"/>
    <n v="17000"/>
    <x v="10"/>
    <x v="10"/>
    <s v="Av. &quot;M&quot; Nro. 146-15"/>
    <s v="Cancelación Vigilancia, mes de Febrero/2017"/>
    <s v="Vigilancia"/>
    <s v="https://drive.google.com/open?id=0ByOb8wNqoBtVVDhUS2R2Z2xoWTg"/>
    <s v="00065"/>
    <s v="15 de febrero de 2017"/>
    <d v="2017-02-01T00:00:00"/>
    <s v="17.000,00"/>
    <s v="Diecisiete Mil Bolívares con 00/100"/>
  </r>
  <r>
    <n v="66"/>
    <m/>
    <s v="ü"/>
    <d v="2017-02-15T00:00:00"/>
    <n v="17000"/>
    <x v="40"/>
    <x v="37"/>
    <s v="Calle Güigüe Nro. 88-101"/>
    <s v="Cancelación Vigilancia, mes de Enero/2017"/>
    <s v="Vigilancia"/>
    <s v="https://drive.google.com/open?id=0ByOb8wNqoBtVTlB1OEItUXRHYk0"/>
    <s v="00066"/>
    <s v="15 de febrero de 2017"/>
    <d v="2017-02-01T00:00:00"/>
    <s v="17.000,00"/>
    <s v="Diecisiete Mil Bolívares con 00/100"/>
  </r>
  <r>
    <n v="67"/>
    <m/>
    <s v="ü"/>
    <d v="2017-02-15T00:00:00"/>
    <n v="17000"/>
    <x v="41"/>
    <x v="38"/>
    <s v="Calle Güigüe Nro. 88-91"/>
    <s v="Cancelación Vigilancia, mes de Enero/2017"/>
    <s v="Vigilancia"/>
    <s v="https://drive.google.com/open?id=0ByOb8wNqoBtVakxqRFctYlFad0U"/>
    <s v="00067"/>
    <s v="15 de febrero de 2017"/>
    <d v="2017-02-01T00:00:00"/>
    <s v="17.000,00"/>
    <s v="Diecisiete Mil Bolívares con 00/100"/>
  </r>
  <r>
    <n v="68"/>
    <m/>
    <s v="ü"/>
    <d v="2017-02-15T00:00:00"/>
    <n v="34000"/>
    <x v="42"/>
    <x v="39"/>
    <s v="Calle Güigüe Nro. 89-79"/>
    <s v="Cancelación Vigilancia, meses de Ene-Feb/2017"/>
    <s v="Vigilancia"/>
    <s v="https://drive.google.com/open?id=0ByOb8wNqoBtVNFRlVVkyeENWb3c"/>
    <s v="00068"/>
    <s v="15 de febrero de 2017"/>
    <d v="2017-02-01T00:00:00"/>
    <s v="34.000,00"/>
    <s v="Treinta y Cuatro Mil Bolívares con 00/100"/>
  </r>
  <r>
    <n v="69"/>
    <m/>
    <s v="ü"/>
    <d v="2017-02-15T00:00:00"/>
    <n v="10000"/>
    <x v="22"/>
    <x v="20"/>
    <s v="Calle Guacara Nro. 88-25"/>
    <s v="Colaboración Vigilancia, mes de Febrero/2017"/>
    <s v="Vigilancia"/>
    <s v="https://drive.google.com/open?id=0ByOb8wNqoBtVSG1iQnZKWnJRTGM"/>
    <s v="00069"/>
    <s v="15 de febrero de 2017"/>
    <d v="2017-02-01T00:00:00"/>
    <s v="10.000,00"/>
    <s v="Diez Mil Bolívares con 00/100"/>
  </r>
  <r>
    <n v="70"/>
    <m/>
    <s v="û"/>
    <d v="2017-02-16T00:00:00"/>
    <n v="170000"/>
    <x v="0"/>
    <x v="0"/>
    <s v="Calle Guacara Nro. 88-45"/>
    <s v="Anticipo Vigilancia y compra de control"/>
    <s v="Anticipo"/>
    <s v="https://drive.google.com/open?id=0ByOb8wNqoBtVbWtSbzJfSnl2NkE"/>
    <s v="00070"/>
    <s v="16 de febrero de 2017"/>
    <d v="2017-02-01T00:00:00"/>
    <s v="170.000,00"/>
    <s v="Ciento Setenta Mil Bolívares con 00/100"/>
  </r>
  <r>
    <n v="71"/>
    <m/>
    <s v="ü"/>
    <d v="2017-02-16T00:00:00"/>
    <n v="17000"/>
    <x v="29"/>
    <x v="27"/>
    <s v="Calle Guacara Nro. 88-75"/>
    <s v="Cancelación Vigilancia, mes de Febrero/2017"/>
    <s v="Vigilancia"/>
    <s v="https://drive.google.com/open?id=0ByOb8wNqoBtVdXUwLVFWVWlEUDA"/>
    <s v="00071"/>
    <s v="16 de febrero de 2017"/>
    <d v="2017-02-01T00:00:00"/>
    <s v="17.000,00"/>
    <s v="Diecisiete Mil Bolívares con 00/100"/>
  </r>
  <r>
    <n v="72"/>
    <m/>
    <s v="ü"/>
    <d v="2017-02-16T00:00:00"/>
    <n v="17000"/>
    <x v="43"/>
    <x v="40"/>
    <s v="Calle Güigüe Nro. 88-50"/>
    <s v="Cancelación Vigilancia, mes de Enero/2017"/>
    <s v="Vigilancia"/>
    <s v="https://drive.google.com/open?id=0ByOb8wNqoBtVUllDQVNEdWdNVjg"/>
    <s v="00072"/>
    <s v="16 de febrero de 2017"/>
    <d v="2017-02-01T00:00:00"/>
    <s v="17.000,00"/>
    <s v="Diecisiete Mil Bolívares con 00/100"/>
  </r>
  <r>
    <n v="73"/>
    <m/>
    <s v="ü"/>
    <d v="2017-02-16T00:00:00"/>
    <n v="17000"/>
    <x v="20"/>
    <x v="18"/>
    <s v="Calle Guacara Nro. 89-30"/>
    <s v="Cancelación Vigilancia, mes de Febrero/2017"/>
    <s v="Vigilancia"/>
    <s v="https://drive.google.com/open?id=0ByOb8wNqoBtVcDFJWTY3dkhSZWc"/>
    <s v="00073"/>
    <s v="16 de febrero de 2017"/>
    <d v="2017-02-01T00:00:00"/>
    <s v="17.000,00"/>
    <s v="Diecisiete Mil Bolívares con 00/100"/>
  </r>
  <r>
    <n v="74"/>
    <m/>
    <s v="ü"/>
    <d v="2017-02-17T00:00:00"/>
    <n v="17000"/>
    <x v="24"/>
    <x v="22"/>
    <s v="Calle Güigüe Nro. 88-54"/>
    <s v="Cancelación Vigilancia, mes de Febrero/2017"/>
    <s v="Vigilancia"/>
    <s v="https://drive.google.com/open?id=0ByOb8wNqoBtVcWc4NWNJMzBqakE"/>
    <s v="00074"/>
    <s v="17 de febrero de 2017"/>
    <d v="2017-02-01T00:00:00"/>
    <s v="17.000,00"/>
    <s v="Diecisiete Mil Bolívares con 00/100"/>
  </r>
  <r>
    <n v="75"/>
    <m/>
    <s v="ü"/>
    <d v="2017-02-17T00:00:00"/>
    <n v="17000"/>
    <x v="38"/>
    <x v="35"/>
    <s v="Calle Guacara Nro. 89-78"/>
    <s v="Cancelación Vigilancia, mes de Febrero/2017"/>
    <s v="Vigilancia"/>
    <s v="https://drive.google.com/open?id=0ByOb8wNqoBtVRG13cEJ2M3poNFk"/>
    <s v="00075"/>
    <s v="17 de febrero de 2017"/>
    <d v="2017-02-01T00:00:00"/>
    <s v="17.000,00"/>
    <s v="Diecisiete Mil Bolívares con 00/100"/>
  </r>
  <r>
    <n v="76"/>
    <m/>
    <s v="ü"/>
    <d v="2017-02-18T00:00:00"/>
    <n v="17000"/>
    <x v="12"/>
    <x v="12"/>
    <s v="Calle Guacara Nro. 89-20"/>
    <s v="Cancelación Vigilancia, mes de Febrero/2017"/>
    <s v="Vigilancia"/>
    <s v="https://drive.google.com/open?id=0ByOb8wNqoBtVR0hrSGxIT3dpNkk"/>
    <s v="00076"/>
    <s v="18 de febrero de 2017"/>
    <d v="2017-02-01T00:00:00"/>
    <s v="17.000,00"/>
    <s v="Diecisiete Mil Bolívares con 00/100"/>
  </r>
  <r>
    <n v="77"/>
    <m/>
    <s v="ü"/>
    <d v="2017-02-18T00:00:00"/>
    <n v="17000"/>
    <x v="8"/>
    <x v="8"/>
    <s v="Calle Guacara Nro. 90-51"/>
    <s v="Cancelación Vigilancia, mes de Febrero/2017"/>
    <s v="Vigilancia"/>
    <s v="https://drive.google.com/open?id=0ByOb8wNqoBtVSTZKZWhwQ1hZODA"/>
    <s v="00077"/>
    <s v="18 de febrero de 2017"/>
    <d v="2017-02-01T00:00:00"/>
    <s v="17.000,00"/>
    <s v="Diecisiete Mil Bolívares con 00/100"/>
  </r>
  <r>
    <n v="78"/>
    <m/>
    <s v="ü"/>
    <d v="2017-02-18T00:00:00"/>
    <n v="14000"/>
    <x v="44"/>
    <x v="41"/>
    <s v="Calle Guacara Nro. 89-40"/>
    <s v="Anticipo Vigilancia, mes de Enero/2017"/>
    <s v="Vigilancia"/>
    <s v="https://drive.google.com/open?id=0ByOb8wNqoBtVM2RKU0ZLUldzR1U"/>
    <s v="00078"/>
    <s v="18 de febrero de 2017"/>
    <d v="2017-02-01T00:00:00"/>
    <s v="14.000,00"/>
    <s v="Catorce Mil Bolívares con 00/100"/>
  </r>
  <r>
    <n v="79"/>
    <m/>
    <s v="ü"/>
    <d v="2017-02-18T00:00:00"/>
    <n v="10000"/>
    <x v="45"/>
    <x v="42"/>
    <s v="Calle Güigüe Nro. 87-A-11"/>
    <s v="Anticipo Vigilancia, mes de Enero/2017"/>
    <s v="Vigilancia"/>
    <s v="https://drive.google.com/open?id=0ByOb8wNqoBtVeTdod09mT0JMdnc"/>
    <s v="00079"/>
    <s v="18 de febrero de 2017"/>
    <d v="2017-02-01T00:00:00"/>
    <s v="10.000,00"/>
    <s v="Diez Mil Bolívares con 00/100"/>
  </r>
  <r>
    <n v="80"/>
    <m/>
    <s v="ü"/>
    <d v="2017-02-18T00:00:00"/>
    <n v="17000"/>
    <x v="30"/>
    <x v="28"/>
    <s v="Calle Güigüe Nro. 89-04"/>
    <s v="Cancelación Vigilancia, mes de Febrero/2017"/>
    <s v="Vigilancia"/>
    <s v="https://drive.google.com/open?id=0ByOb8wNqoBtVOFNfaUFxSXA2MFk"/>
    <s v="00080"/>
    <s v="18 de febrero de 2017"/>
    <d v="2017-02-01T00:00:00"/>
    <s v="17.000,00"/>
    <s v="Diecisiete Mil Bolívares con 00/100"/>
  </r>
  <r>
    <n v="81"/>
    <m/>
    <s v="ü"/>
    <d v="2017-02-18T00:00:00"/>
    <n v="34000"/>
    <x v="46"/>
    <x v="43"/>
    <s v="Av. &quot;I&quot; Nro. 146-20"/>
    <s v="Cancelación Vigilancia, meses de Ene-Feb/2017"/>
    <s v="Vigilancia"/>
    <s v="https://drive.google.com/open?id=0ByOb8wNqoBtVbGFhMEVMdDkwS2M"/>
    <s v="00081"/>
    <s v="18 de febrero de 2017"/>
    <d v="2017-02-01T00:00:00"/>
    <s v="34.000,00"/>
    <s v="Treinta y Cuatro Mil Bolívares con 00/100"/>
  </r>
  <r>
    <n v="82"/>
    <m/>
    <s v="ü"/>
    <d v="2017-02-19T00:00:00"/>
    <n v="6000"/>
    <x v="47"/>
    <x v="44"/>
    <s v="Calle Güigüe Nro. 88-80"/>
    <s v="Colaboración Vigilancia, mes de Febrero/2017"/>
    <s v="Vigilancia"/>
    <s v="https://drive.google.com/open?id=0ByOb8wNqoBtVTm16QVpmaGpjcDg"/>
    <s v="00082"/>
    <s v="19 de febrero de 2017"/>
    <d v="2017-02-01T00:00:00"/>
    <s v="6.000,00"/>
    <s v="Seis Mil Bolívares con 00/100"/>
  </r>
  <r>
    <n v="83"/>
    <m/>
    <s v="ü"/>
    <d v="2017-02-20T00:00:00"/>
    <n v="2000"/>
    <x v="17"/>
    <x v="16"/>
    <s v="Av. &quot;M&quot; Nro. 146-20"/>
    <s v="Colaboración Vigilancia, mes de Febrero/2017"/>
    <s v="Vigilancia"/>
    <s v="https://drive.google.com/open?id=0ByOb8wNqoBtVbzFKV21LSDBaMTQ"/>
    <s v="00083"/>
    <s v="20 de febrero de 2017"/>
    <d v="2017-02-01T00:00:00"/>
    <s v="2.000,00"/>
    <s v="Dos Mil Bolívares con 00/100"/>
  </r>
  <r>
    <n v="84"/>
    <m/>
    <s v="ü"/>
    <d v="2017-02-20T00:00:00"/>
    <n v="17000"/>
    <x v="43"/>
    <x v="40"/>
    <s v="Calle Güigüe Nro. 88-50"/>
    <s v="Cancelación Vigilancia, mes de Febrero/2017"/>
    <s v="Vigilancia"/>
    <s v="https://drive.google.com/open?id=0ByOb8wNqoBtVblhXQTV6U0ZQN2s"/>
    <s v="00084"/>
    <s v="20 de febrero de 2017"/>
    <d v="2017-02-01T00:00:00"/>
    <s v="17.000,00"/>
    <s v="Diecisiete Mil Bolívares con 00/100"/>
  </r>
  <r>
    <n v="85"/>
    <m/>
    <s v="ü"/>
    <d v="2017-02-20T00:00:00"/>
    <n v="10000"/>
    <x v="35"/>
    <x v="32"/>
    <s v="Calle Güigüe Nro. 89-80"/>
    <s v="Colaboración Vigilancia, mes de Febrero/2017"/>
    <s v="Vigilancia"/>
    <s v="https://drive.google.com/open?id=0ByOb8wNqoBtVYjBuQ3lYdlJqM2M"/>
    <s v="00085"/>
    <s v="20 de febrero de 2017"/>
    <d v="2017-02-01T00:00:00"/>
    <s v="10.000,00"/>
    <s v="Diez Mil Bolívares con 00/100"/>
  </r>
  <r>
    <n v="86"/>
    <m/>
    <s v="ü"/>
    <d v="2017-02-20T00:00:00"/>
    <n v="17000"/>
    <x v="48"/>
    <x v="45"/>
    <s v="Calle Güigüe Nro. 88-90"/>
    <s v="Cancelación Vigilancia, mes de Febrero/2017"/>
    <s v="Vigilancia"/>
    <s v="https://drive.google.com/open?id=0ByOb8wNqoBtVdTZiMWp5M1djRlE"/>
    <s v="00086"/>
    <s v="20 de febrero de 2017"/>
    <d v="2017-02-01T00:00:00"/>
    <s v="17.000,00"/>
    <s v="Diecisiete Mil Bolívares con 00/100"/>
  </r>
  <r>
    <n v="87"/>
    <m/>
    <s v="ü"/>
    <d v="2017-02-20T00:00:00"/>
    <n v="17000"/>
    <x v="18"/>
    <x v="16"/>
    <s v="Calle Guacara Nro. 87-100"/>
    <s v="Cancelación Vigilancia, mes de Febrero/2017"/>
    <s v="Vigilancia"/>
    <s v="https://drive.google.com/open?id=0ByOb8wNqoBtVeHJtMFp0d3Zxd0k"/>
    <s v="00087"/>
    <s v="20 de febrero de 2017"/>
    <d v="2017-02-01T00:00:00"/>
    <s v="17.000,00"/>
    <s v="Diecisiete Mil Bolívares con 00/100"/>
  </r>
  <r>
    <n v="88"/>
    <m/>
    <s v="ü"/>
    <d v="2017-02-22T00:00:00"/>
    <n v="34000"/>
    <x v="49"/>
    <x v="46"/>
    <s v="Av. &quot;O&quot; Nro. 146-17"/>
    <s v="Cancelación Vigilancia, meses de Ene-Feb/2017"/>
    <s v="Vigilancia"/>
    <s v="https://drive.google.com/open?id=0ByOb8wNqoBtVTmhhUDVjeEk4VTg"/>
    <s v="00088"/>
    <s v="22 de febrero de 2017"/>
    <d v="2017-02-01T00:00:00"/>
    <s v="34.000,00"/>
    <s v="Treinta y Cuatro Mil Bolívares con 00/100"/>
  </r>
  <r>
    <n v="89"/>
    <m/>
    <s v="ü"/>
    <d v="2017-02-22T00:00:00"/>
    <n v="34000"/>
    <x v="5"/>
    <x v="5"/>
    <s v="Calle Güigüe Nro. 88-120"/>
    <s v="Cancelación Vigilancia, meses de Feb-Mar/2017"/>
    <s v="Vigilancia"/>
    <s v="https://drive.google.com/open?id=0ByOb8wNqoBtVMVAxRHh5N0RINDA"/>
    <s v="00089"/>
    <s v="22 de febrero de 2017"/>
    <d v="2017-02-01T00:00:00"/>
    <s v="34.000,00"/>
    <s v="Treinta y Cuatro Mil Bolívares con 00/100"/>
  </r>
  <r>
    <n v="90"/>
    <m/>
    <s v="ü"/>
    <d v="2017-02-23T00:00:00"/>
    <n v="17000"/>
    <x v="26"/>
    <x v="24"/>
    <s v="Calle Güigüe Nro. 89-96"/>
    <s v="Cancelación Vigilancia, mes de Febrero/2017"/>
    <s v="Vigilancia"/>
    <s v="https://drive.google.com/open?id=0ByOb8wNqoBtVbmRuMUwxWTU0dE0"/>
    <s v="00090"/>
    <s v="23 de febrero de 2017"/>
    <d v="2017-02-01T00:00:00"/>
    <s v="17.000,00"/>
    <s v="Diecisiete Mil Bolívares con 00/100"/>
  </r>
  <r>
    <n v="91"/>
    <m/>
    <s v="ü"/>
    <d v="2017-02-23T00:00:00"/>
    <n v="10500"/>
    <x v="50"/>
    <x v="47"/>
    <s v="Av. &quot;I&quot; Nro. 146-30"/>
    <s v="Colaboración Vigilancia, mes de Enero/2017"/>
    <s v="Vigilancia"/>
    <s v="https://drive.google.com/open?id=0ByOb8wNqoBtVMC1WZ3ZxQlNDdnM"/>
    <s v="00091"/>
    <s v="23 de febrero de 2017"/>
    <d v="2017-02-01T00:00:00"/>
    <s v="10.500,00"/>
    <s v="Diez Mil Quinientos Bolívares con 00/100"/>
  </r>
  <r>
    <n v="92"/>
    <m/>
    <s v="ü"/>
    <d v="2017-02-23T00:00:00"/>
    <n v="17000"/>
    <x v="32"/>
    <x v="30"/>
    <s v="Calle Güigüe Nro. 89-120"/>
    <s v="Cancelación Vigilancia, mes de Febrero/2017"/>
    <s v="Vigilancia"/>
    <s v="https://drive.google.com/open?id=0ByOb8wNqoBtVY3BmbmVXU1BhRGc"/>
    <s v="00092"/>
    <s v="23 de febrero de 2017"/>
    <d v="2017-02-01T00:00:00"/>
    <s v="17.000,00"/>
    <s v="Diecisiete Mil Bolívares con 00/100"/>
  </r>
  <r>
    <n v="93"/>
    <m/>
    <s v="ü"/>
    <d v="2017-02-24T00:00:00"/>
    <n v="20000"/>
    <x v="51"/>
    <x v="48"/>
    <s v="Calle Guacara Nro. 90-110"/>
    <s v="Colaboración Vigilancia, meses de Enero y Febrero/2017"/>
    <s v="Vigilancia"/>
    <s v="https://drive.google.com/open?id=0ByOb8wNqoBtVODlZNnBTM1Z6NlU"/>
    <s v="00093"/>
    <s v="24 de febrero de 2017"/>
    <d v="2017-02-01T00:00:00"/>
    <s v="20.000,00"/>
    <s v="Veinte Mil Bolívares con 00/100"/>
  </r>
  <r>
    <n v="94"/>
    <m/>
    <s v="ü"/>
    <d v="2017-02-24T00:00:00"/>
    <n v="16000"/>
    <x v="52"/>
    <x v="49"/>
    <s v="Calle Güigüe Nro. 89-45"/>
    <s v="Anticipo Vigilancia, mes de Enero/2017"/>
    <s v="Vigilancia"/>
    <s v="https://drive.google.com/open?id=0ByOb8wNqoBtVWHVhTFJKcGZHWUk"/>
    <s v="00094"/>
    <s v="24 de febrero de 2017"/>
    <d v="2017-02-01T00:00:00"/>
    <s v="16.000,00"/>
    <s v="Dieciséis Mil Bolívares con 00/100"/>
  </r>
  <r>
    <n v="95"/>
    <m/>
    <s v="ü"/>
    <d v="2017-02-23T00:00:00"/>
    <n v="20000"/>
    <x v="53"/>
    <x v="48"/>
    <s v="Calle Guacara Nro. 88-91"/>
    <s v="Colaboración Vigilancia, meses de Enero y Febrero/2017"/>
    <s v="Vigilancia"/>
    <s v="https://drive.google.com/open?id=0ByOb8wNqoBtVRHRIOGp5T3BLbmc"/>
    <s v="00095"/>
    <s v="23 de febrero de 2017"/>
    <d v="2017-02-01T00:00:00"/>
    <s v="20.000,00"/>
    <s v="Veinte Mil Bolívares con 00/100"/>
  </r>
  <r>
    <n v="96"/>
    <m/>
    <s v="ü"/>
    <d v="2017-02-24T00:00:00"/>
    <n v="34000"/>
    <x v="54"/>
    <x v="50"/>
    <s v="Calle Güigüe Nro. 89-21"/>
    <s v="Cancelación Vigilancia, meses de Ene-Feb/2017"/>
    <s v="Vigilancia"/>
    <s v="https://drive.google.com/open?id=0ByOb8wNqoBtVOE52UWMwV2J5ajg"/>
    <s v="00096"/>
    <s v="24 de febrero de 2017"/>
    <d v="2017-02-01T00:00:00"/>
    <s v="34.000,00"/>
    <s v="Treinta y Cuatro Mil Bolívares con 00/100"/>
  </r>
  <r>
    <n v="97"/>
    <m/>
    <s v="ü"/>
    <d v="2017-02-24T00:00:00"/>
    <n v="3000"/>
    <x v="55"/>
    <x v="51"/>
    <s v="Calle Güigüe Nro. 89-16"/>
    <s v="Colaboración Vigilancia, meses de Ene-Feb/2017"/>
    <s v="Vigilancia"/>
    <s v="https://drive.google.com/open?id=0ByOb8wNqoBtVd01iVE5RNTlwbXM"/>
    <s v="00097"/>
    <s v="24 de febrero de 2017"/>
    <d v="2017-02-01T00:00:00"/>
    <s v="3.000,00"/>
    <s v="Tres Mil Bolívares con 00/100"/>
  </r>
  <r>
    <n v="98"/>
    <m/>
    <s v="ü"/>
    <d v="2017-02-25T00:00:00"/>
    <n v="20000"/>
    <x v="56"/>
    <x v="52"/>
    <s v="Calle Güigüe Nro. 88-70"/>
    <s v="Colaboración Vigilancia, meses de Ene-Feb/2017"/>
    <s v="Vigilancia"/>
    <s v="https://drive.google.com/open?id=0ByOb8wNqoBtVSnQtSDhQbFktRmc"/>
    <s v="00098"/>
    <s v="25 de febrero de 2017"/>
    <d v="2017-02-01T00:00:00"/>
    <s v="20.000,00"/>
    <s v="Veinte Mil Bolívares con 00/100"/>
  </r>
  <r>
    <n v="99"/>
    <m/>
    <s v="ü"/>
    <d v="2017-02-25T00:00:00"/>
    <n v="10500"/>
    <x v="2"/>
    <x v="2"/>
    <s v="Calle Guacara Nro. 88-19"/>
    <s v="Colaboración Vigilancia, mes de Febrero/2017"/>
    <s v="Vigilancia"/>
    <s v="https://drive.google.com/open?id=0ByOb8wNqoBtVTllwTk1GcEZFZVE"/>
    <s v="00099"/>
    <s v="25 de febrero de 2017"/>
    <d v="2017-02-01T00:00:00"/>
    <s v="10.500,00"/>
    <s v="Diez Mil Quinientos Bolívares con 00/100"/>
  </r>
  <r>
    <n v="100"/>
    <m/>
    <s v="ü"/>
    <d v="2017-03-01T00:00:00"/>
    <n v="14200"/>
    <x v="18"/>
    <x v="16"/>
    <s v="Calle Guacara Nro. 87-100"/>
    <s v="Anticipo Vigilancia, mes de Marzo/2017"/>
    <s v="Vigilancia"/>
    <s v="https://drive.google.com/open?id=0ByOb8wNqoBtVSTY3V2lRMUxyTzQ"/>
    <s v="00100"/>
    <s v="01 de marzo de 2017"/>
    <d v="2017-03-01T00:00:00"/>
    <s v="14.200,00"/>
    <s v="Catorce Mil Doscientos Bolívares con 00/100"/>
  </r>
  <r>
    <n v="101"/>
    <m/>
    <s v="ü"/>
    <d v="2017-03-02T00:00:00"/>
    <n v="6000"/>
    <x v="57"/>
    <x v="9"/>
    <s v="Calle Güigüe Nro. 88-40"/>
    <s v="Colaboración Vigilancia, meses de Ene-Feb/2017"/>
    <s v="Vigilancia"/>
    <s v="https://drive.google.com/open?id=0ByOb8wNqoBtVU1lmUmtjYmFJOEU"/>
    <s v="00101"/>
    <s v="02 de marzo de 2017"/>
    <d v="2017-03-01T00:00:00"/>
    <s v="6.000,00"/>
    <s v="Seis Mil Bolívares con 00/100"/>
  </r>
  <r>
    <n v="102"/>
    <m/>
    <s v="ü"/>
    <d v="2017-03-02T00:00:00"/>
    <n v="17000"/>
    <x v="16"/>
    <x v="15"/>
    <s v="Calle Guacara Nro. 90-81"/>
    <s v="Cancelación Vigilancia, mes de Marzo/2017"/>
    <s v="Vigilancia"/>
    <s v="https://drive.google.com/open?id=0ByOb8wNqoBtVXzBQUk5oOTdOdnc"/>
    <s v="00102"/>
    <s v="02 de marzo de 2017"/>
    <d v="2017-03-01T00:00:00"/>
    <s v="17.000,00"/>
    <s v="Diecisiete Mil Bolívares con 00/100"/>
  </r>
  <r>
    <n v="103"/>
    <m/>
    <s v="ü"/>
    <d v="2017-03-02T00:00:00"/>
    <n v="2000"/>
    <x v="16"/>
    <x v="15"/>
    <s v="Calle Guacara Nro. 90-81"/>
    <s v="Donación Vigilancia, mes de Marzo/2017"/>
    <s v="Vigilancia"/>
    <s v="https://drive.google.com/open?id=0ByOb8wNqoBtVeUlCb3hya095NGc"/>
    <s v="00103"/>
    <s v="02 de marzo de 2017"/>
    <d v="2017-03-01T00:00:00"/>
    <s v="2.000,00"/>
    <s v="Dos Mil Bolívares con 00/100"/>
  </r>
  <r>
    <n v="104"/>
    <m/>
    <s v="ü"/>
    <d v="2017-03-03T00:00:00"/>
    <n v="24000"/>
    <x v="45"/>
    <x v="42"/>
    <s v="Calle Güigüe Nro. 87-A-11"/>
    <s v="Cancelación Saldo Vigilancia, mes de Enero/2017 y cancelación Vigilancia, mes de Febrero/2017"/>
    <s v="Vigilancia"/>
    <s v="https://drive.google.com/open?id=0ByOb8wNqoBtVdUo1SDNIdi1tRm8"/>
    <s v="00104"/>
    <s v="03 de marzo de 2017"/>
    <d v="2017-03-01T00:00:00"/>
    <s v="24.000,00"/>
    <s v="Veinticuatro Mil Bolívares con 00/100"/>
  </r>
  <r>
    <n v="105"/>
    <m/>
    <s v="ü"/>
    <d v="2017-03-03T00:00:00"/>
    <n v="17000"/>
    <x v="58"/>
    <x v="53"/>
    <s v="Calle Güigüe Nro. 88-51"/>
    <s v="Colaboración Vigilancia, meses de Ene-Mar/2017"/>
    <s v="Vigilancia"/>
    <s v="https://drive.google.com/open?id=0ByOb8wNqoBtVRFlqUkZfeGp5M28"/>
    <s v="00105"/>
    <s v="03 de marzo de 2017"/>
    <d v="2017-03-01T00:00:00"/>
    <s v="17.000,00"/>
    <s v="Diecisiete Mil Bolívares con 00/100"/>
  </r>
  <r>
    <n v="106"/>
    <m/>
    <s v="ü"/>
    <d v="2017-03-05T00:00:00"/>
    <n v="7000"/>
    <x v="7"/>
    <x v="7"/>
    <s v="Calle Guacara Nro. 87-86"/>
    <s v="Colaboración Vigilancia, mes de Marzo/2017"/>
    <s v="Vigilancia"/>
    <s v="https://drive.google.com/open?id=0ByOb8wNqoBtVdlNhb0wyRkNIOTQ"/>
    <s v="00106"/>
    <s v="05 de marzo de 2017"/>
    <d v="2017-03-01T00:00:00"/>
    <s v="7.000,00"/>
    <s v="Siete Mil Bolívares con 00/100"/>
  </r>
  <r>
    <n v="107"/>
    <m/>
    <s v="ü"/>
    <d v="2017-03-05T00:00:00"/>
    <n v="34000"/>
    <x v="59"/>
    <x v="9"/>
    <s v="Calle Guacara Nro. 90-35"/>
    <s v="Cancelación Vigilancia, meses de Ene-Feb/2017"/>
    <s v="Vigilancia"/>
    <s v="https://drive.google.com/open?id=0ByOb8wNqoBtVakQ5Z2l1RTAtNGs"/>
    <s v="00107"/>
    <s v="05 de marzo de 2017"/>
    <d v="2017-03-01T00:00:00"/>
    <s v="34.000,00"/>
    <s v="Treinta y Cuatro Mil Bolívares con 00/100"/>
  </r>
  <r>
    <n v="108"/>
    <m/>
    <s v="ü"/>
    <d v="2017-03-05T00:00:00"/>
    <n v="3000"/>
    <x v="59"/>
    <x v="9"/>
    <s v="Calle Guacara Nro. 90-35"/>
    <s v="Anticipio Vigilancia, mes de Marzo/2017"/>
    <s v="Vigilancia"/>
    <s v="https://drive.google.com/open?id=0ByOb8wNqoBtVcVZvTjdxQUE4cUk"/>
    <s v="00108"/>
    <s v="05 de marzo de 2017"/>
    <d v="2017-03-01T00:00:00"/>
    <s v="3.000,00"/>
    <s v="Tres Mil Bolívares con 00/100"/>
  </r>
  <r>
    <n v="109"/>
    <m/>
    <s v="ü"/>
    <d v="2017-03-06T00:00:00"/>
    <n v="26500"/>
    <x v="60"/>
    <x v="54"/>
    <s v="Calle Guacara Nro. 88-51"/>
    <s v="Colaboración Vigilancia, meses de Ene-Feb/2017"/>
    <s v="Vigilancia"/>
    <s v="https://drive.google.com/open?id=0ByOb8wNqoBtVOVluZ3Z6aGNXSjg"/>
    <s v="00109"/>
    <s v="06 de marzo de 2017"/>
    <d v="2017-03-01T00:00:00"/>
    <s v="26.500,00"/>
    <s v="Veintiseis Mil Quinientos Bolívares con 00/100"/>
  </r>
  <r>
    <n v="110"/>
    <m/>
    <s v="ü"/>
    <d v="2017-03-08T00:00:00"/>
    <n v="17000"/>
    <x v="1"/>
    <x v="1"/>
    <s v="Calle Güigüe Nro. 88-44"/>
    <s v="Cancelación Vigilancia, mes de Marzo/2017"/>
    <s v="Vigilancia"/>
    <s v="https://drive.google.com/open?id=0ByOb8wNqoBtVUlpEa2NybWVrNWc"/>
    <s v="00110"/>
    <s v="08 de marzo de 2017"/>
    <d v="2017-03-01T00:00:00"/>
    <s v="17.000,00"/>
    <s v="Diecisiete Mil Bolívares con 00/100"/>
  </r>
  <r>
    <n v="111"/>
    <m/>
    <s v="ü"/>
    <d v="2017-03-08T00:00:00"/>
    <n v="17000"/>
    <x v="4"/>
    <x v="4"/>
    <s v="Calle Güigüe Nro. 89-55"/>
    <s v="Cancelación Vigilancia, mes de Marzo/2017"/>
    <s v="Vigilancia"/>
    <s v="https://drive.google.com/open?id=0ByOb8wNqoBtVd1Bha1RaTXJVTW8"/>
    <s v="00111"/>
    <s v="08 de marzo de 2017"/>
    <d v="2017-03-01T00:00:00"/>
    <s v="17.000,00"/>
    <s v="Diecisiete Mil Bolívares con 00/100"/>
  </r>
  <r>
    <n v="112"/>
    <m/>
    <s v="ü"/>
    <d v="2017-03-08T00:00:00"/>
    <n v="17000"/>
    <x v="37"/>
    <x v="34"/>
    <s v="Av. &quot;I&quot; Nro. 146-40"/>
    <s v="Cancelación Vigilancia, mes de Febrero/2017"/>
    <s v="Vigilancia"/>
    <s v="https://drive.google.com/open?id=0ByOb8wNqoBtVTjVGLW5McTNyTEU"/>
    <s v="00112"/>
    <s v="08 de marzo de 2017"/>
    <d v="2017-03-01T00:00:00"/>
    <s v="17.000,00"/>
    <s v="Diecisiete Mil Bolívares con 00/100"/>
  </r>
  <r>
    <n v="113"/>
    <m/>
    <s v="ü"/>
    <d v="2017-03-08T00:00:00"/>
    <n v="35000"/>
    <x v="52"/>
    <x v="49"/>
    <s v="Calle Güigüe Nro. 89-45"/>
    <s v="Cancelación Saldo Vigilancia, mes de Enero/2017 y cancelación Vigilancia, meses de Feb-Mar/2017"/>
    <s v="Vigilancia"/>
    <s v="https://drive.google.com/open?id=0ByOb8wNqoBtVVTZMQ3JGNkpOQ2s"/>
    <s v="00113"/>
    <s v="08 de marzo de 2017"/>
    <d v="2017-03-01T00:00:00"/>
    <s v="35.000,00"/>
    <s v="Treinta y Cinco Mil Bolívares con 00/100"/>
  </r>
  <r>
    <n v="114"/>
    <m/>
    <s v="ü"/>
    <d v="2017-03-08T00:00:00"/>
    <n v="17000"/>
    <x v="20"/>
    <x v="18"/>
    <s v="Calle Guacara Nro. 89-30"/>
    <s v="Cancelación Vigilancia, mes de Marzo/2017"/>
    <s v="Vigilancia"/>
    <s v="https://drive.google.com/open?id=0ByOb8wNqoBtVc182N2Job1dvOVk"/>
    <s v="00114"/>
    <s v="08 de marzo de 2017"/>
    <d v="2017-03-01T00:00:00"/>
    <s v="17.000,00"/>
    <s v="Diecisiete Mil Bolívares con 00/100"/>
  </r>
  <r>
    <n v="115"/>
    <m/>
    <s v="ü"/>
    <d v="2017-03-08T00:00:00"/>
    <n v="34000"/>
    <x v="61"/>
    <x v="14"/>
    <s v="Calle Guacara Nro. 87-07"/>
    <s v="Cancelación Vigilancia, meses de Ene-Feb/2017"/>
    <s v="Vigilancia"/>
    <s v="https://drive.google.com/open?id=0ByOb8wNqoBtVY2hIMjBnenBHUlU"/>
    <s v="00115"/>
    <s v="08 de marzo de 2017"/>
    <d v="2017-03-01T00:00:00"/>
    <s v="34.000,00"/>
    <s v="Treinta y Cuatro Mil Bolívares con 00/100"/>
  </r>
  <r>
    <n v="116"/>
    <m/>
    <s v="ü"/>
    <d v="2017-03-08T00:00:00"/>
    <n v="34000"/>
    <x v="62"/>
    <x v="55"/>
    <s v="Av. &quot;M&quot; Nro. 145-10"/>
    <s v="Cancelación Vigilancia, meses de Ene-Feb/2017"/>
    <s v="Vigilancia"/>
    <s v="https://drive.google.com/open?id=0ByOb8wNqoBtVdC1VZzF5Rk9vTEE"/>
    <s v="00116"/>
    <s v="08 de marzo de 2017"/>
    <d v="2017-03-01T00:00:00"/>
    <s v="34.000,00"/>
    <s v="Treinta y Cuatro Mil Bolívares con 00/100"/>
  </r>
  <r>
    <n v="117"/>
    <m/>
    <s v="ü"/>
    <d v="2017-03-10T00:00:00"/>
    <n v="17000"/>
    <x v="12"/>
    <x v="12"/>
    <s v="Calle Guacara Nro. 89-20"/>
    <s v="Cancelación Vigilancia, mes de Marzo/2017"/>
    <s v="Vigilancia"/>
    <s v="https://drive.google.com/open?id=0ByOb8wNqoBtVT0ZVSFpaVlNyN0U"/>
    <s v="00117"/>
    <s v="10 de marzo de 2017"/>
    <d v="2017-03-01T00:00:00"/>
    <s v="17.000,00"/>
    <s v="Diecisiete Mil Bolívares con 00/100"/>
  </r>
  <r>
    <n v="118"/>
    <m/>
    <s v="ü"/>
    <d v="2017-03-10T00:00:00"/>
    <n v="45000"/>
    <x v="63"/>
    <x v="56"/>
    <s v="Calle Guacara Nro. 88-85"/>
    <s v="Colaboración Vigilancia, meses de Ene-Mar/2017"/>
    <s v="Vigilancia"/>
    <s v="https://drive.google.com/open?id=0ByOb8wNqoBtVeC1SNVJRNjFuTVE"/>
    <s v="00118"/>
    <s v="10 de marzo de 2017"/>
    <d v="2017-03-01T00:00:00"/>
    <s v="45.000,00"/>
    <s v="Cuarenta y Cinco Mil Bolívares con 00/100"/>
  </r>
  <r>
    <n v="119"/>
    <m/>
    <s v="ü"/>
    <d v="2017-03-10T00:00:00"/>
    <n v="13613"/>
    <x v="3"/>
    <x v="3"/>
    <s v="Calle Güigüe Nro. 88-62"/>
    <s v="Anticipo Vigilancia, mes de Febrero/2017"/>
    <s v="Vigilancia"/>
    <s v="https://drive.google.com/open?id=0ByOb8wNqoBtVQlRuWnlZdnQ2MEE"/>
    <s v="00119"/>
    <s v="10 de marzo de 2017"/>
    <d v="2017-03-01T00:00:00"/>
    <s v="13.613,00"/>
    <s v="Trece Mil Seiscientos Trece Bolívares con 00/100"/>
  </r>
  <r>
    <n v="120"/>
    <m/>
    <s v="ü"/>
    <d v="2017-03-06T00:00:00"/>
    <n v="17000"/>
    <x v="48"/>
    <x v="45"/>
    <s v="Calle Güigüe Nro. 88-90"/>
    <s v="Cancelación Vigilancia, mes de Enero/2017"/>
    <s v="Vigilancia"/>
    <s v="https://drive.google.com/open?id=0ByOb8wNqoBtVc1NYcl9LRWhfVUU"/>
    <s v="00120"/>
    <s v="06 de marzo de 2017"/>
    <d v="2017-03-01T00:00:00"/>
    <s v="17.000,00"/>
    <s v="Diecisiete Mil Bolívares con 00/100"/>
  </r>
  <r>
    <n v="121"/>
    <m/>
    <s v="ü"/>
    <d v="2017-03-10T00:00:00"/>
    <n v="17000"/>
    <x v="45"/>
    <x v="42"/>
    <s v="Calle Güigüe Nro. 87-A-11"/>
    <s v="Cancelación Vigilancia, mes de Marzo/2017"/>
    <s v="Vigilancia"/>
    <s v="https://drive.google.com/open?id=0ByOb8wNqoBtVbkNhZV92RVBBeDQ"/>
    <s v="00121"/>
    <s v="10 de marzo de 2017"/>
    <d v="2017-03-01T00:00:00"/>
    <s v="17.000,00"/>
    <s v="Diecisiete Mil Bolívares con 00/100"/>
  </r>
  <r>
    <n v="122"/>
    <m/>
    <s v="ü"/>
    <d v="2017-03-10T00:00:00"/>
    <n v="2800"/>
    <x v="18"/>
    <x v="16"/>
    <s v="Calle Guacara Nro. 87-100"/>
    <s v="Cancelación Saldo Vigilancia, mes de Marzo/2017"/>
    <s v="Vigilancia"/>
    <s v="https://drive.google.com/open?id=0ByOb8wNqoBtVajFsUEY4SXhtSG8"/>
    <s v="00122"/>
    <s v="10 de marzo de 2017"/>
    <d v="2017-03-01T00:00:00"/>
    <s v="2.800,00"/>
    <s v="Dos Mil Ochocientos Bolívares con 00/100"/>
  </r>
  <r>
    <n v="123"/>
    <m/>
    <s v="ü"/>
    <d v="2017-03-10T00:00:00"/>
    <n v="10000"/>
    <x v="15"/>
    <x v="14"/>
    <s v="Calle Guacara Nro. 89-94"/>
    <s v="Colaboración Vigilancia, mes de Marzo/2017"/>
    <s v="Vigilancia"/>
    <s v="https://drive.google.com/open?id=0ByOb8wNqoBtVMDl1eDRUSl9QVkU"/>
    <s v="00123"/>
    <s v="10 de marzo de 2017"/>
    <d v="2017-03-01T00:00:00"/>
    <s v="10.000,00"/>
    <s v="Diez Mil Bolívares con 00/100"/>
  </r>
  <r>
    <n v="124"/>
    <m/>
    <s v="ü"/>
    <d v="2017-03-11T00:00:00"/>
    <n v="10000"/>
    <x v="35"/>
    <x v="32"/>
    <s v="Calle Güigüe Nro. 89-80"/>
    <s v="Colaboración Vigilancia, mes de Marzo/2017"/>
    <s v="Vigilancia"/>
    <s v="https://drive.google.com/open?id=0ByOb8wNqoBtVUFhOUEVycGNfNEU"/>
    <s v="00124"/>
    <s v="11 de marzo de 2017"/>
    <d v="2017-03-01T00:00:00"/>
    <s v="10.000,00"/>
    <s v="Diez Mil Bolívares con 00/100"/>
  </r>
  <r>
    <n v="125"/>
    <m/>
    <s v="ü"/>
    <d v="2017-03-11T00:00:00"/>
    <n v="17000"/>
    <x v="64"/>
    <x v="57"/>
    <s v="Calle Guacara Nro. 88-35"/>
    <s v="Cancelación Vigilancia, mes de Enero/2017"/>
    <s v="Vigilancia"/>
    <s v="https://drive.google.com/open?id=0ByOb8wNqoBtVVm9PdXd6U0VPdXM"/>
    <s v="00125"/>
    <s v="11 de marzo de 2017"/>
    <d v="2017-03-01T00:00:00"/>
    <s v="17.000,00"/>
    <s v="Diecisiete Mil Bolívares con 00/100"/>
  </r>
  <r>
    <n v="126"/>
    <m/>
    <s v="ü"/>
    <d v="2017-03-14T00:00:00"/>
    <n v="17000"/>
    <x v="46"/>
    <x v="43"/>
    <s v="Av. &quot;I&quot; Nro. 146-20"/>
    <s v="Cancelación Vigilancia, mes de Marzo/2017"/>
    <s v="Vigilancia"/>
    <s v="https://drive.google.com/open?id=0ByOb8wNqoBtVUU9TdUdRckFETmc"/>
    <s v="00126"/>
    <s v="14 de marzo de 2017"/>
    <d v="2017-03-01T00:00:00"/>
    <s v="17.000,00"/>
    <s v="Diecisiete Mil Bolívares con 00/100"/>
  </r>
  <r>
    <n v="127"/>
    <m/>
    <s v="ü"/>
    <d v="2017-03-10T00:00:00"/>
    <n v="3000"/>
    <x v="17"/>
    <x v="16"/>
    <s v="Av. &quot;M&quot; Nro. 146-20"/>
    <s v="Colaboración Vigilancia, mes de Marzo/2017"/>
    <s v="Vigilancia"/>
    <s v="https://drive.google.com/open?id=0ByOb8wNqoBtVSElUZ2ctWVVhbmc"/>
    <s v="00127"/>
    <s v="10 de marzo de 2017"/>
    <d v="2017-03-01T00:00:00"/>
    <s v="3.000,00"/>
    <s v="Tres Mil Bolívares con 00/100"/>
  </r>
  <r>
    <n v="128"/>
    <m/>
    <s v="ü"/>
    <d v="2017-01-13T00:00:00"/>
    <n v="6500"/>
    <x v="10"/>
    <x v="10"/>
    <s v="Av. &quot;M&quot; Nro. 146-15"/>
    <s v="Cancelación saldo Vigilancia, mes de Enero/2017"/>
    <s v="Vigilancia"/>
    <s v="https://drive.google.com/open?id=0ByOb8wNqoBtVbGZjSklOSWZMMUU"/>
    <s v="00128"/>
    <s v="13 de enero de 2017"/>
    <d v="2017-01-01T00:00:00"/>
    <s v="6.500,00"/>
    <s v="Seis Mil Quinientos Bolívares con 00/100"/>
  </r>
  <r>
    <n v="129"/>
    <m/>
    <s v="ü"/>
    <d v="2017-03-01T00:00:00"/>
    <n v="17000"/>
    <x v="40"/>
    <x v="37"/>
    <s v="Calle Güigüe Nro. 88-101"/>
    <s v="Cancelación Vigilancia, mes de Febrero/2017"/>
    <s v="Vigilancia"/>
    <s v="https://drive.google.com/open?id=0ByOb8wNqoBtVT2tYRlNoMkMwdUE"/>
    <s v="00129"/>
    <s v="01 de marzo de 2017"/>
    <d v="2017-03-01T00:00:00"/>
    <s v="17.000,00"/>
    <s v="Diecisiete Mil Bolívares con 00/100"/>
  </r>
  <r>
    <n v="130"/>
    <m/>
    <s v="ü"/>
    <d v="2017-03-06T00:00:00"/>
    <n v="17000"/>
    <x v="41"/>
    <x v="38"/>
    <s v="Calle Güigüe Nro. 88-91"/>
    <s v="Cancelación Vigilancia, mes de Febrero/2017"/>
    <s v="Vigilancia"/>
    <s v="https://drive.google.com/open?id=0ByOb8wNqoBtVTktPck5mMlpEY3c"/>
    <s v="00130"/>
    <s v="06 de marzo de 2017"/>
    <d v="2017-03-01T00:00:00"/>
    <s v="17.000,00"/>
    <s v="Diecisiete Mil Bolívares con 00/100"/>
  </r>
  <r>
    <n v="131"/>
    <m/>
    <s v="ü"/>
    <d v="2017-02-27T00:00:00"/>
    <n v="17000"/>
    <x v="65"/>
    <x v="58"/>
    <s v="Calle Güigüe Nro. 88-10"/>
    <s v="Cancelación Vigilancia, mes de Enero/2017"/>
    <s v="Vigilancia"/>
    <s v="https://drive.google.com/open?id=0ByOb8wNqoBtVUGJmeHI2UTZKVlE"/>
    <s v="00131"/>
    <s v="27 de febrero de 2017"/>
    <d v="2017-02-01T00:00:00"/>
    <s v="17.000,00"/>
    <s v="Diecisiete Mil Bolívares con 00/100"/>
  </r>
  <r>
    <n v="132"/>
    <m/>
    <s v="ü"/>
    <d v="2017-02-14T00:00:00"/>
    <n v="17000"/>
    <x v="23"/>
    <x v="21"/>
    <s v="Calle Güigüe Nro. 88-116"/>
    <s v="Cancelación Vigilancia, mes de Febrero/2017"/>
    <s v="Vigilancia"/>
    <s v="https://drive.google.com/open?id=0ByOb8wNqoBtVYlpzUXFSREtCTUE"/>
    <s v="00132"/>
    <s v="14 de febrero de 2017"/>
    <d v="2017-02-01T00:00:00"/>
    <s v="17.000,00"/>
    <s v="Diecisiete Mil Bolívares con 00/100"/>
  </r>
  <r>
    <n v="133"/>
    <m/>
    <s v="ü"/>
    <d v="2017-02-14T00:00:00"/>
    <n v="6200"/>
    <x v="6"/>
    <x v="6"/>
    <s v="Calle Guacara Nro. 89-60"/>
    <s v="14/02/2017 Bs. 6.200 - Cancelación control del portón"/>
    <s v="Control"/>
    <s v="https://drive.google.com/open?id=0ByOb8wNqoBtVLWdrMGVUemh6cGs"/>
    <s v="00133"/>
    <s v="14 de febrero de 2017"/>
    <d v="2017-02-01T00:00:00"/>
    <s v="6.200,00"/>
    <s v="Seis Mil Doscientos Bolívares con 00/100"/>
  </r>
  <r>
    <n v="134"/>
    <m/>
    <s v="ü"/>
    <d v="2017-01-11T00:00:00"/>
    <n v="6500"/>
    <x v="8"/>
    <x v="8"/>
    <s v="Calle Guacara Nro. 90-51"/>
    <s v="Cancelación saldo Vigilancia, mes de Enero/2017"/>
    <s v="Vigilancia"/>
    <s v="https://drive.google.com/open?id=0ByOb8wNqoBtVUFJvVmpSWnB4T2M"/>
    <s v="00134"/>
    <s v="11 de enero de 2017"/>
    <d v="2017-01-01T00:00:00"/>
    <s v="6.500,00"/>
    <s v="Seis Mil Quinientos Bolívares con 00/100"/>
  </r>
  <r>
    <n v="135"/>
    <m/>
    <s v="ü"/>
    <d v="2017-02-20T00:00:00"/>
    <n v="34000"/>
    <x v="66"/>
    <x v="59"/>
    <s v="Calle Güigüe Nro. 89-70"/>
    <s v="Cancelación Vigilancia, meses de Ene-Feb/2017"/>
    <s v="Vigilancia"/>
    <s v="https://drive.google.com/open?id=0ByOb8wNqoBtVVHhGTUdTOWd3TVk"/>
    <s v="00135"/>
    <s v="20 de febrero de 2017"/>
    <d v="2017-02-01T00:00:00"/>
    <s v="34.000,00"/>
    <s v="Treinta y Cuatro Mil Bolívares con 00/100"/>
  </r>
  <r>
    <n v="136"/>
    <m/>
    <s v="ü"/>
    <d v="2017-03-14T00:00:00"/>
    <n v="17000"/>
    <x v="23"/>
    <x v="21"/>
    <s v="Calle Güigüe Nro. 88-116"/>
    <s v="Cancelación Vigilancia, mes de Marzo/2017"/>
    <s v="Vigilancia"/>
    <s v="https://drive.google.com/open?id=0ByOb8wNqoBtVNm52V1J6V0N3aUE"/>
    <s v="00136"/>
    <s v="14 de marzo de 2017"/>
    <d v="2017-03-01T00:00:00"/>
    <s v="17.000,00"/>
    <s v="Diecisiete Mil Bolívares con 00/100"/>
  </r>
  <r>
    <n v="137"/>
    <m/>
    <s v="ü"/>
    <d v="2017-03-14T00:00:00"/>
    <n v="5000"/>
    <x v="13"/>
    <x v="9"/>
    <s v="Calle Güigüe Nro. 89-90"/>
    <s v="Colaboración Vigilancia, mes de Marzo/2017"/>
    <s v="Vigilancia"/>
    <s v="https://drive.google.com/open?id=0ByOb8wNqoBtVLVJ1Tk96RUN1M3M"/>
    <s v="00137"/>
    <s v="14 de marzo de 2017"/>
    <d v="2017-03-01T00:00:00"/>
    <s v="5.000,00"/>
    <s v="Cinco Mil Bolívares con 00/100"/>
  </r>
  <r>
    <n v="138"/>
    <m/>
    <s v="ü"/>
    <d v="2017-03-10T00:00:00"/>
    <n v="22000"/>
    <x v="11"/>
    <x v="11"/>
    <s v="Calle Guacara Nro. 89-86"/>
    <s v="Cancelación Vigilancia, mes de Marzo/2017"/>
    <s v="Vigilancia"/>
    <s v="https://drive.google.com/open?id=0ByOb8wNqoBtVcTJ2N1lNUHpoR1k"/>
    <s v="00138"/>
    <s v="10 de marzo de 2017"/>
    <d v="2017-03-01T00:00:00"/>
    <s v="22.000,00"/>
    <s v="Veintidos Mil Bolívares con 00/100"/>
  </r>
  <r>
    <n v="139"/>
    <m/>
    <s v="ü"/>
    <d v="2017-03-16T00:00:00"/>
    <n v="17000"/>
    <x v="6"/>
    <x v="6"/>
    <s v="Calle Guacara Nro. 89-60"/>
    <s v="Cancelación Vigilancia, mes de Marzo/2017"/>
    <s v="Vigilancia"/>
    <s v="https://drive.google.com/open?id=0ByOb8wNqoBtVejltaUpYVXh5VlE"/>
    <s v="00139"/>
    <s v="16 de marzo de 2017"/>
    <d v="2017-03-01T00:00:00"/>
    <s v="17.000,00"/>
    <s v="Diecisiete Mil Bolívares con 00/100"/>
  </r>
  <r>
    <n v="140"/>
    <m/>
    <s v="ü"/>
    <d v="2017-03-19T00:00:00"/>
    <n v="17000"/>
    <x v="61"/>
    <x v="14"/>
    <s v="Calle Guacara Nro. 87-07"/>
    <s v="Cancelación Vigilancia, mes de Marzo/2017"/>
    <s v="Vigilancia"/>
    <s v="https://drive.google.com/open?id=0ByOb8wNqoBtVdWZOUWFPdnR1N1E"/>
    <s v="00140"/>
    <s v="19 de marzo de 2017"/>
    <d v="2017-03-01T00:00:00"/>
    <s v="17.000,00"/>
    <s v="Diecisiete Mil Bolívares con 00/100"/>
  </r>
  <r>
    <n v="141"/>
    <m/>
    <s v="ü"/>
    <d v="2017-03-18T00:00:00"/>
    <n v="10000"/>
    <x v="22"/>
    <x v="20"/>
    <s v="Calle Guacara Nro. 88-25"/>
    <s v="Colaboración Vigilancia, mes de Marzo/2017"/>
    <s v="Vigilancia"/>
    <s v="https://drive.google.com/open?id=0ByOb8wNqoBtVX2NYLWV3YkpZb28"/>
    <s v="00141"/>
    <s v="18 de marzo de 2017"/>
    <d v="2017-03-01T00:00:00"/>
    <s v="10.000,00"/>
    <s v="Diez Mil Bolívares con 00/100"/>
  </r>
  <r>
    <n v="142"/>
    <m/>
    <s v="ü"/>
    <d v="2017-03-16T00:00:00"/>
    <n v="18000"/>
    <x v="60"/>
    <x v="54"/>
    <s v="Calle Guacara Nro. 88-51"/>
    <s v="Colaboración Vigilancia, mes de Marzo/2017 y anticipo Abril/2017"/>
    <s v="Vigilancia"/>
    <s v="https://drive.google.com/open?id=0ByOb8wNqoBtVeHBDSHplc2c4Z2M"/>
    <s v="00142"/>
    <s v="16 de marzo de 2017"/>
    <d v="2017-03-01T00:00:00"/>
    <s v="18.000,00"/>
    <s v="Dieciocho Mil Bolívares con 00/100"/>
  </r>
  <r>
    <n v="143"/>
    <m/>
    <s v="ü"/>
    <d v="2017-03-15T00:00:00"/>
    <n v="17000"/>
    <x v="29"/>
    <x v="27"/>
    <s v="Calle Guacara Nro. 88-75"/>
    <s v="Cancelación Vigilancia, mes de Marzo/2017"/>
    <s v="Vigilancia"/>
    <s v="https://drive.google.com/open?id=0ByOb8wNqoBtVWV95R2U0RFZyYW8"/>
    <s v="00143"/>
    <s v="15 de marzo de 2017"/>
    <d v="2017-03-01T00:00:00"/>
    <s v="17.000,00"/>
    <s v="Diecisiete Mil Bolívares con 00/100"/>
  </r>
  <r>
    <n v="144"/>
    <m/>
    <s v="ü"/>
    <d v="2017-03-16T00:00:00"/>
    <n v="17000"/>
    <x v="19"/>
    <x v="17"/>
    <s v="Calle Guacara Nro. 89-130"/>
    <s v="Cancelación Vigilancia, mes de Marzo/2017"/>
    <s v="Vigilancia"/>
    <s v="https://drive.google.com/open?id=0ByOb8wNqoBtVcjJvNUUza2ZRa0k"/>
    <s v="00144"/>
    <s v="16 de marzo de 2017"/>
    <d v="2017-03-01T00:00:00"/>
    <s v="17.000,00"/>
    <s v="Diecisiete Mil Bolívares con 00/100"/>
  </r>
  <r>
    <n v="145"/>
    <m/>
    <s v="ü"/>
    <d v="2017-03-15T00:00:00"/>
    <n v="17000"/>
    <x v="14"/>
    <x v="13"/>
    <s v="Calle Güigüe Nro. 89-83"/>
    <s v="Cancelación Vigilancia, mes de Marzo/2017"/>
    <s v="Vigilancia"/>
    <s v="https://drive.google.com/open?id=0ByOb8wNqoBtVel83UkE2ZGl3cjA"/>
    <s v="00145"/>
    <s v="15 de marzo de 2017"/>
    <d v="2017-03-01T00:00:00"/>
    <s v="17.000,00"/>
    <s v="Diecisiete Mil Bolívares con 00/100"/>
  </r>
  <r>
    <n v="146"/>
    <m/>
    <s v="ü"/>
    <d v="2017-03-15T00:00:00"/>
    <n v="10500"/>
    <x v="34"/>
    <x v="31"/>
    <s v="Av. &quot;O&quot; Nro. 146-11"/>
    <s v="Anticipo Vigilancia, mes de Febrero/2017"/>
    <s v="Vigilancia"/>
    <s v="https://drive.google.com/open?id=0ByOb8wNqoBtVU0Nna2k1YjJ4aHc"/>
    <s v="00146"/>
    <s v="15 de marzo de 2017"/>
    <d v="2017-03-01T00:00:00"/>
    <s v="10.500,00"/>
    <s v="Diez Mil Quinientos Bolívares con 00/100"/>
  </r>
  <r>
    <n v="147"/>
    <m/>
    <s v="ü"/>
    <d v="2017-03-25T00:00:00"/>
    <n v="17000"/>
    <x v="34"/>
    <x v="31"/>
    <s v="Av. &quot;O&quot; Nro. 146-11"/>
    <s v="Cancelación saldo Vigilancia, mes de Febrero/2017 y anticipo Bs. 10.500 mes de Marzo/2017"/>
    <s v="Vigilancia"/>
    <s v="https://drive.google.com/open?id=0ByOb8wNqoBtVbWI4bUszb2tYckk"/>
    <s v="00147"/>
    <s v="25 de marzo de 2017"/>
    <d v="2017-03-01T00:00:00"/>
    <s v="17.000,00"/>
    <s v="Diecisiete Mil Bolívares con 00/100"/>
  </r>
  <r>
    <n v="148"/>
    <m/>
    <s v="ü"/>
    <d v="2017-03-21T00:00:00"/>
    <n v="17000"/>
    <x v="36"/>
    <x v="33"/>
    <s v="Calle Güigüe Nro. 89-10"/>
    <s v="Cancelación Vigilancia, mes de Febrero/2017"/>
    <s v="Vigilancia"/>
    <s v="https://drive.google.com/open?id=0ByOb8wNqoBtVcGNWQVhDdkhfVXc"/>
    <s v="00148"/>
    <s v="21 de marzo de 2017"/>
    <d v="2017-03-01T00:00:00"/>
    <s v="17.000,00"/>
    <s v="Diecisiete Mil Bolívares con 00/100"/>
  </r>
  <r>
    <n v="149"/>
    <m/>
    <s v="ü"/>
    <d v="2017-03-24T00:00:00"/>
    <n v="17000"/>
    <x v="32"/>
    <x v="30"/>
    <s v="Calle Güigüe Nro. 89-120"/>
    <s v="Cancelación Vigilancia, mes de Marzo/2017"/>
    <s v="Vigilancia"/>
    <s v="https://drive.google.com/open?id=0ByOb8wNqoBtVcFRNQVpiR0dNS2M"/>
    <s v="00149"/>
    <s v="24 de marzo de 2017"/>
    <d v="2017-03-01T00:00:00"/>
    <s v="17.000,00"/>
    <s v="Diecisiete Mil Bolívares con 00/100"/>
  </r>
  <r>
    <n v="150"/>
    <m/>
    <s v="ü"/>
    <d v="2017-03-26T00:00:00"/>
    <n v="3000"/>
    <x v="57"/>
    <x v="9"/>
    <s v="Calle Güigüe Nro. 88-40"/>
    <s v="Colaboración Vigilancia, mes de Marzo/2017"/>
    <s v="Vigilancia"/>
    <s v="https://drive.google.com/open?id=0ByOb8wNqoBtVZTJBYXhQdlBrX0k"/>
    <s v="00150"/>
    <s v="26 de marzo de 2017"/>
    <d v="2017-03-01T00:00:00"/>
    <s v="3.000,00"/>
    <s v="Tres Mil Bolívares con 00/100"/>
  </r>
  <r>
    <n v="151"/>
    <m/>
    <s v="ü"/>
    <d v="2017-03-27T00:00:00"/>
    <n v="17000"/>
    <x v="24"/>
    <x v="22"/>
    <s v="Calle Güigüe Nro. 88-54"/>
    <s v="Cancelación Vigilancia, mes de Marzo/2017"/>
    <s v="Vigilancia"/>
    <s v="https://drive.google.com/open?id=0ByOb8wNqoBtVQm55c1Jmdm54bTg"/>
    <s v="00151"/>
    <s v="27 de marzo de 2017"/>
    <d v="2017-03-01T00:00:00"/>
    <s v="17.000,00"/>
    <s v="Diecisiete Mil Bolívares con 00/100"/>
  </r>
  <r>
    <n v="152"/>
    <m/>
    <s v="ü"/>
    <d v="2017-03-30T00:00:00"/>
    <n v="4000"/>
    <x v="28"/>
    <x v="26"/>
    <s v="Calle Güigüe Nro. 88-30"/>
    <s v="Colaboración Vigilancia, mes de Marzo/2017"/>
    <s v="Vigilancia"/>
    <s v="https://drive.google.com/open?id=0ByOb8wNqoBtVLTlOUkRqZEtQYms"/>
    <s v="00152"/>
    <s v="30 de marzo de 2017"/>
    <d v="2017-03-01T00:00:00"/>
    <s v="4.000,00"/>
    <s v="Cuatro Mil Bolívares con 00/100"/>
  </r>
  <r>
    <n v="153"/>
    <m/>
    <s v="ü"/>
    <d v="2017-03-30T00:00:00"/>
    <n v="10000"/>
    <x v="56"/>
    <x v="52"/>
    <s v="Calle Güigüe Nro. 88-70"/>
    <s v="Colaboración Vigilancia, mes de Marzo/2017"/>
    <s v="Vigilancia"/>
    <s v="https://drive.google.com/open?id=0ByOb8wNqoBtVb0J3bGZITmRla0k"/>
    <s v="00153"/>
    <s v="30 de marzo de 2017"/>
    <d v="2017-03-01T00:00:00"/>
    <s v="10.000,00"/>
    <s v="Diez Mil Bolívares con 00/100"/>
  </r>
  <r>
    <n v="154"/>
    <m/>
    <s v="ü"/>
    <d v="2017-04-04T00:00:00"/>
    <n v="17000"/>
    <x v="20"/>
    <x v="18"/>
    <s v="Calle Guacara Nro. 89-30"/>
    <s v="Cancelación Vigilancia, mes de Abril/2017"/>
    <s v="Vigilancia"/>
    <m/>
    <s v="00154"/>
    <s v="04 de abril de 2017"/>
    <d v="2017-04-01T00:00:00"/>
    <s v="17.000,00"/>
    <s v="Diecisiete Mil Bolívares con 00/100"/>
  </r>
  <r>
    <n v="155"/>
    <m/>
    <s v="ü"/>
    <d v="2017-04-04T00:00:00"/>
    <n v="21000"/>
    <x v="2"/>
    <x v="2"/>
    <s v="Calle Guacara Nro. 88-19"/>
    <s v="Colaboración Vigilancia, meses de Mar-Abr/2017"/>
    <s v="Vigilancia"/>
    <m/>
    <s v="00155"/>
    <s v="04 de abril de 2017"/>
    <d v="2017-04-01T00:00:00"/>
    <s v="21.000,00"/>
    <s v="Veintiun Mil Bolívares con 00/100"/>
  </r>
  <r>
    <n v="156"/>
    <m/>
    <s v="ü"/>
    <d v="2017-03-27T00:00:00"/>
    <n v="34000"/>
    <x v="64"/>
    <x v="57"/>
    <s v="Calle Guacara Nro. 88-35"/>
    <s v="Cancelación Vigilancia, meses de Feb-Mar/2017"/>
    <s v="Vigilancia"/>
    <m/>
    <s v="00156"/>
    <s v="27 de marzo de 2017"/>
    <d v="2017-03-01T00:00:00"/>
    <s v="34.000,00"/>
    <s v="Treinta y Cuatro Mil Bolívares con 00/100"/>
  </r>
  <r>
    <n v="157"/>
    <m/>
    <s v="ü"/>
    <d v="2017-03-24T00:00:00"/>
    <n v="7000"/>
    <x v="67"/>
    <x v="9"/>
    <s v="Calle Guacara Nro. 90-93"/>
    <s v="Colaboración Vigilancia, meses de Noviembre/2016 a Enero/2017"/>
    <s v="Vigilancia"/>
    <m/>
    <s v="00157"/>
    <s v="24 de marzo de 2017"/>
    <d v="2017-03-01T00:00:00"/>
    <s v="7.000,00"/>
    <s v="Siete Mil Bolívares con 00/100"/>
  </r>
  <r>
    <n v="158"/>
    <m/>
    <s v="ü"/>
    <d v="2017-03-26T00:00:00"/>
    <n v="17000"/>
    <x v="27"/>
    <x v="25"/>
    <s v="Calle Güigüe Nro. 89-106"/>
    <s v="Cancelación Vigilancia, mes de Marzo/2017"/>
    <s v="Vigilancia"/>
    <m/>
    <s v="00158"/>
    <s v="26 de marzo de 2017"/>
    <d v="2017-03-01T00:00:00"/>
    <s v="17.000,00"/>
    <s v="Diecisiete Mil Bolívares con 00/100"/>
  </r>
  <r>
    <n v="159"/>
    <m/>
    <s v="ü"/>
    <d v="2017-03-31T00:00:00"/>
    <n v="17000"/>
    <x v="38"/>
    <x v="35"/>
    <s v="Calle Guacara Nro. 89-78"/>
    <s v="Cancelación Vigilancia, mes de Marzo/2017"/>
    <s v="Vigilancia"/>
    <m/>
    <s v="00159"/>
    <s v="31 de marzo de 2017"/>
    <d v="2017-03-01T00:00:00"/>
    <s v="17.000,00"/>
    <s v="Diecisiete Mil Bolívares con 00/100"/>
  </r>
  <r>
    <n v="160"/>
    <m/>
    <s v="ü"/>
    <d v="2017-03-31T00:00:00"/>
    <n v="17000"/>
    <x v="10"/>
    <x v="10"/>
    <s v="Av. &quot;M&quot; Nro. 146-15"/>
    <s v="Cancelación Vigilancia, mes de Marzo/2017"/>
    <s v="Vigilancia"/>
    <m/>
    <s v="00160"/>
    <s v="31 de marzo de 2017"/>
    <d v="2017-03-01T00:00:00"/>
    <s v="17.000,00"/>
    <s v="Diecisiete Mil Bolívares con 00/100"/>
  </r>
  <r>
    <n v="161"/>
    <m/>
    <s v="ü"/>
    <d v="2017-03-27T00:00:00"/>
    <n v="34000"/>
    <x v="42"/>
    <x v="39"/>
    <s v="Calle Güigüe Nro. 89-79"/>
    <s v="Cancelación Vigilancia, meses de Mar-Abr/2017"/>
    <s v="Vigilancia"/>
    <m/>
    <s v="00161"/>
    <s v="27 de marzo de 2017"/>
    <d v="2017-03-01T00:00:00"/>
    <s v="34.000,00"/>
    <s v="Treinta y Cuatro Mil Bolívares con 00/100"/>
  </r>
  <r>
    <n v="162"/>
    <m/>
    <s v="ü"/>
    <d v="2017-04-03T00:00:00"/>
    <n v="10000"/>
    <x v="68"/>
    <x v="60"/>
    <s v="Calle Güigüe Nro. 89-29"/>
    <s v="Colaboración Vigilancia, mes de Abril/2017"/>
    <s v="Vigilancia"/>
    <m/>
    <s v="00162"/>
    <s v="03 de abril de 2017"/>
    <d v="2017-04-01T00:00:00"/>
    <s v="10.000,00"/>
    <s v="Diez Mil Bolívares con 00/100"/>
  </r>
  <r>
    <n v="163"/>
    <m/>
    <s v="ü"/>
    <d v="2017-04-05T00:00:00"/>
    <n v="17000"/>
    <x v="6"/>
    <x v="6"/>
    <s v="Calle Guacara Nro. 89-60"/>
    <s v="Cancelación Vigilancia, mes de Abril/2017"/>
    <s v="Vigilancia"/>
    <m/>
    <s v="00163"/>
    <s v="05 de abril de 2017"/>
    <d v="2017-04-01T00:00:00"/>
    <s v="17.000,00"/>
    <s v="Diecisiete Mil Bolívares con 00/100"/>
  </r>
  <r>
    <n v="164"/>
    <m/>
    <s v="ü"/>
    <d v="2017-04-06T00:00:00"/>
    <n v="17000"/>
    <x v="1"/>
    <x v="1"/>
    <s v="Calle Güigüe Nro. 88-44"/>
    <s v="Cancelación Vigilancia, mes de Abril/2017"/>
    <s v="Vigilancia"/>
    <m/>
    <s v="00164"/>
    <s v="06 de abril de 2017"/>
    <d v="2017-04-01T00:00:00"/>
    <s v="17.000,00"/>
    <s v="Diecisiete Mil Bolívares con 00/100"/>
  </r>
  <r>
    <n v="165"/>
    <m/>
    <s v="ü"/>
    <d v="2017-04-06T00:00:00"/>
    <n v="17000"/>
    <x v="0"/>
    <x v="0"/>
    <s v="Calle Guacara Nro. 88-45"/>
    <s v="Cancelación Vigilancia, mes de Abril/2017"/>
    <s v="Vigilancia"/>
    <m/>
    <s v="00165"/>
    <s v="06 de abril de 2017"/>
    <d v="2017-04-01T00:00:00"/>
    <s v="17.000,00"/>
    <s v="Diecisiete Mil Bolívares con 00/100"/>
  </r>
  <r>
    <n v="166"/>
    <m/>
    <s v="ü"/>
    <d v="2017-04-06T00:00:00"/>
    <n v="14000"/>
    <x v="59"/>
    <x v="9"/>
    <s v="Calle Guacara Nro. 90-35"/>
    <s v="Cancelación Saldo Vigilancia, mes de Mar/2017"/>
    <s v="Vigilancia"/>
    <m/>
    <s v="00166"/>
    <s v="06 de abril de 2017"/>
    <d v="2017-04-01T00:00:00"/>
    <s v="14.000,00"/>
    <s v="Catorce Mil Bolívares con 00/100"/>
  </r>
  <r>
    <n v="167"/>
    <m/>
    <s v="ü"/>
    <d v="2017-03-15T00:00:00"/>
    <n v="17000"/>
    <x v="40"/>
    <x v="37"/>
    <s v="Calle Güigüe Nro. 88-101"/>
    <s v="Cancelación Vigilancia, mes de Marzo/2017"/>
    <s v="Vigilancia"/>
    <m/>
    <s v="00167"/>
    <s v="15 de marzo de 2017"/>
    <d v="2017-03-01T00:00:00"/>
    <s v="17.000,00"/>
    <s v="Diecisiete Mil Bolívares con 00/100"/>
  </r>
  <r>
    <n v="168"/>
    <m/>
    <s v="ü"/>
    <d v="2017-04-05T00:00:00"/>
    <n v="17000"/>
    <x v="43"/>
    <x v="40"/>
    <s v="Calle Güigüe Nro. 88-50"/>
    <s v="Cancelación Vigilancia, mes de Marzo/2017"/>
    <s v="Vigilancia"/>
    <m/>
    <s v="00168"/>
    <s v="05 de abril de 2017"/>
    <d v="2017-04-01T00:00:00"/>
    <s v="17.000,00"/>
    <s v="Diecisiete Mil Bolívares con 00/100"/>
  </r>
  <r>
    <n v="169"/>
    <m/>
    <s v="ü"/>
    <d v="2017-04-06T00:00:00"/>
    <n v="17000"/>
    <x v="14"/>
    <x v="13"/>
    <s v="Calle Güigüe Nro. 89-83"/>
    <s v="Cancelación Vigilancia, mes de Abril/2017"/>
    <s v="Vigilancia"/>
    <m/>
    <s v="00169"/>
    <s v="06 de abril de 2017"/>
    <d v="2017-04-01T00:00:00"/>
    <s v="17.000,00"/>
    <s v="Diecisiete Mil Bolívares con 00/100"/>
  </r>
  <r>
    <n v="170"/>
    <m/>
    <s v="ü"/>
    <d v="2017-04-09T00:00:00"/>
    <n v="17000"/>
    <x v="4"/>
    <x v="4"/>
    <s v="Calle Güigüe Nro. 89-55"/>
    <s v="Cancelación Vigilancia, mes de Abril/2017"/>
    <s v="Vigilancia"/>
    <m/>
    <s v="00170"/>
    <s v="09 de abril de 2017"/>
    <d v="2017-04-01T00:00:00"/>
    <s v="17.000,00"/>
    <s v="Diecisiete Mil Bolívares con 00/100"/>
  </r>
  <r>
    <n v="171"/>
    <m/>
    <s v="ü"/>
    <d v="2017-03-13T00:00:00"/>
    <n v="17000"/>
    <x v="26"/>
    <x v="24"/>
    <s v="Calle Güigüe Nro. 89-96"/>
    <s v="Cancelación Vigilancia, mes de Marzo/2017"/>
    <s v="Vigilancia"/>
    <m/>
    <s v="00171"/>
    <s v="13 de marzo de 2017"/>
    <d v="2017-03-01T00:00:00"/>
    <s v="17.000,00"/>
    <s v="Diecisiete Mil Bolívares con 00/100"/>
  </r>
  <r>
    <n v="172"/>
    <m/>
    <s v="ü"/>
    <d v="2017-04-08T00:00:00"/>
    <n v="17000"/>
    <x v="26"/>
    <x v="24"/>
    <s v="Calle Güigüe Nro. 89-96"/>
    <s v="Cancelación Vigilancia, mes de Abril/2017"/>
    <s v="Vigilancia"/>
    <m/>
    <s v="00172"/>
    <s v="08 de abril de 2017"/>
    <d v="2017-04-01T00:00:00"/>
    <s v="17.000,00"/>
    <s v="Diecisiete Mil Bolívares con 00/100"/>
  </r>
  <r>
    <n v="173"/>
    <m/>
    <s v="ü"/>
    <d v="2017-04-11T00:00:00"/>
    <n v="10000"/>
    <x v="35"/>
    <x v="32"/>
    <s v="Calle Güigüe Nro. 89-80"/>
    <s v="Colaboración Vigilancia, mes de Abril/2017"/>
    <s v="Vigilancia"/>
    <m/>
    <s v="00173"/>
    <s v="11 de abril de 2017"/>
    <d v="2017-04-01T00:00:00"/>
    <s v="10.000,00"/>
    <s v="Diez Mil Bolívares con 00/100"/>
  </r>
  <r>
    <n v="174"/>
    <m/>
    <s v="ü"/>
    <d v="2017-04-12T00:00:00"/>
    <n v="34000"/>
    <x v="37"/>
    <x v="34"/>
    <s v="Av. &quot;I&quot; Nro. 146-40"/>
    <s v="Cancelación Vigilancia, meses de Mar-Abr/2017"/>
    <s v="Vigilancia"/>
    <m/>
    <s v="00174"/>
    <s v="12 de abril de 2017"/>
    <d v="2017-04-01T00:00:00"/>
    <s v="34.000,00"/>
    <s v="Treinta y Cuatro Mil Bolívares con 00/100"/>
  </r>
  <r>
    <n v="175"/>
    <m/>
    <s v="ü"/>
    <d v="2017-04-06T00:00:00"/>
    <n v="5000"/>
    <x v="13"/>
    <x v="9"/>
    <s v="Calle Güigüe Nro. 89-90"/>
    <s v="Colaboración Vigilancia, mes de Abril/2017"/>
    <s v="Vigilancia"/>
    <m/>
    <s v="00175"/>
    <s v="06 de abril de 2017"/>
    <d v="2017-04-01T00:00:00"/>
    <s v="5.000,00"/>
    <s v="Cinco Mil Bolívares con 00/100"/>
  </r>
  <r>
    <n v="176"/>
    <m/>
    <s v="ü"/>
    <d v="2017-04-06T00:00:00"/>
    <n v="12000"/>
    <x v="25"/>
    <x v="23"/>
    <s v="Calle Güigüe Nro. 88-58"/>
    <s v="Colaboración Vigilancia, mes de Febrero/2017"/>
    <s v="Vigilancia"/>
    <m/>
    <s v="00176"/>
    <s v="06 de abril de 2017"/>
    <d v="2017-04-01T00:00:00"/>
    <s v="12.000,00"/>
    <s v="Doce Mil Bolívares con 00/100"/>
  </r>
  <r>
    <n v="177"/>
    <m/>
    <s v="ü"/>
    <d v="2017-04-16T00:00:00"/>
    <n v="17000"/>
    <x v="12"/>
    <x v="12"/>
    <s v="Calle Guacara Nro. 89-20"/>
    <s v="Cancelación Vigilancia, mes de Abril/2017"/>
    <s v="Vigilancia"/>
    <m/>
    <s v="00177"/>
    <s v="16 de abril de 2017"/>
    <d v="2017-04-01T00:00:00"/>
    <s v="17.000,00"/>
    <s v="Diecisiete Mil Bolívares con 00/100"/>
  </r>
  <r>
    <n v="178"/>
    <m/>
    <s v="ü"/>
    <d v="2017-04-17T00:00:00"/>
    <n v="44000"/>
    <x v="11"/>
    <x v="11"/>
    <s v="Calle Guacara Nro. 89-86"/>
    <s v="Cancelación Vigilancia, meses de Abril y Mayo/2017 *DEFINITIVO*"/>
    <s v="Vigilancia"/>
    <m/>
    <s v="00178"/>
    <s v="17 de abril de 2017"/>
    <d v="2017-04-01T00:00:00"/>
    <s v="44.000,00"/>
    <s v="Cuarenta y Cuatro Mil Bolívares con 00/100"/>
  </r>
  <r>
    <n v="179"/>
    <m/>
    <s v="ü"/>
    <d v="2017-04-17T00:00:00"/>
    <n v="10000"/>
    <x v="22"/>
    <x v="20"/>
    <s v="Calle Guacara Nro. 88-25"/>
    <s v="Colaboración Vigilancia, mes de Abril/2017"/>
    <s v="Vigilancia"/>
    <m/>
    <s v="00179"/>
    <s v="17 de abril de 2017"/>
    <d v="2017-04-01T00:00:00"/>
    <s v="10.000,00"/>
    <s v="Diez Mil Bolívares con 00/100"/>
  </r>
  <r>
    <n v="180"/>
    <m/>
    <s v="ü"/>
    <d v="2017-04-17T00:00:00"/>
    <n v="17000"/>
    <x v="29"/>
    <x v="27"/>
    <s v="Calle Guacara Nro. 88-75"/>
    <s v="Cancelación Vigilancia, mes de Abril/2017"/>
    <s v="Vigilancia"/>
    <m/>
    <s v="00180"/>
    <s v="17 de abril de 2017"/>
    <d v="2017-04-01T00:00:00"/>
    <s v="17.000,00"/>
    <s v="Diecisiete Mil Bolívares con 00/100"/>
  </r>
  <r>
    <n v="181"/>
    <m/>
    <s v="ü"/>
    <d v="2017-04-16T00:00:00"/>
    <n v="17000"/>
    <x v="19"/>
    <x v="17"/>
    <s v="Calle Guacara Nro. 89-130"/>
    <s v="Cancelación Vigilancia, mes de Abril/2017"/>
    <s v="Vigilancia"/>
    <m/>
    <s v="00181"/>
    <s v="16 de abril de 2017"/>
    <d v="2017-04-01T00:00:00"/>
    <s v="17.000,00"/>
    <s v="Diecisiete Mil Bolívares con 00/100"/>
  </r>
  <r>
    <n v="182"/>
    <m/>
    <s v="ü"/>
    <d v="2017-04-17T00:00:00"/>
    <n v="32000"/>
    <x v="48"/>
    <x v="45"/>
    <s v="Calle Güigüe Nro. 88-90"/>
    <s v="Colaboración Vigilancia, meses de Mar-Abr/2017"/>
    <s v="Vigilancia"/>
    <m/>
    <s v="00182"/>
    <s v="17 de abril de 2017"/>
    <d v="2017-04-01T00:00:00"/>
    <s v="32.000,00"/>
    <s v="Treinta y Dos Mil Bolívares con 00/100"/>
  </r>
  <r>
    <n v="183"/>
    <m/>
    <s v="ü"/>
    <d v="2017-04-18T00:00:00"/>
    <n v="17000"/>
    <x v="32"/>
    <x v="30"/>
    <s v="Calle Güigüe Nro. 89-120"/>
    <s v="Cancelación Vigilancia, mes de Abril/2017"/>
    <s v="Vigilancia"/>
    <m/>
    <s v="00183"/>
    <s v="18 de abril de 2017"/>
    <d v="2017-04-01T00:00:00"/>
    <s v="17.000,00"/>
    <s v="Diecisiete Mil Bolívares con 00/100"/>
  </r>
  <r>
    <n v="184"/>
    <m/>
    <s v="ü"/>
    <d v="2017-04-17T00:00:00"/>
    <n v="34000"/>
    <x v="54"/>
    <x v="50"/>
    <s v="Calle Güigüe Nro. 89-21"/>
    <s v="Cancelación Vigilancia, meses de Mar-Abr/2017"/>
    <s v="Vigilancia"/>
    <m/>
    <s v="00184"/>
    <s v="17 de abril de 2017"/>
    <d v="2017-04-01T00:00:00"/>
    <s v="34.000,00"/>
    <s v="Treinta y Cuatro Mil Bolívares con 00/100"/>
  </r>
  <r>
    <n v="185"/>
    <m/>
    <s v="ü"/>
    <d v="2017-04-17T00:00:00"/>
    <n v="17000"/>
    <x v="61"/>
    <x v="14"/>
    <s v="Calle Guacara Nro. 87-07"/>
    <s v="Cancelación Vigilancia, mes de Abril/2017"/>
    <s v="Vigilancia"/>
    <m/>
    <s v="00185"/>
    <s v="17 de abril de 2017"/>
    <d v="2017-04-01T00:00:00"/>
    <s v="17.000,00"/>
    <s v="Diecisiete Mil Bolívares con 00/100"/>
  </r>
  <r>
    <n v="186"/>
    <m/>
    <s v="ü"/>
    <d v="2017-04-20T00:00:00"/>
    <n v="10000"/>
    <x v="15"/>
    <x v="14"/>
    <s v="Calle Guacara Nro. 89-94"/>
    <s v="Colaboración Vigilancia, mes de Abril/2017"/>
    <s v="Vigilancia"/>
    <m/>
    <s v="00186"/>
    <s v="20 de abril de 2017"/>
    <d v="2017-04-01T00:00:00"/>
    <s v="10.000,00"/>
    <s v="Diez Mil Bolívares con 00/100"/>
  </r>
  <r>
    <n v="187"/>
    <m/>
    <s v="ü"/>
    <d v="2017-04-06T00:00:00"/>
    <n v="7000"/>
    <x v="7"/>
    <x v="7"/>
    <s v="Calle Guacara Nro. 87-86"/>
    <s v="Colaboración Vigilancia, mes de Abril/2017"/>
    <s v="Vigilancia"/>
    <m/>
    <s v="00187"/>
    <s v="06 de abril de 2017"/>
    <d v="2017-04-01T00:00:00"/>
    <s v="7.000,00"/>
    <s v="Siete Mil Bolívares con 00/100"/>
  </r>
  <r>
    <n v="188"/>
    <m/>
    <s v="ü"/>
    <d v="2017-04-20T00:00:00"/>
    <n v="3000"/>
    <x v="57"/>
    <x v="9"/>
    <s v="Calle Güigüe Nro. 88-40"/>
    <s v="Colaboración Vigilancia, mes de Abril/2017"/>
    <s v="Vigilancia"/>
    <m/>
    <s v="00188"/>
    <s v="20 de abril de 2017"/>
    <d v="2017-04-01T00:00:00"/>
    <s v="3.000,00"/>
    <s v="Tres Mil Bolívares con 00/100"/>
  </r>
  <r>
    <n v="189"/>
    <m/>
    <s v="ü"/>
    <d v="2017-01-15T00:00:00"/>
    <n v="12000"/>
    <x v="69"/>
    <x v="61"/>
    <s v="Calle Güigüe Nro. 89-40"/>
    <s v="Colaboración Vigilancia, mes de Enero/2017"/>
    <s v="Vigilancia"/>
    <m/>
    <s v="00189"/>
    <s v="15 de enero de 2017"/>
    <d v="2017-01-01T00:00:00"/>
    <s v="12.000,00"/>
    <s v="Doce Mil Bolívares con 00/100"/>
  </r>
  <r>
    <n v="190"/>
    <m/>
    <s v="ü"/>
    <d v="2017-02-16T00:00:00"/>
    <n v="12000"/>
    <x v="69"/>
    <x v="61"/>
    <s v="Calle Güigüe Nro. 89-40"/>
    <s v="Colaboración Vigilancia, mes de Febrero/2017"/>
    <s v="Vigilancia"/>
    <m/>
    <s v="00190"/>
    <s v="16 de febrero de 2017"/>
    <d v="2017-02-01T00:00:00"/>
    <s v="12.000,00"/>
    <s v="Doce Mil Bolívares con 00/100"/>
  </r>
  <r>
    <n v="191"/>
    <m/>
    <s v="ü"/>
    <d v="2017-03-15T00:00:00"/>
    <n v="12000"/>
    <x v="69"/>
    <x v="61"/>
    <s v="Calle Güigüe Nro. 89-40"/>
    <s v="Colaboración Vigilancia, mes de Marzo/2017"/>
    <s v="Vigilancia"/>
    <m/>
    <s v="00191"/>
    <s v="15 de marzo de 2017"/>
    <d v="2017-03-01T00:00:00"/>
    <s v="12.000,00"/>
    <s v="Doce Mil Bolívares con 00/100"/>
  </r>
  <r>
    <n v="192"/>
    <m/>
    <s v="ü"/>
    <d v="2017-04-21T00:00:00"/>
    <n v="34000"/>
    <x v="62"/>
    <x v="55"/>
    <s v="Av. &quot;M&quot; Nro. 145-10"/>
    <s v="Cancelación Vigilancia, meses de Mar-Abr/2017"/>
    <s v="Vigilancia"/>
    <m/>
    <s v="00192"/>
    <s v="21 de abril de 2017"/>
    <d v="2017-04-01T00:00:00"/>
    <s v="34.000,00"/>
    <s v="Treinta y Cuatro Mil Bolívares con 00/100"/>
  </r>
  <r>
    <n v="193"/>
    <m/>
    <s v="ü"/>
    <d v="2017-04-21T00:00:00"/>
    <n v="17000"/>
    <x v="23"/>
    <x v="21"/>
    <s v="Calle Güigüe Nro. 88-116"/>
    <s v="Cancelación Vigilancia, mes de Abril/2017"/>
    <s v="Vigilancia"/>
    <m/>
    <s v="00193"/>
    <s v="21 de abril de 2017"/>
    <d v="2017-04-01T00:00:00"/>
    <s v="17.000,00"/>
    <s v="Diecisiete Mil Bolívares con 00/100"/>
  </r>
  <r>
    <n v="194"/>
    <m/>
    <s v="ü"/>
    <d v="2017-04-20T00:00:00"/>
    <n v="17000"/>
    <x v="36"/>
    <x v="33"/>
    <s v="Calle Güigüe Nro. 89-10"/>
    <s v="Cancelación Vigilancia, mes de Marzo/2017"/>
    <s v="Vigilancia"/>
    <m/>
    <s v="00194"/>
    <s v="20 de abril de 2017"/>
    <d v="2017-04-01T00:00:00"/>
    <s v="17.000,00"/>
    <s v="Diecisiete Mil Bolívares con 00/100"/>
  </r>
  <r>
    <n v="195"/>
    <m/>
    <s v="ü"/>
    <d v="2017-04-22T00:00:00"/>
    <n v="17000"/>
    <x v="5"/>
    <x v="5"/>
    <s v="Calle Güigüe Nro. 88-120"/>
    <s v="Cancelación Vigilancia, mes de Abril/2017"/>
    <s v="Vigilancia"/>
    <m/>
    <s v="00195"/>
    <s v="22 de abril de 2017"/>
    <d v="2017-04-01T00:00:00"/>
    <s v="17.000,00"/>
    <s v="Diecisiete Mil Bolívares con 00/100"/>
  </r>
  <r>
    <n v="196"/>
    <m/>
    <s v="ü"/>
    <d v="2017-04-22T00:00:00"/>
    <n v="34000"/>
    <x v="70"/>
    <x v="9"/>
    <s v="Calle Guacara Nro. 89-70"/>
    <s v="Cancelación Vigilancia, meses de Ene-Feb/2017"/>
    <s v="Vigilancia"/>
    <m/>
    <s v="00196"/>
    <s v="22 de abril de 2017"/>
    <d v="2017-04-01T00:00:00"/>
    <s v="34.000,00"/>
    <s v="Treinta y Cuatro Mil Bolívares con 00/100"/>
  </r>
  <r>
    <n v="197"/>
    <m/>
    <s v="ü"/>
    <d v="2017-04-23T00:00:00"/>
    <n v="34000"/>
    <x v="39"/>
    <x v="36"/>
    <s v="Calle Güigüe Nro. 88-111"/>
    <s v="Cancelación Vigilancia, meses de Feb-Mar/2017"/>
    <s v="Vigilancia"/>
    <m/>
    <s v="00197"/>
    <s v="23 de abril de 2017"/>
    <d v="2017-04-01T00:00:00"/>
    <s v="34.000,00"/>
    <s v="Treinta y Cuatro Mil Bolívares con 00/100"/>
  </r>
  <r>
    <n v="198"/>
    <m/>
    <s v="ü"/>
    <d v="2017-04-23T00:00:00"/>
    <n v="30000"/>
    <x v="71"/>
    <x v="62"/>
    <s v="Calle Güigüe Nro. 89-71"/>
    <s v="Colaboración Vigilancia, meses de Ene-Mar/2017"/>
    <s v="Vigilancia"/>
    <m/>
    <s v="00198"/>
    <s v="23 de abril de 2017"/>
    <d v="2017-04-01T00:00:00"/>
    <s v="30.000,00"/>
    <s v="Treinta Mil Bolívares con 00/100"/>
  </r>
  <r>
    <n v="199"/>
    <m/>
    <s v="ü"/>
    <d v="2017-04-24T00:00:00"/>
    <n v="17000"/>
    <x v="40"/>
    <x v="37"/>
    <s v="Calle Güigüe Nro. 88-101"/>
    <s v="Cancelación Vigilancia, mes de Abril/2017"/>
    <s v="Vigilancia"/>
    <m/>
    <s v="00199"/>
    <s v="24 de abril de 2017"/>
    <d v="2017-04-01T00:00:00"/>
    <s v="17.000,00"/>
    <s v="Diecisiete Mil Bolívares con 00/100"/>
  </r>
  <r>
    <n v="200"/>
    <m/>
    <s v="ü"/>
    <d v="2017-04-24T00:00:00"/>
    <n v="54000"/>
    <x v="44"/>
    <x v="41"/>
    <s v="Calle Guacara Nro. 89-40"/>
    <s v="Cancelación Saldo Vigilancia, mes de Enero/2017 y Cancelación Vigilancia, meses de Feb-Abr/2017"/>
    <s v="Vigilancia"/>
    <m/>
    <s v="00200"/>
    <s v="24 de abril de 2017"/>
    <d v="2017-04-01T00:00:00"/>
    <s v="54.000,00"/>
    <s v="Cincuenta y Cuatro Mil Bolívares con 00/100"/>
  </r>
  <r>
    <n v="201"/>
    <m/>
    <s v="ü"/>
    <d v="2017-03-10T00:00:00"/>
    <n v="17000"/>
    <x v="30"/>
    <x v="28"/>
    <s v="Calle Güigüe Nro. 89-04"/>
    <s v="Cancelación Vigilancia, mes de Marzo/2017"/>
    <s v="Vigilancia"/>
    <m/>
    <s v="00201"/>
    <s v="10 de marzo de 2017"/>
    <d v="2017-03-01T00:00:00"/>
    <s v="17.000,00"/>
    <s v="Diecisiete Mil Bolívares con 00/100"/>
  </r>
  <r>
    <n v="202"/>
    <m/>
    <s v="ü"/>
    <d v="2017-04-21T00:00:00"/>
    <n v="17000"/>
    <x v="30"/>
    <x v="28"/>
    <s v="Calle Güigüe Nro. 89-04"/>
    <s v="Cancelación Vigilancia, mes de Abril/2017"/>
    <s v="Vigilancia"/>
    <m/>
    <s v="00202"/>
    <s v="21 de abril de 2017"/>
    <d v="2017-04-01T00:00:00"/>
    <s v="17.000,00"/>
    <s v="Diecisiete Mil Bolívares con 00/100"/>
  </r>
  <r>
    <n v="203"/>
    <m/>
    <s v="ü"/>
    <d v="2017-04-26T00:00:00"/>
    <n v="34000"/>
    <x v="49"/>
    <x v="46"/>
    <s v="Av. &quot;O&quot; Nro. 146-17"/>
    <s v="Cancelación Vigilancia, meses de Mar-Abr/2017"/>
    <s v="Vigilancia"/>
    <m/>
    <s v="00203"/>
    <s v="26 de abril de 2017"/>
    <d v="2017-04-01T00:00:00"/>
    <s v="34.000,00"/>
    <s v="Treinta y Cuatro Mil Bolívares con 00/100"/>
  </r>
  <r>
    <n v="204"/>
    <m/>
    <s v="ü"/>
    <d v="2017-04-27T00:00:00"/>
    <n v="17000"/>
    <x v="18"/>
    <x v="16"/>
    <s v="Calle Guacara Nro. 87-100"/>
    <s v="Cancelación Vigilancia, mes de Abril/2017"/>
    <s v="Vigilancia"/>
    <m/>
    <s v="00204"/>
    <s v="27 de abril de 2017"/>
    <d v="2017-04-01T00:00:00"/>
    <s v="17.000,00"/>
    <s v="Diecisiete Mil Bolívares con 00/100"/>
  </r>
  <r>
    <n v="205"/>
    <m/>
    <s v="ü"/>
    <d v="2017-04-27T00:00:00"/>
    <n v="3000"/>
    <x v="17"/>
    <x v="16"/>
    <s v="Av. &quot;M&quot; Nro. 146-20"/>
    <s v="Colaboración Vigilancia, mes de Abril/2017"/>
    <s v="Vigilancia"/>
    <m/>
    <s v="00205"/>
    <s v="27 de abril de 2017"/>
    <d v="2017-04-01T00:00:00"/>
    <s v="3.000,00"/>
    <s v="Tres Mil Bolívares con 00/100"/>
  </r>
  <r>
    <n v="206"/>
    <m/>
    <s v="ü"/>
    <d v="2017-04-27T00:00:00"/>
    <n v="17000"/>
    <x v="69"/>
    <x v="61"/>
    <s v="Calle Güigüe Nro. 89-40"/>
    <s v="Colaboración Vigilancia, mes de Abril/2017"/>
    <s v="Vigilancia"/>
    <m/>
    <s v="00206"/>
    <s v="27 de abril de 2017"/>
    <d v="2017-04-01T00:00:00"/>
    <s v="17.000,00"/>
    <s v="Diecisiete Mil Bolívares con 00/100"/>
  </r>
  <r>
    <n v="207"/>
    <m/>
    <s v="ü"/>
    <d v="2017-03-27T00:00:00"/>
    <n v="10500"/>
    <x v="50"/>
    <x v="47"/>
    <s v="Av. &quot;I&quot; Nro. 146-30"/>
    <s v="Colaboración Vigilancia, mes de Febrero/2017"/>
    <s v="Vigilancia"/>
    <m/>
    <s v="00207"/>
    <s v="27 de marzo de 2017"/>
    <d v="2017-03-01T00:00:00"/>
    <s v="10.500,00"/>
    <s v="Diez Mil Quinientos Bolívares con 00/100"/>
  </r>
  <r>
    <n v="208"/>
    <m/>
    <s v="ü"/>
    <d v="2017-05-02T00:00:00"/>
    <n v="10000"/>
    <x v="58"/>
    <x v="53"/>
    <s v="Calle Güigüe Nro. 88-51"/>
    <s v="Colaboración Vigilancia, mes de Abril/2017"/>
    <s v="Vigilancia"/>
    <m/>
    <s v="00208"/>
    <s v="02 de mayo de 2017"/>
    <d v="2017-05-01T00:00:00"/>
    <s v="10.000,00"/>
    <s v="Diez Mil Bolívares con 00/100"/>
  </r>
  <r>
    <n v="209"/>
    <m/>
    <s v="ü"/>
    <d v="2017-05-05T00:00:00"/>
    <n v="17000"/>
    <x v="56"/>
    <x v="52"/>
    <s v="Calle Güigüe Nro. 88-70"/>
    <s v="Cancelación Vigilancia, mes de Abril/2017"/>
    <s v="Vigilancia"/>
    <m/>
    <s v="00209"/>
    <s v="05 de mayo de 2017"/>
    <d v="2017-05-01T00:00:00"/>
    <s v="17.000,00"/>
    <s v="Diecisiete Mil Bolívares con 00/100"/>
  </r>
  <r>
    <n v="210"/>
    <m/>
    <s v="ü"/>
    <d v="2017-05-05T00:00:00"/>
    <n v="17000"/>
    <x v="32"/>
    <x v="30"/>
    <s v="Calle Güigüe Nro. 89-120"/>
    <s v="Anticipo Vigilancia, mes de Mayo/2017"/>
    <s v="Vigilancia"/>
    <m/>
    <s v="00210"/>
    <s v="05 de mayo de 2017"/>
    <d v="2017-05-01T00:00:00"/>
    <s v="17.000,00"/>
    <s v="Diecisiete Mil Bolívares con 00/100"/>
  </r>
  <r>
    <n v="211"/>
    <m/>
    <s v="ü"/>
    <d v="2017-05-05T00:00:00"/>
    <n v="17000"/>
    <x v="10"/>
    <x v="10"/>
    <s v="Av. &quot;M&quot; Nro. 146-15"/>
    <s v="Cancelación Vigilancia, mes de Abril/2017"/>
    <s v="Vigilancia"/>
    <m/>
    <s v="00211"/>
    <s v="05 de mayo de 2017"/>
    <d v="2017-05-01T00:00:00"/>
    <s v="17.000,00"/>
    <s v="Diecisiete Mil Bolívares con 00/100"/>
  </r>
  <r>
    <n v="212"/>
    <m/>
    <s v="ü"/>
    <d v="2017-05-05T00:00:00"/>
    <n v="17000"/>
    <x v="27"/>
    <x v="25"/>
    <s v="Calle Güigüe Nro. 89-106"/>
    <s v="Cancelación Vigilancia, mes de Abril/2017"/>
    <s v="Vigilancia"/>
    <m/>
    <s v="00212"/>
    <s v="05 de mayo de 2017"/>
    <d v="2017-05-01T00:00:00"/>
    <s v="17.000,00"/>
    <s v="Diecisiete Mil Bolívares con 00/100"/>
  </r>
  <r>
    <n v="213"/>
    <m/>
    <s v="ü"/>
    <d v="2017-04-28T00:00:00"/>
    <n v="5000"/>
    <x v="72"/>
    <x v="63"/>
    <s v="Calle Güigüe Nro. 89-35"/>
    <s v="Colaboración Vigilancia, mes de Abril/2017"/>
    <s v="Vigilancia"/>
    <m/>
    <s v="00213"/>
    <s v="28 de abril de 2017"/>
    <d v="2017-04-01T00:00:00"/>
    <s v="5.000,00"/>
    <s v="Cinco Mil Bolívares con 00/100"/>
  </r>
  <r>
    <n v="214"/>
    <m/>
    <s v="ü"/>
    <d v="2017-05-06T00:00:00"/>
    <n v="26000"/>
    <x v="6"/>
    <x v="6"/>
    <s v="Calle Guacara Nro. 89-60"/>
    <s v="Cancelación Vigilancia, mes de Mayo/2017"/>
    <s v="Vigilancia"/>
    <m/>
    <s v="00214"/>
    <s v="06 de mayo de 2017"/>
    <d v="2017-05-01T00:00:00"/>
    <s v="26.000,00"/>
    <s v="Veintiseis Mil Bolívares con 00/100"/>
  </r>
  <r>
    <n v="215"/>
    <m/>
    <s v="ü"/>
    <d v="2017-04-05T00:00:00"/>
    <n v="17000"/>
    <x v="16"/>
    <x v="15"/>
    <s v="Calle Guacara Nro. 90-81"/>
    <s v="Cancelación Vigilancia, mes de Abril/2017"/>
    <s v="Vigilancia"/>
    <m/>
    <s v="00215"/>
    <s v="05 de abril de 2017"/>
    <d v="2017-04-01T00:00:00"/>
    <s v="17.000,00"/>
    <s v="Diecisiete Mil Bolívares con 00/100"/>
  </r>
  <r>
    <n v="216"/>
    <m/>
    <s v="ü"/>
    <d v="2017-05-03T00:00:00"/>
    <n v="17000"/>
    <x v="16"/>
    <x v="15"/>
    <s v="Calle Guacara Nro. 90-81"/>
    <s v="Anticipo Vigilancia, mes de Mayo/2017"/>
    <s v="Vigilancia"/>
    <m/>
    <s v="00216"/>
    <s v="03 de mayo de 2017"/>
    <d v="2017-05-01T00:00:00"/>
    <s v="17.000,00"/>
    <s v="Diecisiete Mil Bolívares con 00/100"/>
  </r>
  <r>
    <n v="217"/>
    <m/>
    <s v="ü"/>
    <d v="2017-05-07T00:00:00"/>
    <n v="9000"/>
    <x v="16"/>
    <x v="15"/>
    <s v="Calle Guacara Nro. 90-81"/>
    <s v="Cancelación Saldo Vigilancia, mes de Mayo/2017"/>
    <s v="Vigilancia"/>
    <m/>
    <s v="00217"/>
    <s v="07 de mayo de 2017"/>
    <d v="2017-05-01T00:00:00"/>
    <s v="9.000,00"/>
    <s v="Nueve Mil Bolívares con 00/100"/>
  </r>
  <r>
    <n v="218"/>
    <m/>
    <s v="ü"/>
    <d v="2017-05-07T00:00:00"/>
    <n v="26000"/>
    <x v="5"/>
    <x v="5"/>
    <s v="Calle Güigüe Nro. 88-120"/>
    <s v="Cancelación Vigilancia, mes de Mayo/2017"/>
    <s v="Vigilancia"/>
    <m/>
    <s v="00218"/>
    <s v="07 de mayo de 2017"/>
    <d v="2017-05-01T00:00:00"/>
    <s v="26.000,00"/>
    <s v="Veintiseis Mil Bolívares con 00/100"/>
  </r>
  <r>
    <n v="219"/>
    <m/>
    <s v="ü"/>
    <d v="2017-05-07T00:00:00"/>
    <n v="26000"/>
    <x v="1"/>
    <x v="1"/>
    <s v="Calle Güigüe Nro. 88-44"/>
    <s v="Cancelación Vigilancia, mes de Mayo/2017"/>
    <s v="Vigilancia"/>
    <m/>
    <s v="00219"/>
    <s v="07 de mayo de 2017"/>
    <d v="2017-05-01T00:00:00"/>
    <s v="26.000,00"/>
    <s v="Veintiseis Mil Bolívares con 00/100"/>
  </r>
  <r>
    <n v="220"/>
    <m/>
    <s v="ü"/>
    <d v="2017-05-07T00:00:00"/>
    <n v="17000"/>
    <x v="34"/>
    <x v="9"/>
    <s v="Av. &quot;O&quot; Nro. 146-11"/>
    <s v="Cancelación Vigilancia, mes de Abril/2017"/>
    <s v="Vigilancia"/>
    <m/>
    <s v="00220"/>
    <s v="07 de mayo de 2017"/>
    <d v="2017-05-01T00:00:00"/>
    <s v="17.000,00"/>
    <s v="Diecisiete Mil Bolívares con 00/100"/>
  </r>
  <r>
    <n v="221"/>
    <m/>
    <s v="ü"/>
    <d v="2017-02-15T00:00:00"/>
    <n v="20000"/>
    <x v="9"/>
    <x v="9"/>
    <s v="Av. &quot;M&quot; Nro. 146-30"/>
    <s v="Cancelación Vigilancia, mes de Febrero/2017"/>
    <s v="Vigilancia"/>
    <m/>
    <s v="00221"/>
    <s v="15 de febrero de 2017"/>
    <d v="2017-02-01T00:00:00"/>
    <s v="20.000,00"/>
    <s v="Veinte Mil Bolívares con 00/100"/>
  </r>
  <r>
    <n v="222"/>
    <m/>
    <s v="ü"/>
    <d v="2017-01-15T00:00:00"/>
    <n v="30000"/>
    <x v="73"/>
    <x v="9"/>
    <s v="Calle Güigüe Nros. 88-71 y 88-81"/>
    <s v="Cancelación Vigilancia, mes de Enero/2017"/>
    <s v="Vigilancia"/>
    <m/>
    <s v="00222"/>
    <s v="15 de enero de 2017"/>
    <d v="2017-01-01T00:00:00"/>
    <s v="30.000,00"/>
    <s v="Treinta Mil Bolívares con 00/100"/>
  </r>
  <r>
    <n v="223"/>
    <m/>
    <s v="ü"/>
    <d v="2017-05-08T00:00:00"/>
    <n v="26000"/>
    <x v="12"/>
    <x v="12"/>
    <s v="Calle Guacara Nro. 89-20"/>
    <s v="Cancelación Vigilancia, mes de Mayo/2017"/>
    <s v="Vigilancia"/>
    <m/>
    <s v="00223"/>
    <s v="08 de mayo de 2017"/>
    <d v="2017-05-01T00:00:00"/>
    <s v="26.000,00"/>
    <s v="Veintiseis Mil Bolívares con 00/100"/>
  </r>
  <r>
    <n v="224"/>
    <m/>
    <s v="ü"/>
    <d v="2017-05-08T00:00:00"/>
    <n v="26000"/>
    <x v="0"/>
    <x v="0"/>
    <s v="Calle Guacara Nro. 88-45"/>
    <s v="Cancelación Vigilancia, mes de Mayo/2017"/>
    <s v="Vigilancia"/>
    <m/>
    <s v="00224"/>
    <s v="08 de mayo de 2017"/>
    <d v="2017-05-01T00:00:00"/>
    <s v="26.000,00"/>
    <s v="Veintiseis Mil Bolívares con 00/100"/>
  </r>
  <r>
    <n v="225"/>
    <m/>
    <s v="ü"/>
    <d v="2017-03-15T00:00:00"/>
    <n v="17000"/>
    <x v="8"/>
    <x v="8"/>
    <s v="Calle Guacara Nro. 90-51"/>
    <s v="Cancelación Vigilancia, mes de Marzo/2017"/>
    <s v="Vigilancia"/>
    <m/>
    <s v="00225"/>
    <s v="15 de marzo de 2017"/>
    <d v="2017-03-01T00:00:00"/>
    <s v="17.000,00"/>
    <s v="Diecisiete Mil Bolívares con 00/100"/>
  </r>
  <r>
    <n v="226"/>
    <m/>
    <s v="ü"/>
    <d v="2017-05-08T00:00:00"/>
    <n v="34000"/>
    <x v="46"/>
    <x v="43"/>
    <s v="Av. &quot;I&quot; Nro. 146-20"/>
    <s v="Cancelación Vigilancia, mes de Abr/2017 y anticipo May/2017"/>
    <s v="Vigilancia"/>
    <m/>
    <s v="00226"/>
    <s v="08 de mayo de 2017"/>
    <d v="2017-05-01T00:00:00"/>
    <s v="34.000,00"/>
    <s v="Treinta y Cuatro Mil Bolívares con 00/100"/>
  </r>
  <r>
    <n v="227"/>
    <m/>
    <s v="ü"/>
    <d v="2017-03-15T00:00:00"/>
    <n v="17000"/>
    <x v="65"/>
    <x v="58"/>
    <s v="Calle Güigüe Nro. 88-10"/>
    <s v="Cancelación Vigilancia, mes de Febrero/2017"/>
    <s v="Vigilancia"/>
    <m/>
    <s v="00227"/>
    <s v="15 de marzo de 2017"/>
    <d v="2017-03-01T00:00:00"/>
    <s v="17.000,00"/>
    <s v="Diecisiete Mil Bolívares con 00/100"/>
  </r>
  <r>
    <n v="228"/>
    <m/>
    <s v="û"/>
    <m/>
    <m/>
    <x v="65"/>
    <x v="58"/>
    <s v="Calle Güigüe Nro. 88-10"/>
    <s v="ANULADO: Cancelación Vigilancia, mes de Marzo/2017"/>
    <s v="ANULADO"/>
    <m/>
    <s v="00228"/>
    <s v=""/>
    <d v="1899-12-31T00:00:00"/>
    <s v="0,00"/>
    <s v="Cero Bolívares con 00/100"/>
  </r>
  <r>
    <n v="229"/>
    <m/>
    <s v="ü"/>
    <d v="2017-05-05T00:00:00"/>
    <n v="17000"/>
    <x v="65"/>
    <x v="58"/>
    <s v="Calle Güigüe Nro. 88-10"/>
    <s v="Cancelación Vigilancia, mes de Marzo/2017"/>
    <s v="Vigilancia"/>
    <m/>
    <s v="00229"/>
    <s v="05 de mayo de 2017"/>
    <d v="2017-05-01T00:00:00"/>
    <s v="17.000,00"/>
    <s v="Diecisiete Mil Bolívares con 00/100"/>
  </r>
  <r>
    <n v="230"/>
    <m/>
    <s v="ü"/>
    <d v="2017-05-08T00:00:00"/>
    <n v="17000"/>
    <x v="24"/>
    <x v="22"/>
    <s v="Calle Güigüe Nro. 88-54"/>
    <s v="Cancelación Vigilancia, mes de Abril/2017"/>
    <s v="Vigilancia"/>
    <m/>
    <s v="00230"/>
    <s v="08 de mayo de 2017"/>
    <d v="2017-05-01T00:00:00"/>
    <s v="17.000,00"/>
    <s v="Diecisiete Mil Bolívares con 00/100"/>
  </r>
  <r>
    <n v="231"/>
    <m/>
    <s v="ü"/>
    <d v="2017-05-09T00:00:00"/>
    <n v="26000"/>
    <x v="18"/>
    <x v="16"/>
    <s v="Calle Guacara Nro. 87-100"/>
    <s v="Cancelación Vigilancia, mes de Mayo/2017"/>
    <s v="Vigilancia"/>
    <m/>
    <s v="00231"/>
    <s v="09 de mayo de 2017"/>
    <d v="2017-05-01T00:00:00"/>
    <s v="26.000,00"/>
    <s v="Veintiseis Mil Bolívares con 00/100"/>
  </r>
  <r>
    <n v="232"/>
    <m/>
    <s v="ü"/>
    <d v="2017-05-09T00:00:00"/>
    <n v="4000"/>
    <x v="17"/>
    <x v="16"/>
    <s v="Av. &quot;M&quot; Nro. 146-20"/>
    <s v="Colaboración Vigilancia, mes de Mayo/2017"/>
    <s v="Vigilancia"/>
    <m/>
    <s v="00232"/>
    <s v="09 de mayo de 2017"/>
    <d v="2017-05-01T00:00:00"/>
    <s v="4.000,00"/>
    <s v="Cuatro Mil Bolívares con 00/100"/>
  </r>
  <r>
    <n v="233"/>
    <m/>
    <s v="ü"/>
    <d v="2017-04-30T00:00:00"/>
    <n v="17000"/>
    <x v="64"/>
    <x v="57"/>
    <s v="Calle Guacara Nro. 88-35"/>
    <s v="Cancelación Vigilancia, mes de Abril/2017, contra facturas"/>
    <s v="Vigilancia"/>
    <m/>
    <s v="00233"/>
    <s v="30 de abril de 2017"/>
    <d v="2017-04-01T00:00:00"/>
    <s v="17.000,00"/>
    <s v="Diecisiete Mil Bolívares con 00/100"/>
  </r>
  <r>
    <n v="234"/>
    <m/>
    <s v="ü"/>
    <d v="2017-05-09T00:00:00"/>
    <n v="43000"/>
    <x v="42"/>
    <x v="39"/>
    <s v="Calle Güigüe Nro. 89-79"/>
    <s v="Cancelación Vigilancia, mes de Mayo/2017 y Bs. 17.000 adelanto Junio/2017"/>
    <s v="Vigilancia"/>
    <m/>
    <s v="00234"/>
    <s v="09 de mayo de 2017"/>
    <d v="2017-05-01T00:00:00"/>
    <s v="43.000,00"/>
    <s v="Cuarenta y Tres Mil Bolívares con 00/100"/>
  </r>
  <r>
    <n v="235"/>
    <m/>
    <s v="ü"/>
    <d v="2017-05-09T00:00:00"/>
    <n v="26000"/>
    <x v="40"/>
    <x v="37"/>
    <s v="Calle Güigüe Nro. 88-101"/>
    <s v="Cancelación Vigilancia, mes de Mayo/2017"/>
    <s v="Vigilancia"/>
    <m/>
    <s v="00235"/>
    <s v="09 de mayo de 2017"/>
    <d v="2017-05-01T00:00:00"/>
    <s v="26.000,00"/>
    <s v="Veintiseis Mil Bolívares con 00/100"/>
  </r>
  <r>
    <n v="236"/>
    <m/>
    <s v="ü"/>
    <d v="2017-04-06T00:00:00"/>
    <n v="14000"/>
    <x v="53"/>
    <x v="48"/>
    <s v="Calle Guacara Nro. 88-91"/>
    <s v="Colaboración Vigilancia, mes de Marzo/2017"/>
    <s v="Vigilancia"/>
    <m/>
    <s v="00236"/>
    <s v="06 de abril de 2017"/>
    <d v="2017-04-01T00:00:00"/>
    <s v="14.000,00"/>
    <s v="Catorce Mil Bolívares con 00/100"/>
  </r>
  <r>
    <n v="237"/>
    <m/>
    <s v="ü"/>
    <d v="2017-05-09T00:00:00"/>
    <n v="10500"/>
    <x v="50"/>
    <x v="47"/>
    <s v="Av. &quot;I&quot; Nro. 146-30"/>
    <s v="Colaboración Vigilancia, mes de Marzo/2017"/>
    <s v="Vigilancia"/>
    <m/>
    <s v="00237"/>
    <s v="09 de mayo de 2017"/>
    <d v="2017-05-01T00:00:00"/>
    <s v="10.500,00"/>
    <s v="Diez Mil Quinientos Bolívares con 00/100"/>
  </r>
  <r>
    <n v="238"/>
    <m/>
    <s v="ü"/>
    <d v="2017-05-09T00:00:00"/>
    <n v="24000"/>
    <x v="25"/>
    <x v="23"/>
    <s v="Calle Güigüe Nro. 88-58"/>
    <s v="Colaboración Vigilancia, meses de Mar-Abr/2017"/>
    <s v="Vigilancia"/>
    <m/>
    <s v="00238"/>
    <s v="09 de mayo de 2017"/>
    <d v="2017-05-01T00:00:00"/>
    <s v="24.000,00"/>
    <s v="Veinticuatro Mil Bolívares con 00/100"/>
  </r>
  <r>
    <n v="239"/>
    <m/>
    <s v="ü"/>
    <d v="2017-05-09T00:00:00"/>
    <n v="60000"/>
    <x v="21"/>
    <x v="19"/>
    <s v="Calle Güigüe Nro. 89-105"/>
    <s v="Cancelación Vigilancia, meses de Marzo, Abril y Mayo/2017"/>
    <s v="Vigilancia"/>
    <m/>
    <s v="00239"/>
    <s v="09 de mayo de 2017"/>
    <d v="2017-05-01T00:00:00"/>
    <s v="60.000,00"/>
    <s v="Sesenta Mil Bolívares con 00/100"/>
  </r>
  <r>
    <n v="240"/>
    <m/>
    <s v="ü"/>
    <d v="2017-05-10T00:00:00"/>
    <n v="26000"/>
    <x v="19"/>
    <x v="17"/>
    <s v="Calle Guacara Nro. 89-130"/>
    <s v="Cancelación Vigilancia, mes de Mayo/2017"/>
    <s v="Vigilancia"/>
    <m/>
    <s v="00240"/>
    <s v="10 de mayo de 2017"/>
    <d v="2017-05-01T00:00:00"/>
    <s v="26.000,00"/>
    <s v="Veintiseis Mil Bolívares con 00/100"/>
  </r>
  <r>
    <n v="241"/>
    <m/>
    <s v="ü"/>
    <d v="2017-05-10T00:00:00"/>
    <n v="17000"/>
    <x v="53"/>
    <x v="48"/>
    <s v="Calle Guacara Nro. 88-91"/>
    <s v="Cancelación Vigilancia, mes de Abril/2017"/>
    <s v="Vigilancia"/>
    <m/>
    <s v="00241"/>
    <s v="10 de mayo de 2017"/>
    <d v="2017-05-01T00:00:00"/>
    <s v="17.000,00"/>
    <s v="Diecisiete Mil Bolívares con 00/100"/>
  </r>
  <r>
    <n v="242"/>
    <m/>
    <s v="ü"/>
    <d v="2017-05-10T00:00:00"/>
    <n v="10000"/>
    <x v="68"/>
    <x v="60"/>
    <s v="Calle Güigüe Nro. 89-29"/>
    <s v="Colaboración Vigilancia, mes de Mayo/2017"/>
    <s v="Vigilancia"/>
    <m/>
    <s v="00242"/>
    <s v="10 de mayo de 2017"/>
    <d v="2017-05-01T00:00:00"/>
    <s v="10.000,00"/>
    <s v="Diez Mil Bolívares con 00/100"/>
  </r>
  <r>
    <n v="243"/>
    <m/>
    <s v="ü"/>
    <d v="2017-05-11T00:00:00"/>
    <n v="26000"/>
    <x v="11"/>
    <x v="11"/>
    <s v="Calle Guacara Nro. 89-86"/>
    <s v="Cancelación Vigilancia, mes de Junio/2017 *DEFINITIVO*"/>
    <s v="Vigilancia"/>
    <m/>
    <s v="00243"/>
    <s v="11 de mayo de 2017"/>
    <d v="2017-05-01T00:00:00"/>
    <s v="26.000,00"/>
    <s v="Veintiseis Mil Bolívares con 00/100"/>
  </r>
  <r>
    <n v="244"/>
    <m/>
    <s v="ü"/>
    <d v="2017-05-11T00:00:00"/>
    <n v="15000"/>
    <x v="35"/>
    <x v="32"/>
    <s v="Calle Güigüe Nro. 89-80"/>
    <s v="Colaboración Vigilancia, mes de Mayo/2017"/>
    <s v="Vigilancia"/>
    <m/>
    <s v="00244"/>
    <s v="11 de mayo de 2017"/>
    <d v="2017-05-01T00:00:00"/>
    <s v="15.000,00"/>
    <s v="Quince Mil Bolívares con 00/100"/>
  </r>
  <r>
    <n v="245"/>
    <m/>
    <s v="ü"/>
    <d v="2017-05-11T00:00:00"/>
    <n v="10000"/>
    <x v="47"/>
    <x v="44"/>
    <s v="Calle Güigüe Nro. 88-80"/>
    <s v="Colaboración Vigilancia, mes de Mayo/2017"/>
    <s v="Vigilancia"/>
    <m/>
    <s v="00245"/>
    <s v="11 de mayo de 2017"/>
    <d v="2017-05-01T00:00:00"/>
    <s v="10.000,00"/>
    <s v="Diez Mil Bolívares con 00/100"/>
  </r>
  <r>
    <n v="246"/>
    <m/>
    <s v="ü"/>
    <d v="2017-05-13T00:00:00"/>
    <n v="7000"/>
    <x v="7"/>
    <x v="7"/>
    <s v="Calle Guacara Nro. 87-86"/>
    <s v="Colaboración Vigilancia, mes de Mayo/2017"/>
    <s v="Vigilancia"/>
    <m/>
    <s v="00246"/>
    <s v="13 de mayo de 2017"/>
    <d v="2017-05-01T00:00:00"/>
    <s v="7.000,00"/>
    <s v="Siete Mil Bolívares con 00/100"/>
  </r>
  <r>
    <n v="247"/>
    <m/>
    <s v="ü"/>
    <d v="2017-05-15T00:00:00"/>
    <n v="26000"/>
    <x v="4"/>
    <x v="4"/>
    <s v="Calle Güigüe Nro. 89-55"/>
    <s v="Cancelación Vigilancia, mes de Mayo/2017"/>
    <s v="Vigilancia"/>
    <m/>
    <s v="00247"/>
    <s v="15 de mayo de 2017"/>
    <d v="2017-05-01T00:00:00"/>
    <s v="26.000,00"/>
    <s v="Veintiseis Mil Bolívares con 00/100"/>
  </r>
  <r>
    <n v="248"/>
    <m/>
    <s v="ü"/>
    <d v="2017-05-15T00:00:00"/>
    <n v="17000"/>
    <x v="38"/>
    <x v="35"/>
    <s v="Calle Guacara Nro. 89-78"/>
    <s v="Cancelación Vigilancia, mes de Abril/2017"/>
    <s v="Vigilancia"/>
    <m/>
    <s v="00248"/>
    <s v="15 de mayo de 2017"/>
    <d v="2017-05-01T00:00:00"/>
    <s v="17.000,00"/>
    <s v="Diecisiete Mil Bolívares con 00/100"/>
  </r>
  <r>
    <n v="249"/>
    <m/>
    <s v="ü"/>
    <d v="2017-05-15T00:00:00"/>
    <n v="20000"/>
    <x v="2"/>
    <x v="2"/>
    <s v="Calle Guacara Nro. 88-19"/>
    <s v="Colaboración Vigilancia, mes de Mayo/2017"/>
    <s v="Vigilancia"/>
    <m/>
    <s v="00249"/>
    <s v="15 de mayo de 2017"/>
    <d v="2017-05-01T00:00:00"/>
    <s v="20.000,00"/>
    <s v="Veinte Mil Bolívares con 00/100"/>
  </r>
  <r>
    <n v="250"/>
    <m/>
    <s v="ü"/>
    <d v="2017-05-15T00:00:00"/>
    <n v="26000"/>
    <x v="23"/>
    <x v="21"/>
    <s v="Calle Güigüe Nro. 88-116"/>
    <s v="Cancelación Vigilancia, mes de Mayo/2017"/>
    <s v="Vigilancia"/>
    <m/>
    <s v="00250"/>
    <s v="15 de mayo de 2017"/>
    <d v="2017-05-01T00:00:00"/>
    <s v="26.000,00"/>
    <s v="Veintiseis Mil Bolívares con 00/100"/>
  </r>
  <r>
    <n v="251"/>
    <m/>
    <s v="ü"/>
    <d v="2017-05-15T00:00:00"/>
    <n v="26000"/>
    <x v="30"/>
    <x v="28"/>
    <s v="Calle Güigüe Nro. 89-04"/>
    <s v="Cancelación Vigilancia, mes de Mayo/2017"/>
    <s v="Vigilancia"/>
    <m/>
    <s v="00251"/>
    <s v="15 de mayo de 2017"/>
    <d v="2017-05-01T00:00:00"/>
    <s v="26.000,00"/>
    <s v="Veintiseis Mil Bolívares con 00/100"/>
  </r>
  <r>
    <n v="252"/>
    <m/>
    <s v="ü"/>
    <d v="2017-05-09T00:00:00"/>
    <n v="5000"/>
    <x v="13"/>
    <x v="9"/>
    <s v="Calle Güigüe Nro. 89-90"/>
    <s v="Colaboración Vigilancia, mes de Mayo/2017"/>
    <s v="Vigilancia"/>
    <m/>
    <s v="00252"/>
    <s v="09 de mayo de 2017"/>
    <d v="2017-05-01T00:00:00"/>
    <s v="5.000,00"/>
    <s v="Cinco Mil Bolívares con 00/100"/>
  </r>
  <r>
    <n v="253"/>
    <m/>
    <s v="ü"/>
    <d v="2017-05-16T00:00:00"/>
    <n v="17000"/>
    <x v="61"/>
    <x v="14"/>
    <s v="Calle Guacara Nro. 87-07"/>
    <s v="Colaboración Vigilancia, mes de Mayo/2017"/>
    <s v="Vigilancia"/>
    <m/>
    <s v="00253"/>
    <s v="16 de mayo de 2017"/>
    <d v="2017-05-01T00:00:00"/>
    <s v="17.000,00"/>
    <s v="Diecisiete Mil Bolívares con 00/100"/>
  </r>
  <r>
    <n v="254"/>
    <m/>
    <s v="ü"/>
    <d v="2017-05-17T00:00:00"/>
    <n v="26000"/>
    <x v="14"/>
    <x v="13"/>
    <s v="Calle Güigüe Nro. 89-83"/>
    <s v="Cancelación Vigilancia, mes de Mayo/2017"/>
    <s v="Vigilancia"/>
    <m/>
    <s v="00254"/>
    <s v="17 de mayo de 2017"/>
    <d v="2017-05-01T00:00:00"/>
    <s v="26.000,00"/>
    <s v="Veintiseis Mil Bolívares con 00/100"/>
  </r>
  <r>
    <n v="255"/>
    <m/>
    <s v="ü"/>
    <d v="2017-03-15T00:00:00"/>
    <n v="20000"/>
    <x v="9"/>
    <x v="9"/>
    <s v="Av. &quot;M&quot; Nro. 146-30"/>
    <s v="Cancelación Vigilancia, mes de Marzo/2017"/>
    <s v="Vigilancia"/>
    <m/>
    <s v="00255"/>
    <s v="15 de marzo de 2017"/>
    <d v="2017-03-01T00:00:00"/>
    <s v="20.000,00"/>
    <s v="Veinte Mil Bolívares con 00/100"/>
  </r>
  <r>
    <n v="256"/>
    <m/>
    <s v="ü"/>
    <d v="2017-04-15T00:00:00"/>
    <n v="20000"/>
    <x v="9"/>
    <x v="9"/>
    <s v="Av. &quot;M&quot; Nro. 146-30"/>
    <s v="Cancelación Vigilancia, mes de Abril/2017"/>
    <s v="Vigilancia"/>
    <m/>
    <s v="00256"/>
    <s v="15 de abril de 2017"/>
    <d v="2017-04-01T00:00:00"/>
    <s v="20.000,00"/>
    <s v="Veinte Mil Bolívares con 00/100"/>
  </r>
  <r>
    <n v="257"/>
    <m/>
    <s v="ü"/>
    <d v="2017-02-15T00:00:00"/>
    <n v="30000"/>
    <x v="73"/>
    <x v="9"/>
    <s v="Calle Güigüe Nros. 88-71 y 88-81"/>
    <s v="Cancelación Vigilancia, mes de Febrero/2017"/>
    <s v="Vigilancia"/>
    <m/>
    <s v="00257"/>
    <s v="15 de febrero de 2017"/>
    <d v="2017-02-01T00:00:00"/>
    <s v="30.000,00"/>
    <s v="Treinta Mil Bolívares con 00/100"/>
  </r>
  <r>
    <n v="258"/>
    <m/>
    <s v="ü"/>
    <d v="2017-03-15T00:00:00"/>
    <n v="30000"/>
    <x v="73"/>
    <x v="9"/>
    <s v="Calle Güigüe Nros. 88-71 y 88-81"/>
    <s v="Cancelación Vigilancia, mes de Marzo/2017"/>
    <s v="Vigilancia"/>
    <m/>
    <s v="00258"/>
    <s v="15 de marzo de 2017"/>
    <d v="2017-03-01T00:00:00"/>
    <s v="30.000,00"/>
    <s v="Treinta Mil Bolívares con 00/100"/>
  </r>
  <r>
    <n v="259"/>
    <m/>
    <s v="ü"/>
    <d v="2017-04-15T00:00:00"/>
    <n v="30000"/>
    <x v="73"/>
    <x v="9"/>
    <s v="Calle Güigüe Nros. 88-71 y 88-81"/>
    <s v="Cancelación Vigilancia, mes de Abril/2017"/>
    <s v="Vigilancia"/>
    <m/>
    <s v="00259"/>
    <s v="15 de abril de 2017"/>
    <d v="2017-04-01T00:00:00"/>
    <s v="30.000,00"/>
    <s v="Treinta Mil Bolívares con 00/100"/>
  </r>
  <r>
    <n v="260"/>
    <m/>
    <s v="ü"/>
    <d v="2017-05-18T00:00:00"/>
    <n v="20000"/>
    <x v="22"/>
    <x v="20"/>
    <s v="Calle Guacara Nro. 88-25"/>
    <s v="Colaboración Vigilancia, mes de Mayo/2017"/>
    <s v="Vigilancia"/>
    <m/>
    <s v="00260"/>
    <s v="18 de mayo de 2017"/>
    <d v="2017-05-01T00:00:00"/>
    <s v="20.000,00"/>
    <s v="Veinte Mil Bolívares con 00/100"/>
  </r>
  <r>
    <n v="261"/>
    <m/>
    <s v="ü"/>
    <d v="2017-05-22T00:00:00"/>
    <n v="30000"/>
    <x v="9"/>
    <x v="9"/>
    <s v="Av. &quot;M&quot; Nro. 146-30"/>
    <s v="Cancelación Vigilancia, mes de Mayo/2017"/>
    <s v="Vigilancia"/>
    <m/>
    <s v="00261"/>
    <s v="22 de mayo de 2017"/>
    <d v="2017-05-01T00:00:00"/>
    <s v="30.000,00"/>
    <s v="Treinta Mil Bolívares con 00/100"/>
  </r>
  <r>
    <n v="262"/>
    <m/>
    <s v="ü"/>
    <d v="2017-05-22T00:00:00"/>
    <n v="34000"/>
    <x v="59"/>
    <x v="9"/>
    <s v="Calle Guacara Nro. 90-35"/>
    <s v="Cancelación Vigilancia, mes de Abril/2017 y anticipo Mayo/2017 (Bs. 17.000)"/>
    <s v="Vigilancia"/>
    <m/>
    <s v="00262"/>
    <s v="22 de mayo de 2017"/>
    <d v="2017-05-01T00:00:00"/>
    <s v="34.000,00"/>
    <s v="Treinta y Cuatro Mil Bolívares con 00/100"/>
  </r>
  <r>
    <n v="263"/>
    <m/>
    <s v="ü"/>
    <d v="2017-05-23T00:00:00"/>
    <n v="40000"/>
    <x v="73"/>
    <x v="9"/>
    <s v="Calle Güigüe Nros. 88-71 y 88-81"/>
    <s v="Cancelación Vigilancia, mes de Mayo/2017"/>
    <s v="Vigilancia"/>
    <m/>
    <s v="00263"/>
    <s v="23 de mayo de 2017"/>
    <d v="2017-05-01T00:00:00"/>
    <s v="40.000,00"/>
    <s v="Cuarenta Mil Bolívares con 00/100"/>
  </r>
  <r>
    <n v="264"/>
    <m/>
    <s v="ü"/>
    <d v="2017-05-24T00:00:00"/>
    <n v="26000"/>
    <x v="48"/>
    <x v="9"/>
    <s v="Calle Güigüe Nro. 88-90"/>
    <s v="Cancelación Vigilancia, mes de Mayo/2017"/>
    <s v="Vigilancia"/>
    <m/>
    <s v="00264"/>
    <s v="24 de mayo de 2017"/>
    <d v="2017-05-01T00:00:00"/>
    <s v="26.000,00"/>
    <s v="Veintiseis Mil Bolívares con 00/100"/>
  </r>
  <r>
    <n v="265"/>
    <m/>
    <s v="ü"/>
    <d v="2017-05-26T00:00:00"/>
    <n v="22000"/>
    <x v="24"/>
    <x v="22"/>
    <s v="Calle Güigüe Nro. 88-54"/>
    <s v="Anticipo Vigilancia, mes de Mayo/2017"/>
    <s v="Vigilancia"/>
    <m/>
    <s v="00265"/>
    <s v="26 de mayo de 2017"/>
    <d v="2017-05-01T00:00:00"/>
    <s v="22.000,00"/>
    <s v="Veintidos Mil Bolívares con 00/100"/>
  </r>
  <r>
    <n v="266"/>
    <m/>
    <s v="ü"/>
    <d v="2017-05-24T00:00:00"/>
    <n v="3000"/>
    <x v="28"/>
    <x v="26"/>
    <s v="Calle Güigüe Nro. 88-30"/>
    <s v="Colaboración Vigilancia, mes de Abril/2017"/>
    <s v="Vigilancia"/>
    <m/>
    <s v="00266"/>
    <s v="24 de mayo de 2017"/>
    <d v="2017-05-01T00:00:00"/>
    <s v="3.000,00"/>
    <s v="Tres Mil Bolívares con 00/100"/>
  </r>
  <r>
    <n v="267"/>
    <m/>
    <s v="ü"/>
    <d v="2017-05-26T00:00:00"/>
    <n v="5000"/>
    <x v="57"/>
    <x v="9"/>
    <s v="Calle Güigüe Nro. 88-40"/>
    <s v="Colaboración Vigilancia, mes de Mayo/2017"/>
    <s v="Vigilancia"/>
    <m/>
    <s v="00267"/>
    <s v="26 de mayo de 2017"/>
    <d v="2017-05-01T00:00:00"/>
    <s v="5.000,00"/>
    <s v="Cinco Mil Bolívares con 00/100"/>
  </r>
  <r>
    <n v="268"/>
    <m/>
    <s v="ü"/>
    <d v="2017-05-27T00:00:00"/>
    <n v="26000"/>
    <x v="41"/>
    <x v="38"/>
    <s v="Calle Güigüe Nro. 88-91"/>
    <s v="Cancelación Vigilancia, mes de Mayo/2017"/>
    <s v="Vigilancia"/>
    <m/>
    <s v="00268"/>
    <s v="27 de mayo de 2017"/>
    <d v="2017-05-01T00:00:00"/>
    <s v="26.000,00"/>
    <s v="Veintiseis Mil Bolívares con 00/100"/>
  </r>
  <r>
    <n v="269"/>
    <m/>
    <s v="ü"/>
    <d v="2017-05-27T00:00:00"/>
    <n v="15000"/>
    <x v="74"/>
    <x v="64"/>
    <s v="Calle Güigüe Nro. 88-20"/>
    <s v="Colaboración Vigilancia, meses de Noviembre/2016 a Marzo/2017"/>
    <s v="Vigilancia"/>
    <m/>
    <s v="00269"/>
    <s v="27 de mayo de 2017"/>
    <d v="2017-05-01T00:00:00"/>
    <s v="15.000,00"/>
    <s v="Quince Mil Bolívares con 00/100"/>
  </r>
  <r>
    <n v="270"/>
    <m/>
    <s v="ü"/>
    <d v="2017-05-28T00:00:00"/>
    <n v="9000"/>
    <x v="59"/>
    <x v="9"/>
    <s v="Calle Guacara Nro. 90-35"/>
    <s v="Cancelación Saldo Vigilancia, mes de Mayo/2017"/>
    <s v="Vigilancia"/>
    <m/>
    <s v="00270"/>
    <s v="28 de mayo de 2017"/>
    <d v="2017-05-01T00:00:00"/>
    <s v="9.000,00"/>
    <s v="Nueve Mil Bolívares con 00/100"/>
  </r>
  <r>
    <n v="271"/>
    <m/>
    <s v="ü"/>
    <d v="2017-05-28T00:00:00"/>
    <n v="26000"/>
    <x v="27"/>
    <x v="25"/>
    <s v="Calle Güigüe Nro. 89-106"/>
    <s v="Cancelación Vigilancia, mes de Mayo/2017"/>
    <s v="Vigilancia"/>
    <m/>
    <s v="00271"/>
    <s v="28 de mayo de 2017"/>
    <d v="2017-05-01T00:00:00"/>
    <s v="26.000,00"/>
    <s v="Veintiseis Mil Bolívares con 00/100"/>
  </r>
  <r>
    <n v="272"/>
    <m/>
    <s v="ü"/>
    <d v="2017-05-29T00:00:00"/>
    <n v="69000"/>
    <x v="45"/>
    <x v="42"/>
    <s v="Calle Güigüe Nro. 87-A-11"/>
    <s v="Cancelación Vigilancia, meses de Abril, Mayo y Junio/2017"/>
    <s v="Vigilancia"/>
    <m/>
    <s v="00272"/>
    <s v="29 de mayo de 2017"/>
    <d v="2017-05-01T00:00:00"/>
    <s v="69.000,00"/>
    <s v="Sesenta y Nueve Mil Bolívares con 00/100"/>
  </r>
  <r>
    <n v="273"/>
    <m/>
    <s v="ü"/>
    <d v="2017-05-29T00:00:00"/>
    <n v="26000"/>
    <x v="39"/>
    <x v="36"/>
    <s v="Calle Güigüe Nro. 88-111"/>
    <s v="Cancelación Vigilancia, mes de Mayo/2017"/>
    <s v="Vigilancia"/>
    <m/>
    <s v="00273"/>
    <s v="29 de mayo de 2017"/>
    <d v="2017-05-01T00:00:00"/>
    <s v="26.000,00"/>
    <s v="Veintiseis Mil Bolívares con 00/100"/>
  </r>
  <r>
    <n v="274"/>
    <m/>
    <s v="ü"/>
    <d v="2017-05-29T00:00:00"/>
    <n v="27000"/>
    <x v="26"/>
    <x v="24"/>
    <s v="Calle Güigüe Nro. 89-96"/>
    <s v="Cancelación Vigilancia, mes de Mayo/2017"/>
    <s v="Vigilancia"/>
    <m/>
    <s v="00274"/>
    <s v="29 de mayo de 2017"/>
    <d v="2017-05-01T00:00:00"/>
    <s v="27.000,00"/>
    <s v="Veintisiete Mil Bolívares con 00/100"/>
  </r>
  <r>
    <n v="275"/>
    <m/>
    <s v="ü"/>
    <d v="2017-06-01T00:00:00"/>
    <n v="20000"/>
    <x v="58"/>
    <x v="53"/>
    <s v="Calle Güigüe Nro. 88-51"/>
    <s v="Colaboración Vigilancia, mes de Mayo/2017"/>
    <s v="Vigilancia"/>
    <m/>
    <s v="00275"/>
    <s v="01 de junio de 2017"/>
    <d v="2017-06-01T00:00:00"/>
    <s v="20.000,00"/>
    <s v="Veinte Mil Bolívares con 00/100"/>
  </r>
  <r>
    <n v="276"/>
    <m/>
    <s v="ü"/>
    <d v="2017-06-01T00:00:00"/>
    <n v="4000"/>
    <x v="24"/>
    <x v="22"/>
    <s v="Calle Güigüe Nro. 88-54"/>
    <s v="Cancelación Saldo Vigilancia, mes de Mayo/2017"/>
    <s v="Vigilancia"/>
    <m/>
    <s v="00276"/>
    <s v="01 de junio de 2017"/>
    <d v="2017-06-01T00:00:00"/>
    <s v="4.000,00"/>
    <s v="Cuatro Mil Bolívares con 00/100"/>
  </r>
  <r>
    <n v="277"/>
    <m/>
    <s v="ü"/>
    <d v="2017-06-01T00:00:00"/>
    <n v="120000"/>
    <x v="75"/>
    <x v="65"/>
    <s v="Av. &quot;Ñ&quot; Nro. 145-25"/>
    <s v="Cancelación Vigilancia, meses de Ene-Jun/2017 (saldo a favor: Bs. 156.000)"/>
    <s v="Vigilancia"/>
    <m/>
    <s v="00277"/>
    <s v="01 de junio de 2017"/>
    <d v="2017-06-01T00:00:00"/>
    <s v="120.000,00"/>
    <s v="Ciento Veinte Mil Bolívares con 00/100"/>
  </r>
  <r>
    <n v="278"/>
    <m/>
    <s v="ü"/>
    <d v="2017-06-01T00:00:00"/>
    <n v="26000"/>
    <x v="0"/>
    <x v="0"/>
    <s v="Calle Guacara Nro. 88-45"/>
    <s v="Cancelación Vigilancia, mes de Junio/2017 (saldo a favor: Bs. 165.000)"/>
    <s v="Vigilancia"/>
    <m/>
    <s v="00278"/>
    <s v="01 de junio de 2017"/>
    <d v="2017-06-01T00:00:00"/>
    <s v="26.000,00"/>
    <s v="Veintiseis Mil Bolívares con 00/100"/>
  </r>
  <r>
    <n v="279"/>
    <m/>
    <s v="ü"/>
    <d v="2017-06-04T00:00:00"/>
    <n v="26000"/>
    <x v="76"/>
    <x v="66"/>
    <s v="Calle Güigüe Nro. 89-90"/>
    <s v="Cancelación Vigilancia, mes de Junio/2017"/>
    <s v="Vigilancia"/>
    <m/>
    <s v="00279"/>
    <s v="04 de junio de 2017"/>
    <d v="2017-06-01T00:00:00"/>
    <s v="26.000,00"/>
    <s v="Veintiseis Mil Bolívares con 00/100"/>
  </r>
  <r>
    <n v="280"/>
    <m/>
    <s v="ü"/>
    <d v="2017-06-04T00:00:00"/>
    <n v="17000"/>
    <x v="43"/>
    <x v="40"/>
    <s v="Calle Güigüe Nro. 88-50"/>
    <s v="Cancelación Vigilancia, mes de Abril/2017"/>
    <s v="Vigilancia"/>
    <m/>
    <s v="00280"/>
    <s v="04 de junio de 2017"/>
    <d v="2017-06-01T00:00:00"/>
    <s v="17.000,00"/>
    <s v="Diecisiete Mil Bolívares con 00/100"/>
  </r>
  <r>
    <n v="281"/>
    <m/>
    <s v="ü"/>
    <d v="2017-06-05T00:00:00"/>
    <n v="10000"/>
    <x v="7"/>
    <x v="7"/>
    <s v="Calle Guacara Nro. 87-86"/>
    <s v="Colaboración Vigilancia, mes de Junio/2017"/>
    <s v="Vigilancia"/>
    <m/>
    <s v="00281"/>
    <s v="05 de junio de 2017"/>
    <d v="2017-06-01T00:00:00"/>
    <s v="10.000,00"/>
    <s v="Diez Mil Bolívares con 00/100"/>
  </r>
  <r>
    <n v="282"/>
    <m/>
    <s v="ü"/>
    <d v="2017-06-05T00:00:00"/>
    <n v="26000"/>
    <x v="29"/>
    <x v="27"/>
    <s v="Calle Guacara Nro. 88-75"/>
    <s v="Cancelación Vigilancia, mes de Mayo/2017"/>
    <s v="Vigilancia"/>
    <m/>
    <s v="00282"/>
    <s v="05 de junio de 2017"/>
    <d v="2017-06-01T00:00:00"/>
    <s v="26.000,00"/>
    <s v="Veintiseis Mil Bolívares con 00/100"/>
  </r>
  <r>
    <n v="283"/>
    <m/>
    <s v="ü"/>
    <d v="2017-06-06T00:00:00"/>
    <n v="15000"/>
    <x v="35"/>
    <x v="32"/>
    <s v="Calle Güigüe Nro. 89-80"/>
    <s v="Colaboración Vigilancia, mes de Junio/2017"/>
    <s v="Vigilancia"/>
    <m/>
    <s v="00283"/>
    <s v="06 de junio de 2017"/>
    <d v="2017-06-01T00:00:00"/>
    <s v="15.000,00"/>
    <s v="Quince Mil Bolívares con 00/100"/>
  </r>
  <r>
    <n v="284"/>
    <m/>
    <s v="ü"/>
    <d v="2017-06-06T00:00:00"/>
    <n v="26000"/>
    <x v="31"/>
    <x v="29"/>
    <s v="Calle Güigüe Nro. 89-95"/>
    <s v="Cancelación Vigilancia, mes de Mayo/2017"/>
    <s v="Vigilancia"/>
    <m/>
    <s v="00284"/>
    <s v="06 de junio de 2017"/>
    <d v="2017-06-01T00:00:00"/>
    <s v="26.000,00"/>
    <s v="Veintiseis Mil Bolívares con 00/100"/>
  </r>
  <r>
    <n v="285"/>
    <m/>
    <s v="ü"/>
    <d v="2017-06-07T00:00:00"/>
    <n v="35000"/>
    <x v="32"/>
    <x v="30"/>
    <s v="Calle Güigüe Nro. 89-120"/>
    <s v="Cancelación Vigilancia, saldo mes de Mayo/2017 y Junio/2017"/>
    <s v="Vigilancia"/>
    <m/>
    <s v="00285"/>
    <s v="07 de junio de 2017"/>
    <d v="2017-06-01T00:00:00"/>
    <s v="35.000,00"/>
    <s v="Treinta y Cinco Mil Bolívares con 00/100"/>
  </r>
  <r>
    <n v="286"/>
    <m/>
    <s v="ü"/>
    <d v="2017-06-07T00:00:00"/>
    <n v="26000"/>
    <x v="1"/>
    <x v="1"/>
    <s v="Calle Güigüe Nro. 88-44"/>
    <s v="Cancelación Vigilancia, mes de Junio/2017"/>
    <s v="Vigilancia"/>
    <m/>
    <s v="00286"/>
    <s v="07 de junio de 2017"/>
    <d v="2017-06-01T00:00:00"/>
    <s v="26.000,00"/>
    <s v="Veintiseis Mil Bolívares con 00/100"/>
  </r>
  <r>
    <n v="287"/>
    <m/>
    <s v="ü"/>
    <d v="2017-06-07T00:00:00"/>
    <n v="27000"/>
    <x v="6"/>
    <x v="6"/>
    <s v="Calle Guacara Nro. 89-60"/>
    <s v="Cancelación Vigilancia, mes de Junio/2017"/>
    <s v="Vigilancia"/>
    <m/>
    <s v="00287"/>
    <s v="07 de junio de 2017"/>
    <d v="2017-06-01T00:00:00"/>
    <s v="27.000,00"/>
    <s v="Veintisiete Mil Bolívares con 00/100"/>
  </r>
  <r>
    <n v="288"/>
    <m/>
    <s v="ü"/>
    <d v="2017-06-07T00:00:00"/>
    <n v="26000"/>
    <x v="20"/>
    <x v="18"/>
    <s v="Calle Guacara Nro. 89-30"/>
    <s v="Cancelación Vigilancia, mes de Mayo/2017"/>
    <s v="Vigilancia"/>
    <m/>
    <s v="00288"/>
    <s v="07 de junio de 2017"/>
    <d v="2017-06-01T00:00:00"/>
    <s v="26.000,00"/>
    <s v="Veintiseis Mil Bolívares con 00/100"/>
  </r>
  <r>
    <n v="289"/>
    <m/>
    <s v="ü"/>
    <d v="2017-06-02T00:00:00"/>
    <n v="26000"/>
    <x v="10"/>
    <x v="10"/>
    <s v="Av. &quot;M&quot; Nro. 146-15"/>
    <s v="Cancelación Vigilancia, mes de Mayo/2017"/>
    <s v="Vigilancia"/>
    <m/>
    <s v="00289"/>
    <s v="02 de junio de 2017"/>
    <d v="2017-06-01T00:00:00"/>
    <s v="26.000,00"/>
    <s v="Veintiseis Mil Bolívares con 00/100"/>
  </r>
  <r>
    <n v="290"/>
    <m/>
    <s v="ü"/>
    <d v="2017-06-02T00:00:00"/>
    <n v="26000"/>
    <x v="64"/>
    <x v="57"/>
    <s v="Calle Guacara Nro. 88-35"/>
    <s v="Cancelación Vigilancia, mes de Mayo/2017"/>
    <s v="Vigilancia"/>
    <m/>
    <s v="00290"/>
    <s v="02 de junio de 2017"/>
    <d v="2017-06-01T00:00:00"/>
    <s v="26.000,00"/>
    <s v="Veintiseis Mil Bolívares con 00/100"/>
  </r>
  <r>
    <n v="291"/>
    <m/>
    <s v="ü"/>
    <d v="2017-06-04T00:00:00"/>
    <n v="26000"/>
    <x v="16"/>
    <x v="15"/>
    <s v="Calle Guacara Nro. 90-81"/>
    <s v="Cancelación Vigilancia, mes de Junio/2017"/>
    <s v="Vigilancia"/>
    <m/>
    <s v="00291"/>
    <s v="04 de junio de 2017"/>
    <d v="2017-06-01T00:00:00"/>
    <s v="26.000,00"/>
    <s v="Veintiseis Mil Bolívares con 00/100"/>
  </r>
  <r>
    <n v="292"/>
    <m/>
    <s v="ü"/>
    <d v="2017-06-06T00:00:00"/>
    <n v="26000"/>
    <x v="14"/>
    <x v="13"/>
    <s v="Calle Güigüe Nro. 89-83"/>
    <s v="Cancelación Vigilancia, mes de Junio/2017"/>
    <s v="Vigilancia"/>
    <m/>
    <s v="00292"/>
    <s v="06 de junio de 2017"/>
    <d v="2017-06-01T00:00:00"/>
    <s v="26.000,00"/>
    <s v="Veintiseis Mil Bolívares con 00/100"/>
  </r>
  <r>
    <n v="293"/>
    <m/>
    <s v="ü"/>
    <d v="2017-05-17T00:00:00"/>
    <n v="26000"/>
    <x v="54"/>
    <x v="50"/>
    <s v="Calle Güigüe Nro. 89-21"/>
    <s v="Cancelación Vigilancia, mes de Mayo/2017"/>
    <s v="Vigilancia"/>
    <m/>
    <s v="00293"/>
    <s v="17 de mayo de 2017"/>
    <d v="2017-05-01T00:00:00"/>
    <s v="26.000,00"/>
    <s v="Veintiseis Mil Bolívares con 00/100"/>
  </r>
  <r>
    <n v="294"/>
    <m/>
    <s v="ü"/>
    <d v="2017-06-02T00:00:00"/>
    <n v="26000"/>
    <x v="56"/>
    <x v="52"/>
    <s v="Calle Güigüe Nro. 88-70"/>
    <s v="Cancelación Vigilancia, mes de Mayo/2017"/>
    <s v="Vigilancia"/>
    <m/>
    <s v="00294"/>
    <s v="02 de junio de 2017"/>
    <d v="2017-06-01T00:00:00"/>
    <s v="26.000,00"/>
    <s v="Veintiseis Mil Bolívares con 00/100"/>
  </r>
  <r>
    <n v="295"/>
    <m/>
    <s v="ü"/>
    <d v="2017-06-09T00:00:00"/>
    <n v="26000"/>
    <x v="19"/>
    <x v="17"/>
    <s v="Calle Guacara Nro. 89-130"/>
    <s v="Cancelación Vigilancia, mes de Junio/2017"/>
    <s v="Vigilancia"/>
    <m/>
    <s v="00295"/>
    <s v="09 de junio de 2017"/>
    <d v="2017-06-01T00:00:00"/>
    <s v="26.000,00"/>
    <s v="Veintiseis Mil Bolívares con 00/100"/>
  </r>
  <r>
    <n v="296"/>
    <m/>
    <s v="ü"/>
    <d v="2017-06-09T00:00:00"/>
    <n v="52000"/>
    <x v="62"/>
    <x v="55"/>
    <s v="Av. &quot;M&quot; Nro. 145-10"/>
    <s v="Cancelación Vigilancia, meses de Mayo y Junio/2017"/>
    <s v="Vigilancia"/>
    <m/>
    <s v="00296"/>
    <s v="09 de junio de 2017"/>
    <d v="2017-06-01T00:00:00"/>
    <s v="52.000,00"/>
    <s v="Cincuenta y Dos Mil Bolívares con 00/100"/>
  </r>
  <r>
    <n v="297"/>
    <m/>
    <s v="ü"/>
    <d v="2017-06-01T00:00:00"/>
    <n v="17000"/>
    <x v="65"/>
    <x v="58"/>
    <s v="Calle Güigüe Nro. 88-10"/>
    <s v="Cancelación Vigilancia, mes de Abril/2017"/>
    <s v="Vigilancia"/>
    <m/>
    <s v="00297"/>
    <s v="01 de junio de 2017"/>
    <d v="2017-06-01T00:00:00"/>
    <s v="17.000,00"/>
    <s v="Diecisiete Mil Bolívares con 00/100"/>
  </r>
  <r>
    <n v="298"/>
    <m/>
    <s v="ü"/>
    <d v="2017-06-16T00:00:00"/>
    <n v="56000"/>
    <x v="18"/>
    <x v="16"/>
    <s v="Calle Guacara Nro. 87-100"/>
    <s v="Cancelación Vigilancia, mes de Junio y anticipo de Julio y Agosto/2017 (contra facturas)"/>
    <s v="Vigilancia"/>
    <m/>
    <s v="00298"/>
    <s v="16 de junio de 2017"/>
    <d v="2017-06-01T00:00:00"/>
    <s v="56.000,00"/>
    <s v="Cincuenta y Seis Mil Bolívares con 00/100"/>
  </r>
  <r>
    <n v="299"/>
    <m/>
    <s v="ü"/>
    <d v="2017-06-16T00:00:00"/>
    <n v="8000"/>
    <x v="17"/>
    <x v="16"/>
    <s v="Av. &quot;M&quot; Nro. 146-20"/>
    <s v="Colaboración Vigilancia, meses de Junio y Julio/2017 (contra facturas)"/>
    <s v="Vigilancia"/>
    <m/>
    <s v="00299"/>
    <s v="16 de junio de 2017"/>
    <d v="2017-06-01T00:00:00"/>
    <s v="8.000,00"/>
    <s v="Ocho Mil Bolívares con 00/100"/>
  </r>
  <r>
    <n v="300"/>
    <m/>
    <s v="ü"/>
    <d v="2017-06-08T00:00:00"/>
    <n v="20000"/>
    <x v="34"/>
    <x v="9"/>
    <s v="Av. &quot;O&quot; Nro. 146-11"/>
    <s v="Cancelación Vigilancia, mes de Mayo/2017"/>
    <s v="Vigilancia"/>
    <m/>
    <s v="00300"/>
    <s v="08 de junio de 2017"/>
    <d v="2017-06-01T00:00:00"/>
    <s v="20.000,00"/>
    <s v="Veinte Mil Bolívares con 00/100"/>
  </r>
  <r>
    <n v="301"/>
    <m/>
    <s v="ü"/>
    <d v="2017-05-15T00:00:00"/>
    <n v="17000"/>
    <x v="39"/>
    <x v="36"/>
    <s v="Calle Güigüe Nro. 88-111"/>
    <s v="Cancelación Vigilancia, mes de Abril/2017"/>
    <s v="Vigilancia"/>
    <m/>
    <s v="00301"/>
    <s v="15 de mayo de 2017"/>
    <d v="2017-05-01T00:00:00"/>
    <s v="17.000,00"/>
    <s v="Diecisiete Mil Bolívares con 00/100"/>
  </r>
  <r>
    <n v="302"/>
    <m/>
    <s v="ü"/>
    <d v="2017-06-05T00:00:00"/>
    <n v="26000"/>
    <x v="20"/>
    <x v="18"/>
    <s v="Calle Guacara Nro. 89-30"/>
    <s v="Cancelación Vigilancia, mes de Junio/2017"/>
    <s v="Vigilancia"/>
    <m/>
    <s v="00302"/>
    <s v="05 de junio de 2017"/>
    <d v="2017-06-01T00:00:00"/>
    <s v="26.000,00"/>
    <s v="Veintiseis Mil Bolívares con 00/100"/>
  </r>
  <r>
    <n v="303"/>
    <m/>
    <s v="ü"/>
    <d v="2017-06-14T00:00:00"/>
    <n v="10000"/>
    <x v="43"/>
    <x v="40"/>
    <s v="Calle Güigüe Nro. 88-50"/>
    <s v="Cuota especial, reja vereda Centro Comercial"/>
    <s v="Reja CC"/>
    <m/>
    <s v="00303"/>
    <s v="14 de junio de 2017"/>
    <d v="2017-06-01T00:00:00"/>
    <s v="10.000,00"/>
    <s v="Diez Mil Bolívares con 00/100"/>
  </r>
  <r>
    <n v="304"/>
    <m/>
    <s v="ü"/>
    <d v="2017-06-14T00:00:00"/>
    <n v="40000"/>
    <x v="73"/>
    <x v="9"/>
    <s v="Calle Güigüe Nros. 88-71 y 88-81"/>
    <s v="Cancelación Vigilancia, mes de Junio/2017"/>
    <s v="Vigilancia"/>
    <m/>
    <s v="00304"/>
    <s v="14 de junio de 2017"/>
    <d v="2017-06-01T00:00:00"/>
    <s v="40.000,00"/>
    <s v="Cuarenta Mil Bolívares con 00/100"/>
  </r>
  <r>
    <n v="305"/>
    <m/>
    <s v="ü"/>
    <d v="2017-06-14T00:00:00"/>
    <n v="7000"/>
    <x v="73"/>
    <x v="9"/>
    <s v="Calle Güigüe Nros. 88-71 y 88-81"/>
    <s v="Cuota especial, reja vereda Centro Comercial"/>
    <s v="Reja CC"/>
    <m/>
    <s v="00305"/>
    <s v="14 de junio de 2017"/>
    <d v="2017-06-01T00:00:00"/>
    <s v="7.000,00"/>
    <s v="Siete Mil Bolívares con 00/100"/>
  </r>
  <r>
    <n v="306"/>
    <m/>
    <s v="ü"/>
    <d v="2017-06-14T00:00:00"/>
    <n v="7000"/>
    <x v="29"/>
    <x v="27"/>
    <s v="Calle Guacara Nro. 88-75"/>
    <s v="Cuota especial, reja vereda Centro Comercial"/>
    <s v="Reja CC"/>
    <m/>
    <s v="00306"/>
    <s v="14 de junio de 2017"/>
    <d v="2017-06-01T00:00:00"/>
    <s v="7.000,00"/>
    <s v="Siete Mil Bolívares con 00/100"/>
  </r>
  <r>
    <n v="307"/>
    <m/>
    <s v="ü"/>
    <d v="2017-06-14T00:00:00"/>
    <n v="52000"/>
    <x v="44"/>
    <x v="41"/>
    <s v="Calle Guacara Nro. 89-40"/>
    <s v="Cancelación Vigilancia, meses de Mayo y Junio/2017"/>
    <s v="Vigilancia"/>
    <m/>
    <s v="00307"/>
    <s v="14 de junio de 2017"/>
    <d v="2017-06-01T00:00:00"/>
    <s v="52.000,00"/>
    <s v="Cincuenta y Dos Mil Bolívares con 00/100"/>
  </r>
  <r>
    <n v="308"/>
    <m/>
    <s v="ü"/>
    <d v="2017-06-14T00:00:00"/>
    <n v="7000"/>
    <x v="44"/>
    <x v="41"/>
    <s v="Calle Guacara Nro. 89-40"/>
    <s v="Cuota especial, reja vereda Centro Comercial"/>
    <s v="Reja CC"/>
    <m/>
    <s v="00308"/>
    <s v="14 de junio de 2017"/>
    <d v="2017-06-01T00:00:00"/>
    <s v="7.000,00"/>
    <s v="Siete Mil Bolívares con 00/100"/>
  </r>
  <r>
    <n v="309"/>
    <m/>
    <s v="ü"/>
    <d v="2017-06-14T00:00:00"/>
    <n v="34000"/>
    <x v="49"/>
    <x v="46"/>
    <s v="Av. &quot;O&quot; Nro. 146-17"/>
    <s v="Anticipo Vigilancia, meses de Mayo y Junio/2017"/>
    <s v="Vigilancia"/>
    <m/>
    <s v="00309"/>
    <s v="14 de junio de 2017"/>
    <d v="2017-06-01T00:00:00"/>
    <s v="34.000,00"/>
    <s v="Treinta y Cuatro Mil Bolívares con 00/100"/>
  </r>
  <r>
    <n v="310"/>
    <m/>
    <s v="ü"/>
    <d v="2017-06-14T00:00:00"/>
    <n v="7000"/>
    <x v="49"/>
    <x v="46"/>
    <s v="Av. &quot;O&quot; Nro. 146-17"/>
    <s v="Cuota especial, reja vereda Centro Comercial"/>
    <s v="Reja CC"/>
    <m/>
    <s v="00310"/>
    <s v="14 de junio de 2017"/>
    <d v="2017-06-01T00:00:00"/>
    <s v="7.000,00"/>
    <s v="Siete Mil Bolívares con 00/100"/>
  </r>
  <r>
    <n v="311"/>
    <m/>
    <s v="ü"/>
    <d v="2017-06-14T00:00:00"/>
    <n v="7000"/>
    <x v="6"/>
    <x v="6"/>
    <s v="Calle Guacara Nro. 89-60"/>
    <s v="Cuota especial, reja vereda Centro Comercial"/>
    <s v="Reja CC"/>
    <m/>
    <s v="00311"/>
    <s v="14 de junio de 2017"/>
    <d v="2017-06-01T00:00:00"/>
    <s v="7.000,00"/>
    <s v="Siete Mil Bolívares con 00/100"/>
  </r>
  <r>
    <n v="312"/>
    <m/>
    <s v="ü"/>
    <d v="2017-06-14T00:00:00"/>
    <n v="13000"/>
    <x v="68"/>
    <x v="60"/>
    <s v="Calle Güigüe Nro. 89-29"/>
    <s v="Colaboración Vigilancia, mes de Junio/2017"/>
    <s v="Vigilancia"/>
    <m/>
    <s v="00312"/>
    <s v="14 de junio de 2017"/>
    <d v="2017-06-01T00:00:00"/>
    <s v="13.000,00"/>
    <s v="Trece Mil Bolívares con 00/100"/>
  </r>
  <r>
    <n v="313"/>
    <m/>
    <s v="ü"/>
    <d v="2017-06-14T00:00:00"/>
    <n v="7000"/>
    <x v="1"/>
    <x v="1"/>
    <s v="Calle Güigüe Nro. 88-44"/>
    <s v="Cuota especial, reja vereda Centro Comercial"/>
    <s v="Reja CC"/>
    <m/>
    <s v="00313"/>
    <s v="14 de junio de 2017"/>
    <d v="2017-06-01T00:00:00"/>
    <s v="7.000,00"/>
    <s v="Siete Mil Bolívares con 00/100"/>
  </r>
  <r>
    <n v="314"/>
    <m/>
    <s v="ü"/>
    <d v="2017-06-14T00:00:00"/>
    <n v="7000"/>
    <x v="77"/>
    <x v="9"/>
    <s v="Calle Guacara Nro. 88-65"/>
    <s v="Cuota especial, reja vereda Centro Comercial"/>
    <s v="Reja CC"/>
    <m/>
    <s v="00314"/>
    <s v="14 de junio de 2017"/>
    <d v="2017-06-01T00:00:00"/>
    <s v="7.000,00"/>
    <s v="Siete Mil Bolívares con 00/100"/>
  </r>
  <r>
    <n v="315"/>
    <m/>
    <s v="ü"/>
    <d v="2017-06-15T00:00:00"/>
    <n v="15000"/>
    <x v="67"/>
    <x v="2"/>
    <s v="Calle Guacara Nro. 90-93"/>
    <s v="Colaboración Vigilancia, meses de Febrero a Junio/2017"/>
    <s v="Vigilancia"/>
    <m/>
    <s v="00315"/>
    <s v="15 de junio de 2017"/>
    <d v="2017-06-01T00:00:00"/>
    <s v="15.000,00"/>
    <s v="Quince Mil Bolívares con 00/100"/>
  </r>
  <r>
    <n v="316"/>
    <m/>
    <s v="ü"/>
    <d v="2017-06-15T00:00:00"/>
    <n v="5000"/>
    <x v="67"/>
    <x v="2"/>
    <s v="Calle Guacara Nro. 90-93"/>
    <s v="Colaboración cuota especial, reja vereda Centro Comercial"/>
    <s v="Reja CC"/>
    <m/>
    <s v="00316"/>
    <s v="15 de junio de 2017"/>
    <d v="2017-06-01T00:00:00"/>
    <s v="5.000,00"/>
    <s v="Cinco Mil Bolívares con 00/100"/>
  </r>
  <r>
    <n v="317"/>
    <m/>
    <s v="ü"/>
    <d v="2017-06-15T00:00:00"/>
    <n v="20000"/>
    <x v="2"/>
    <x v="2"/>
    <s v="Calle Guacara Nro. 88-19"/>
    <s v="Colaboración Vigilancia, mes de Junio/2017"/>
    <s v="Vigilancia"/>
    <m/>
    <s v="00317"/>
    <s v="15 de junio de 2017"/>
    <d v="2017-06-01T00:00:00"/>
    <s v="20.000,00"/>
    <s v="Veinte Mil Bolívares con 00/100"/>
  </r>
  <r>
    <n v="318"/>
    <m/>
    <s v="ü"/>
    <d v="2017-06-15T00:00:00"/>
    <n v="7000"/>
    <x v="20"/>
    <x v="18"/>
    <s v="Calle Guacara Nro. 89-30"/>
    <s v="Cuota especial, reja vereda Centro Comercial"/>
    <s v="Reja CC"/>
    <m/>
    <s v="00318"/>
    <s v="15 de junio de 2017"/>
    <d v="2017-06-01T00:00:00"/>
    <s v="7.000,00"/>
    <s v="Siete Mil Bolívares con 00/100"/>
  </r>
  <r>
    <n v="319"/>
    <m/>
    <s v="ü"/>
    <d v="2017-06-15T00:00:00"/>
    <n v="1500"/>
    <x v="20"/>
    <x v="18"/>
    <s v="Calle Guacara Nro. 89-30"/>
    <s v="Compra de tres (03) calcomanías a Bs. 500 c/u"/>
    <s v="Logo"/>
    <m/>
    <s v="00319"/>
    <s v="15 de junio de 2017"/>
    <d v="2017-06-01T00:00:00"/>
    <s v="1.500,00"/>
    <s v="Mil Quinientos Bolívares con 00/100"/>
  </r>
  <r>
    <n v="320"/>
    <m/>
    <s v="ü"/>
    <d v="2017-06-15T00:00:00"/>
    <n v="7000"/>
    <x v="4"/>
    <x v="4"/>
    <s v="Calle Güigüe Nro. 89-55"/>
    <s v="Cuota especial, reja vereda Centro Comercial"/>
    <s v="Reja CC"/>
    <m/>
    <s v="00320"/>
    <s v="15 de junio de 2017"/>
    <d v="2017-06-01T00:00:00"/>
    <s v="7.000,00"/>
    <s v="Siete Mil Bolívares con 00/100"/>
  </r>
  <r>
    <n v="321"/>
    <m/>
    <s v="ü"/>
    <d v="2017-06-16T00:00:00"/>
    <n v="7000"/>
    <x v="38"/>
    <x v="35"/>
    <s v="Calle Guacara Nro. 89-78"/>
    <s v="Cuota especial, reja vereda Centro Comercial"/>
    <s v="Reja CC"/>
    <m/>
    <s v="00321"/>
    <s v="16 de junio de 2017"/>
    <d v="2017-06-01T00:00:00"/>
    <s v="7.000,00"/>
    <s v="Siete Mil Bolívares con 00/100"/>
  </r>
  <r>
    <n v="322"/>
    <m/>
    <s v="ü"/>
    <d v="2017-06-16T00:00:00"/>
    <n v="7000"/>
    <x v="18"/>
    <x v="16"/>
    <s v="Calle Guacara Nro. 87-100"/>
    <s v="Cuota especial, reja vereda Centro Comercial"/>
    <s v="Reja CC"/>
    <m/>
    <s v="00322"/>
    <s v="16 de junio de 2017"/>
    <d v="2017-06-01T00:00:00"/>
    <s v="7.000,00"/>
    <s v="Siete Mil Bolívares con 00/100"/>
  </r>
  <r>
    <n v="323"/>
    <m/>
    <s v="ü"/>
    <d v="2017-06-16T00:00:00"/>
    <n v="27000"/>
    <x v="38"/>
    <x v="35"/>
    <s v="Calle Guacara Nro. 89-78"/>
    <s v="Cancelación Vigilancia, mes de Mayo y anticipo de Junio/2017"/>
    <s v="Vigilancia"/>
    <m/>
    <s v="00323"/>
    <s v="16 de junio de 2017"/>
    <d v="2017-06-01T00:00:00"/>
    <s v="27.000,00"/>
    <s v="Veintisiete Mil Bolívares con 00/100"/>
  </r>
  <r>
    <n v="324"/>
    <m/>
    <s v="ü"/>
    <d v="2017-06-16T00:00:00"/>
    <n v="26000"/>
    <x v="64"/>
    <x v="57"/>
    <s v="Calle Guacara Nro. 88-35"/>
    <s v="Cancelación Vigilancia, mes de Junio/2017, contra factura"/>
    <s v="Vigilancia"/>
    <m/>
    <s v="00324"/>
    <s v="16 de junio de 2017"/>
    <d v="2017-06-01T00:00:00"/>
    <s v="26.000,00"/>
    <s v="Veintiseis Mil Bolívares con 00/100"/>
  </r>
  <r>
    <n v="325"/>
    <m/>
    <s v="ü"/>
    <d v="2017-06-16T00:00:00"/>
    <n v="7000"/>
    <x v="7"/>
    <x v="7"/>
    <s v="Calle Guacara Nro. 87-86"/>
    <s v="Cuota especial, reja vereda Centro Comercial"/>
    <s v="Reja CC"/>
    <m/>
    <s v="00325"/>
    <s v="16 de junio de 2017"/>
    <d v="2017-06-01T00:00:00"/>
    <s v="7.000,00"/>
    <s v="Siete Mil Bolívares con 00/100"/>
  </r>
  <r>
    <n v="326"/>
    <m/>
    <s v="ü"/>
    <d v="2017-06-16T00:00:00"/>
    <n v="26000"/>
    <x v="4"/>
    <x v="4"/>
    <s v="Calle Güigüe Nro. 89-55"/>
    <s v="Cancelación Vigilancia, mes de Junio/2017"/>
    <s v="Vigilancia"/>
    <m/>
    <s v="00326"/>
    <s v="16 de junio de 2017"/>
    <d v="2017-06-01T00:00:00"/>
    <s v="26.000,00"/>
    <s v="Veintiseis Mil Bolívares con 00/100"/>
  </r>
  <r>
    <n v="327"/>
    <m/>
    <s v="ü"/>
    <d v="2017-06-17T00:00:00"/>
    <n v="26000"/>
    <x v="37"/>
    <x v="34"/>
    <s v="Av. &quot;I&quot; Nro. 146-40"/>
    <s v="Cancelación Vigilancia, mes de Mayo/2017"/>
    <s v="Vigilancia"/>
    <m/>
    <s v="00327"/>
    <s v="17 de junio de 2017"/>
    <d v="2017-06-01T00:00:00"/>
    <s v="26.000,00"/>
    <s v="Veintiseis Mil Bolívares con 00/100"/>
  </r>
  <r>
    <n v="328"/>
    <m/>
    <s v="ü"/>
    <d v="2017-06-19T00:00:00"/>
    <n v="56000"/>
    <x v="36"/>
    <x v="33"/>
    <s v="Calle Güigüe Nro. 89-10"/>
    <s v="Cancelación Vigilancia, meses de Abril y Mayo/2017 y adelanto del mes de Junio/2017, contra factura"/>
    <s v="Vigilancia"/>
    <m/>
    <s v="00328"/>
    <s v="19 de junio de 2017"/>
    <d v="2017-06-01T00:00:00"/>
    <s v="56.000,00"/>
    <s v="Cincuenta y Seis Mil Bolívares con 00/100"/>
  </r>
  <r>
    <n v="329"/>
    <m/>
    <s v="ü"/>
    <d v="2017-06-19T00:00:00"/>
    <n v="7000"/>
    <x v="16"/>
    <x v="15"/>
    <s v="Calle Guacara Nro. 90-81"/>
    <s v="Cuota especial, reja vereda Centro Comercial"/>
    <s v="Reja CC"/>
    <m/>
    <s v="00329"/>
    <s v="19 de junio de 2017"/>
    <d v="2017-06-01T00:00:00"/>
    <s v="7.000,00"/>
    <s v="Siete Mil Bolívares con 00/100"/>
  </r>
  <r>
    <n v="330"/>
    <m/>
    <s v="ü"/>
    <d v="2017-06-20T00:00:00"/>
    <n v="7000"/>
    <x v="56"/>
    <x v="52"/>
    <s v="Calle Güigüe Nro. 88-70"/>
    <s v="Cuota especial, reja vereda Centro Comercial"/>
    <s v="Reja CC"/>
    <m/>
    <s v="00330"/>
    <s v="20 de junio de 2017"/>
    <d v="2017-06-01T00:00:00"/>
    <s v="7.000,00"/>
    <s v="Siete Mil Bolívares con 00/100"/>
  </r>
  <r>
    <n v="331"/>
    <m/>
    <s v="ü"/>
    <d v="2017-06-20T00:00:00"/>
    <n v="7000"/>
    <x v="35"/>
    <x v="32"/>
    <s v="Calle Güigüe Nro. 89-80"/>
    <s v="Cuota especial, reja vereda Centro Comercial"/>
    <s v="Reja CC"/>
    <m/>
    <s v="00331"/>
    <s v="20 de junio de 2017"/>
    <d v="2017-06-01T00:00:00"/>
    <s v="7.000,00"/>
    <s v="Siete Mil Bolívares con 00/100"/>
  </r>
  <r>
    <n v="332"/>
    <m/>
    <s v="ü"/>
    <d v="2017-06-21T00:00:00"/>
    <n v="13000"/>
    <x v="36"/>
    <x v="33"/>
    <s v="Calle Güigüe Nro. 89-10"/>
    <s v="Cancelación saldo Vigilancia, mes de Junio/2017"/>
    <s v="Vigilancia"/>
    <m/>
    <s v="00332"/>
    <s v="21 de junio de 2017"/>
    <d v="2017-06-01T00:00:00"/>
    <s v="13.000,00"/>
    <s v="Trece Mil Bolívares con 00/100"/>
  </r>
  <r>
    <n v="333"/>
    <m/>
    <s v="ü"/>
    <d v="2017-06-21T00:00:00"/>
    <n v="7000"/>
    <x v="36"/>
    <x v="33"/>
    <s v="Calle Güigüe Nro. 89-10"/>
    <s v="Cuota especial, reja vereda Centro Comercial"/>
    <s v="Reja CC"/>
    <m/>
    <s v="00333"/>
    <s v="21 de junio de 2017"/>
    <d v="2017-06-01T00:00:00"/>
    <s v="7.000,00"/>
    <s v="Siete Mil Bolívares con 00/100"/>
  </r>
  <r>
    <n v="334"/>
    <m/>
    <s v="ü"/>
    <d v="2017-06-21T00:00:00"/>
    <n v="7500"/>
    <x v="78"/>
    <x v="67"/>
    <s v="Calle Güigüe Nro. 88-61"/>
    <s v="Cuota especial, reja vereda Centro Comercial"/>
    <s v="Reja CC"/>
    <m/>
    <s v="00334"/>
    <s v="21 de junio de 2017"/>
    <d v="2017-06-01T00:00:00"/>
    <s v="7.500,00"/>
    <s v="Siete Mil Quinientos Bolívares con 00/100"/>
  </r>
  <r>
    <n v="335"/>
    <m/>
    <s v="ü"/>
    <d v="2017-06-21T00:00:00"/>
    <n v="7000"/>
    <x v="59"/>
    <x v="9"/>
    <s v="Calle Guacara Nro. 90-35"/>
    <s v="Cuota especial, reja vereda Centro Comercial"/>
    <s v="Reja CC"/>
    <m/>
    <s v="00335"/>
    <s v="21 de junio de 2017"/>
    <d v="2017-06-01T00:00:00"/>
    <s v="7.000,00"/>
    <s v="Siete Mil Bolívares con 00/100"/>
  </r>
  <r>
    <n v="336"/>
    <m/>
    <s v="ü"/>
    <d v="2017-06-21T00:00:00"/>
    <n v="30000"/>
    <x v="9"/>
    <x v="9"/>
    <s v="Av. &quot;M&quot; Nro. 146-30"/>
    <s v="Cancelación Vigilancia, mes de Junio/2017"/>
    <s v="Vigilancia"/>
    <m/>
    <s v="00336"/>
    <s v="21 de junio de 2017"/>
    <d v="2017-06-01T00:00:00"/>
    <s v="30.000,00"/>
    <s v="Treinta Mil Bolívares con 00/100"/>
  </r>
  <r>
    <n v="337"/>
    <m/>
    <s v="ü"/>
    <d v="2017-06-21T00:00:00"/>
    <n v="7000"/>
    <x v="9"/>
    <x v="9"/>
    <s v="Av. &quot;M&quot; Nro. 146-30"/>
    <s v="Cuota especial, reja vereda Centro Comercial"/>
    <s v="Reja CC"/>
    <m/>
    <s v="00337"/>
    <s v="21 de junio de 2017"/>
    <d v="2017-06-01T00:00:00"/>
    <s v="7.000,00"/>
    <s v="Siete Mil Bolívares con 00/100"/>
  </r>
  <r>
    <n v="338"/>
    <m/>
    <s v="ü"/>
    <d v="2017-06-21T00:00:00"/>
    <n v="5000"/>
    <x v="34"/>
    <x v="31"/>
    <s v="Av. &quot;O&quot; Nro. 146-11"/>
    <s v="Anticipo cuota especial, reja vereda Centro Comercial"/>
    <s v="Reja CC"/>
    <m/>
    <s v="00338"/>
    <s v="21 de junio de 2017"/>
    <d v="2017-06-01T00:00:00"/>
    <s v="5.000,00"/>
    <s v="Cinco Mil Bolívares con 00/100"/>
  </r>
  <r>
    <n v="339"/>
    <m/>
    <s v="ü"/>
    <d v="2017-06-21T00:00:00"/>
    <n v="9000"/>
    <x v="42"/>
    <x v="39"/>
    <s v="Calle Güigüe Nro. 89-79"/>
    <s v="Cancelación saldo Vigilancia, mes de Junio/2017"/>
    <s v="Vigilancia"/>
    <m/>
    <s v="00339"/>
    <s v="21 de junio de 2017"/>
    <d v="2017-06-01T00:00:00"/>
    <s v="9.000,00"/>
    <s v="Nueve Mil Bolívares con 00/100"/>
  </r>
  <r>
    <n v="340"/>
    <m/>
    <s v="ü"/>
    <d v="2017-06-21T00:00:00"/>
    <n v="7000"/>
    <x v="42"/>
    <x v="39"/>
    <s v="Calle Güigüe Nro. 89-79"/>
    <s v="Cuota especial, reja vereda Centro Comercial"/>
    <s v="Reja CC"/>
    <m/>
    <s v="00340"/>
    <s v="21 de junio de 2017"/>
    <d v="2017-06-01T00:00:00"/>
    <s v="7.000,00"/>
    <s v="Siete Mil Bolívares con 00/100"/>
  </r>
  <r>
    <n v="341"/>
    <m/>
    <s v="ü"/>
    <d v="2017-06-21T00:00:00"/>
    <n v="7000"/>
    <x v="31"/>
    <x v="29"/>
    <s v="Calle Güigüe Nro. 89-95"/>
    <s v="Cuota especial, reja vereda Centro Comercial"/>
    <s v="Reja CC"/>
    <m/>
    <s v="00341"/>
    <s v="21 de junio de 2017"/>
    <d v="2017-06-01T00:00:00"/>
    <s v="7.000,00"/>
    <s v="Siete Mil Bolívares con 00/100"/>
  </r>
  <r>
    <n v="342"/>
    <m/>
    <s v="ü"/>
    <d v="2017-06-21T00:00:00"/>
    <n v="7000"/>
    <x v="11"/>
    <x v="11"/>
    <s v="Calle Guacara Nro. 89-86"/>
    <s v="Cuota especial, reja vereda Centro Comercial"/>
    <s v="Reja CC"/>
    <m/>
    <s v="00342"/>
    <s v="21 de junio de 2017"/>
    <d v="2017-06-01T00:00:00"/>
    <s v="7.000,00"/>
    <s v="Siete Mil Bolívares con 00/100"/>
  </r>
  <r>
    <n v="343"/>
    <m/>
    <s v="ü"/>
    <d v="2017-06-21T00:00:00"/>
    <n v="26000"/>
    <x v="30"/>
    <x v="28"/>
    <s v="Calle Güigüe Nro. 89-04"/>
    <s v="Cancelación Vigilancia, mes de Junio/2017"/>
    <s v="Vigilancia"/>
    <m/>
    <s v="00343"/>
    <s v="21 de junio de 2017"/>
    <d v="2017-06-01T00:00:00"/>
    <s v="26.000,00"/>
    <s v="Veintiseis Mil Bolívares con 00/100"/>
  </r>
  <r>
    <n v="344"/>
    <m/>
    <s v="ü"/>
    <d v="2017-06-21T00:00:00"/>
    <n v="7000"/>
    <x v="30"/>
    <x v="28"/>
    <s v="Calle Güigüe Nro. 89-04"/>
    <s v="Cuota especial, reja vereda Centro Comercial"/>
    <s v="Reja CC"/>
    <m/>
    <s v="00344"/>
    <s v="21 de junio de 2017"/>
    <d v="2017-06-01T00:00:00"/>
    <s v="7.000,00"/>
    <s v="Siete Mil Bolívares con 00/100"/>
  </r>
  <r>
    <n v="345"/>
    <m/>
    <s v="ü"/>
    <d v="2017-06-22T00:00:00"/>
    <n v="7000"/>
    <x v="19"/>
    <x v="17"/>
    <s v="Calle Guacara Nro. 89-130"/>
    <s v="Cuota especial, reja vereda Centro Comercial"/>
    <s v="Reja CC"/>
    <m/>
    <s v="00345"/>
    <s v="22 de junio de 2017"/>
    <d v="2017-06-01T00:00:00"/>
    <s v="7.000,00"/>
    <s v="Siete Mil Bolívares con 00/100"/>
  </r>
  <r>
    <n v="346"/>
    <m/>
    <s v="ü"/>
    <d v="2017-06-22T00:00:00"/>
    <n v="3000"/>
    <x v="60"/>
    <x v="54"/>
    <s v="Calle Guacara Nro. 88-51"/>
    <s v="Colaboración cuota especial, reja vereda Centro Comercial"/>
    <s v="Reja CC"/>
    <m/>
    <s v="00346"/>
    <s v="22 de junio de 2017"/>
    <d v="2017-06-01T00:00:00"/>
    <s v="3.000,00"/>
    <s v="Tres Mil Bolívares con 00/100"/>
  </r>
  <r>
    <n v="347"/>
    <m/>
    <s v="ü"/>
    <d v="2017-06-22T00:00:00"/>
    <n v="7000"/>
    <x v="48"/>
    <x v="9"/>
    <s v="Calle Güigüe Nro. 88-90"/>
    <s v="Cuota especial, reja vereda Centro Comercial"/>
    <s v="Reja CC"/>
    <m/>
    <s v="00347"/>
    <s v="22 de junio de 2017"/>
    <d v="2017-06-01T00:00:00"/>
    <s v="7.000,00"/>
    <s v="Siete Mil Bolívares con 00/100"/>
  </r>
  <r>
    <n v="348"/>
    <m/>
    <s v="ü"/>
    <d v="2017-06-22T00:00:00"/>
    <n v="4320"/>
    <x v="2"/>
    <x v="2"/>
    <s v="Calle Guacara Nro. 88-19"/>
    <s v="Colaboración cuota especial, reja vereda Centro Comercial"/>
    <s v="Reja CC"/>
    <m/>
    <s v="00348"/>
    <s v="22 de junio de 2017"/>
    <d v="2017-06-01T00:00:00"/>
    <s v="4.320,00"/>
    <s v="Cuatro Mil Trescientos Veinte Bolívares con 00/100"/>
  </r>
  <r>
    <n v="349"/>
    <m/>
    <s v="ü"/>
    <d v="2017-06-22T00:00:00"/>
    <n v="26000"/>
    <x v="40"/>
    <x v="37"/>
    <s v="Calle Güigüe Nro. 88-101"/>
    <s v="Cancelación Vigilancia, mes de Junio/2017"/>
    <s v="Vigilancia"/>
    <m/>
    <s v="00349"/>
    <s v="22 de junio de 2017"/>
    <d v="2017-06-01T00:00:00"/>
    <s v="26.000,00"/>
    <s v="Veintiseis Mil Bolívares con 00/100"/>
  </r>
  <r>
    <n v="350"/>
    <m/>
    <s v="ü"/>
    <d v="2017-06-22T00:00:00"/>
    <n v="7000"/>
    <x v="40"/>
    <x v="37"/>
    <s v="Calle Güigüe Nro. 88-101"/>
    <s v="Cuota especial, reja vereda Centro Comercial"/>
    <s v="Reja CC"/>
    <m/>
    <s v="00350"/>
    <s v="22 de junio de 2017"/>
    <d v="2017-06-01T00:00:00"/>
    <s v="7.000,00"/>
    <s v="Siete Mil Bolívares con 00/100"/>
  </r>
  <r>
    <n v="351"/>
    <m/>
    <s v="ü"/>
    <d v="2017-06-22T00:00:00"/>
    <n v="26000"/>
    <x v="43"/>
    <x v="40"/>
    <s v="Calle Güigüe Nro. 88-50"/>
    <s v="Cancelación Vigilancia, mes de Mayo/2017"/>
    <s v="Vigilancia"/>
    <m/>
    <s v="00351"/>
    <s v="22 de junio de 2017"/>
    <d v="2017-06-01T00:00:00"/>
    <s v="26.000,00"/>
    <s v="Veintiseis Mil Bolívares con 00/100"/>
  </r>
  <r>
    <n v="352"/>
    <m/>
    <s v="ü"/>
    <d v="2017-06-22T00:00:00"/>
    <n v="7000"/>
    <x v="27"/>
    <x v="25"/>
    <s v="Calle Güigüe Nro. 89-106"/>
    <s v="Cuota especial, reja vereda Centro Comercial"/>
    <s v="Reja CC"/>
    <m/>
    <s v="00352"/>
    <s v="22 de junio de 2017"/>
    <d v="2017-06-01T00:00:00"/>
    <s v="7.000,00"/>
    <s v="Siete Mil Bolívares con 00/100"/>
  </r>
  <r>
    <n v="353"/>
    <m/>
    <s v="ü"/>
    <d v="2017-06-23T00:00:00"/>
    <n v="7000"/>
    <x v="58"/>
    <x v="53"/>
    <s v="Calle Güigüe Nro. 88-51"/>
    <s v="Cuota especial, reja vereda Centro Comercial"/>
    <s v="Reja CC"/>
    <m/>
    <s v="00353"/>
    <s v="23 de junio de 2017"/>
    <d v="2017-06-01T00:00:00"/>
    <s v="7.000,00"/>
    <s v="Siete Mil Bolívares con 00/100"/>
  </r>
  <r>
    <n v="354"/>
    <m/>
    <s v="ü"/>
    <d v="2017-06-24T00:00:00"/>
    <n v="30000"/>
    <x v="71"/>
    <x v="62"/>
    <s v="Calle Güigüe Nro. 89-71"/>
    <s v="Colaboración Vigilancia, meses de Abril y Mayo/2017"/>
    <s v="Vigilancia"/>
    <m/>
    <s v="00354"/>
    <s v="24 de junio de 2017"/>
    <d v="2017-06-01T00:00:00"/>
    <s v="30.000,00"/>
    <s v="Treinta Mil Bolívares con 00/100"/>
  </r>
  <r>
    <n v="355"/>
    <m/>
    <s v="ü"/>
    <d v="2017-06-24T00:00:00"/>
    <n v="20000"/>
    <x v="22"/>
    <x v="20"/>
    <s v="Calle Guacara Nro. 88-25"/>
    <s v="Colaboración Vigilancia, mes de Junio/2017"/>
    <s v="Vigilancia"/>
    <m/>
    <s v="00355"/>
    <s v="24 de junio de 2017"/>
    <d v="2017-06-01T00:00:00"/>
    <s v="20.000,00"/>
    <s v="Veinte Mil Bolívares con 00/100"/>
  </r>
  <r>
    <n v="356"/>
    <m/>
    <s v="ü"/>
    <d v="2017-06-26T00:00:00"/>
    <n v="7000"/>
    <x v="14"/>
    <x v="13"/>
    <s v="Calle Güigüe Nro. 89-83"/>
    <s v="Cuota especial, reja vereda Centro Comercial"/>
    <s v="Reja CC"/>
    <m/>
    <s v="00356"/>
    <s v="26 de junio de 2017"/>
    <d v="2017-06-01T00:00:00"/>
    <s v="7.000,00"/>
    <s v="Siete Mil Bolívares con 00/100"/>
  </r>
  <r>
    <n v="357"/>
    <m/>
    <s v="ü"/>
    <d v="2017-06-26T00:00:00"/>
    <n v="26000"/>
    <x v="24"/>
    <x v="22"/>
    <s v="Calle Güigüe Nro. 88-54"/>
    <s v="Cancelación Vigilancia, mes de Junio/2017"/>
    <s v="Vigilancia"/>
    <m/>
    <s v="00357"/>
    <s v="26 de junio de 2017"/>
    <d v="2017-06-01T00:00:00"/>
    <s v="26.000,00"/>
    <s v="Veintiseis Mil Bolívares con 00/100"/>
  </r>
  <r>
    <n v="358"/>
    <m/>
    <s v="ü"/>
    <d v="2017-06-26T00:00:00"/>
    <n v="26000"/>
    <x v="65"/>
    <x v="58"/>
    <s v="Calle Güigüe Nro. 88-10"/>
    <s v="Cancelación Vigilancia, mes de Mayo/2017"/>
    <s v="Vigilancia"/>
    <m/>
    <s v="00358"/>
    <s v="26 de junio de 2017"/>
    <d v="2017-06-01T00:00:00"/>
    <s v="26.000,00"/>
    <s v="Veintiseis Mil Bolívares con 00/100"/>
  </r>
  <r>
    <n v="359"/>
    <m/>
    <s v="ü"/>
    <d v="2017-06-26T00:00:00"/>
    <n v="7000"/>
    <x v="65"/>
    <x v="58"/>
    <s v="Calle Güigüe Nro. 88-10"/>
    <s v="Cuota especial, reja vereda Centro Comercial"/>
    <s v="Reja CC"/>
    <m/>
    <s v="00359"/>
    <s v="26 de junio de 2017"/>
    <d v="2017-06-01T00:00:00"/>
    <s v="7.000,00"/>
    <s v="Siete Mil Bolívares con 00/100"/>
  </r>
  <r>
    <n v="360"/>
    <m/>
    <s v="ü"/>
    <d v="2017-06-26T00:00:00"/>
    <n v="7000"/>
    <x v="57"/>
    <x v="9"/>
    <s v="Calle Güigüe Nro. 88-40"/>
    <s v="Cuota especial, reja vereda Centro Comercial"/>
    <s v="Reja CC"/>
    <m/>
    <s v="00360"/>
    <s v="26 de junio de 2017"/>
    <d v="2017-06-01T00:00:00"/>
    <s v="7.000,00"/>
    <s v="Siete Mil Bolívares con 00/100"/>
  </r>
  <r>
    <n v="361"/>
    <m/>
    <s v="ü"/>
    <d v="2017-06-27T00:00:00"/>
    <n v="7000"/>
    <x v="76"/>
    <x v="66"/>
    <s v="Calle Güigüe Nro. 89-90"/>
    <s v="Cuota especial, reja vereda Centro Comercial"/>
    <s v="Reja CC"/>
    <m/>
    <s v="00361"/>
    <s v="27 de junio de 2017"/>
    <d v="2017-06-01T00:00:00"/>
    <s v="7.000,00"/>
    <s v="Siete Mil Bolívares con 00/100"/>
  </r>
  <r>
    <n v="362"/>
    <m/>
    <s v="ü"/>
    <d v="2017-06-28T00:00:00"/>
    <n v="3000"/>
    <x v="28"/>
    <x v="26"/>
    <s v="Calle Güigüe Nro. 88-30"/>
    <s v="Colaboración Vigilancia, mes de Mayo/2017"/>
    <s v="Vigilancia"/>
    <m/>
    <s v="00362"/>
    <s v="28 de junio de 2017"/>
    <d v="2017-06-01T00:00:00"/>
    <s v="3.000,00"/>
    <s v="Tres Mil Bolívares con 00/100"/>
  </r>
  <r>
    <n v="363"/>
    <m/>
    <s v="ü"/>
    <d v="2017-06-20T00:00:00"/>
    <n v="26000"/>
    <x v="23"/>
    <x v="21"/>
    <s v="Calle Güigüe Nro. 88-116"/>
    <s v="Cancelación Vigilancia, mes de Junio/2017"/>
    <s v="Vigilancia"/>
    <m/>
    <s v="00363"/>
    <s v="20 de junio de 2017"/>
    <d v="2017-06-01T00:00:00"/>
    <s v="26.000,00"/>
    <s v="Veintiseis Mil Bolívares con 00/100"/>
  </r>
  <r>
    <n v="364"/>
    <m/>
    <s v="û"/>
    <d v="2017-06-28T00:00:00"/>
    <n v="7000"/>
    <x v="19"/>
    <x v="17"/>
    <s v="Calle Guacara Nro. 89-130"/>
    <s v="ANULADO: Cuota especial, reja vereda Centro Comercial"/>
    <s v="ANULADO"/>
    <m/>
    <s v="00364"/>
    <s v="28 de junio de 2017"/>
    <d v="2017-06-01T00:00:00"/>
    <s v="7.000,00"/>
    <s v="Siete Mil Bolívares con 00/100"/>
  </r>
  <r>
    <n v="365"/>
    <m/>
    <s v="ü"/>
    <d v="2017-06-28T00:00:00"/>
    <n v="17000"/>
    <x v="8"/>
    <x v="8"/>
    <s v="Calle Guacara Nro. 90-51"/>
    <s v="Cancelación Vigilancia, mes de Abril/2017"/>
    <s v="Vigilancia"/>
    <m/>
    <s v="00365"/>
    <s v="28 de junio de 2017"/>
    <d v="2017-06-01T00:00:00"/>
    <s v="17.000,00"/>
    <s v="Diecisiete Mil Bolívares con 00/100"/>
  </r>
  <r>
    <n v="366"/>
    <m/>
    <s v="ü"/>
    <d v="2017-06-28T00:00:00"/>
    <n v="52000"/>
    <x v="8"/>
    <x v="8"/>
    <s v="Calle Guacara Nro. 90-51"/>
    <s v="Cancelación Vigilancia, meses de Mayo y Junio/2017"/>
    <s v="Vigilancia"/>
    <m/>
    <s v="00366"/>
    <s v="28 de junio de 2017"/>
    <d v="2017-06-01T00:00:00"/>
    <s v="52.000,00"/>
    <s v="Cincuenta y Dos Mil Bolívares con 00/100"/>
  </r>
  <r>
    <n v="367"/>
    <m/>
    <s v="ü"/>
    <d v="2017-06-29T00:00:00"/>
    <n v="7000"/>
    <x v="64"/>
    <x v="57"/>
    <s v="Calle Guacara Nro. 88-35"/>
    <s v="Cuota especial, reja vereda Centro Comercial"/>
    <s v="Reja CC"/>
    <m/>
    <s v="00367"/>
    <s v="29 de junio de 2017"/>
    <d v="2017-06-01T00:00:00"/>
    <s v="7.000,00"/>
    <s v="Siete Mil Bolívares con 00/100"/>
  </r>
  <r>
    <n v="368"/>
    <m/>
    <s v="ü"/>
    <d v="2017-06-30T00:00:00"/>
    <n v="2000"/>
    <x v="34"/>
    <x v="31"/>
    <s v="Av. &quot;O&quot; Nro. 146-11"/>
    <s v="Cancelación saldo cuota especial, reja vereda Centro Comercial"/>
    <s v="Reja CC"/>
    <m/>
    <s v="00368"/>
    <s v="30 de junio de 2017"/>
    <d v="2017-06-01T00:00:00"/>
    <s v="2.000,00"/>
    <s v="Dos Mil Bolívares con 00/100"/>
  </r>
  <r>
    <n v="369"/>
    <m/>
    <s v="ü"/>
    <d v="2017-06-30T00:00:00"/>
    <n v="7000"/>
    <x v="72"/>
    <x v="63"/>
    <s v="Calle Güigüe Nro. 89-35"/>
    <s v="Cuota especial, reja vereda Centro Comercial"/>
    <s v="Reja CC"/>
    <m/>
    <s v="00369"/>
    <s v="30 de junio de 2017"/>
    <d v="2017-06-01T00:00:00"/>
    <s v="7.000,00"/>
    <s v="Siete Mil Bolívares con 00/100"/>
  </r>
  <r>
    <n v="370"/>
    <m/>
    <s v="ü"/>
    <d v="2017-06-30T00:00:00"/>
    <n v="5000"/>
    <x v="79"/>
    <x v="9"/>
    <s v="Calle Güigüe Nro. 89-30"/>
    <s v="Colaboración cuota especial, reja vereda Centro Comercial"/>
    <s v="Reja CC"/>
    <m/>
    <s v="00370"/>
    <s v="30 de junio de 2017"/>
    <d v="2017-06-01T00:00:00"/>
    <s v="5.000,00"/>
    <s v="Cinco Mil Bolívares con 00/100"/>
  </r>
  <r>
    <n v="371"/>
    <m/>
    <s v="ü"/>
    <d v="2017-06-30T00:00:00"/>
    <n v="27000"/>
    <x v="6"/>
    <x v="6"/>
    <s v="Calle Guacara Nro. 89-60"/>
    <s v="Anticipo Vigilancia, mes de Julio/2017"/>
    <s v="Vigilancia"/>
    <m/>
    <s v="00371"/>
    <s v="30 de junio de 2017"/>
    <d v="2017-06-01T00:00:00"/>
    <s v="27.000,00"/>
    <s v="Veintisiete Mil Bolívares con 00/100"/>
  </r>
  <r>
    <n v="372"/>
    <m/>
    <s v="ü"/>
    <d v="2017-07-02T00:00:00"/>
    <n v="5000"/>
    <x v="22"/>
    <x v="20"/>
    <s v="Calle Guacara Nro. 88-25"/>
    <s v="Colaboración cuota especial, reja vereda Centro Comercial"/>
    <s v="Reja CC"/>
    <m/>
    <s v="00372"/>
    <s v="02 de julio de 2017"/>
    <d v="2017-07-01T00:00:00"/>
    <s v="5.000,00"/>
    <s v="Cinco Mil Bolívares con 00/100"/>
  </r>
  <r>
    <n v="373"/>
    <m/>
    <s v="ü"/>
    <d v="2017-07-02T00:00:00"/>
    <n v="34000"/>
    <x v="61"/>
    <x v="14"/>
    <s v="Calle Guacara Nro. 87-07"/>
    <s v="Colaboración Vigilancia, meses de Junio y Julio/2017"/>
    <s v="Vigilancia"/>
    <m/>
    <s v="00373"/>
    <s v="02 de julio de 2017"/>
    <d v="2017-07-01T00:00:00"/>
    <s v="34.000,00"/>
    <s v="Treinta y Cuatro Mil Bolívares con 00/100"/>
  </r>
  <r>
    <n v="374"/>
    <m/>
    <s v="ü"/>
    <d v="2017-07-02T00:00:00"/>
    <n v="7000"/>
    <x v="61"/>
    <x v="14"/>
    <s v="Calle Guacara Nro. 87-07"/>
    <s v="Cuota especial, reja vereda Centro Comercial"/>
    <s v="Reja CC"/>
    <m/>
    <s v="00374"/>
    <s v="02 de julio de 2017"/>
    <d v="2017-07-01T00:00:00"/>
    <s v="7.000,00"/>
    <s v="Siete Mil Bolívares con 00/100"/>
  </r>
  <r>
    <n v="375"/>
    <m/>
    <s v="ü"/>
    <d v="2017-07-01T00:00:00"/>
    <n v="26000"/>
    <x v="0"/>
    <x v="0"/>
    <s v="Calle Guacara Nro. 88-45"/>
    <s v="Anticipo Vigilancia, mes de Julio/2017 (saldo a favor: Bs. 139.000)"/>
    <s v="Vigilancia"/>
    <m/>
    <s v="00375"/>
    <s v="01 de julio de 2017"/>
    <d v="2017-07-01T00:00:00"/>
    <s v="26.000,00"/>
    <s v="Veintiseis Mil Bolívares con 00/100"/>
  </r>
  <r>
    <n v="376"/>
    <m/>
    <s v="ü"/>
    <d v="2017-07-01T00:00:00"/>
    <n v="26000"/>
    <x v="75"/>
    <x v="65"/>
    <s v="Av. &quot;Ñ&quot; Nro. 145-25"/>
    <s v="Anticipo Vigilancia, mes de Julio/2017 (saldo a favor: Bs. 130.000)"/>
    <s v="Vigilancia"/>
    <m/>
    <s v="00376"/>
    <s v="01 de julio de 2017"/>
    <d v="2017-07-01T00:00:00"/>
    <s v="26.000,00"/>
    <s v="Veintiseis Mil Bolívares con 00/100"/>
  </r>
  <r>
    <n v="377"/>
    <m/>
    <s v="ü"/>
    <d v="2017-07-02T00:00:00"/>
    <n v="7000"/>
    <x v="24"/>
    <x v="22"/>
    <s v="Calle Güigüe Nro. 88-54"/>
    <s v="Cuota especial, reja vereda Centro Comercial"/>
    <s v="Reja CC"/>
    <m/>
    <s v="00377"/>
    <s v="02 de julio de 2017"/>
    <d v="2017-07-01T00:00:00"/>
    <s v="7.000,00"/>
    <s v="Siete Mil Bolívares con 00/100"/>
  </r>
  <r>
    <n v="378"/>
    <m/>
    <s v="ü"/>
    <d v="2017-07-03T00:00:00"/>
    <n v="26000"/>
    <x v="5"/>
    <x v="5"/>
    <s v="Calle Güigüe Nro. 88-120"/>
    <s v="Anticipo Vigilancia, mes de Julio/2017"/>
    <s v="Vigilancia"/>
    <m/>
    <s v="00378"/>
    <s v="03 de julio de 2017"/>
    <d v="2017-07-01T00:00:00"/>
    <s v="26.000,00"/>
    <s v="Veintiseis Mil Bolívares con 00/100"/>
  </r>
  <r>
    <n v="379"/>
    <m/>
    <s v="ü"/>
    <d v="2017-07-03T00:00:00"/>
    <n v="7000"/>
    <x v="5"/>
    <x v="5"/>
    <s v="Calle Güigüe Nro. 88-120"/>
    <s v="Cuota especial, reja vereda Centro Comercial"/>
    <s v="Reja CC"/>
    <m/>
    <s v="00379"/>
    <s v="03 de julio de 2017"/>
    <d v="2017-07-01T00:00:00"/>
    <s v="7.000,00"/>
    <s v="Siete Mil Bolívares con 00/100"/>
  </r>
  <r>
    <n v="380"/>
    <m/>
    <s v="ü"/>
    <d v="2017-07-03T00:00:00"/>
    <n v="25000"/>
    <x v="4"/>
    <x v="4"/>
    <s v="Calle Güigüe Nro. 89-55"/>
    <s v="Anticipo Vigilancia, mes de Julio/2017"/>
    <s v="Vigilancia"/>
    <m/>
    <s v="00380"/>
    <s v="03 de julio de 2017"/>
    <d v="2017-07-01T00:00:00"/>
    <s v="25.000,00"/>
    <s v="Veinticinco Mil Bolívares con 00/100"/>
  </r>
  <r>
    <n v="381"/>
    <m/>
    <s v="ü"/>
    <d v="2017-07-03T00:00:00"/>
    <n v="89387"/>
    <x v="3"/>
    <x v="3"/>
    <s v="Calle Güigüe Nro. 88-62"/>
    <s v="Cancelación saldo Vigilancia, mes de Feb/2017, y cancelación Vigilancia, meses de Mar-Jun/2017 (saldo a favor: Bs. 36.613)"/>
    <s v="Vigilancia"/>
    <m/>
    <s v="00381"/>
    <s v="03 de julio de 2017"/>
    <d v="2017-07-01T00:00:00"/>
    <s v="89.387,00"/>
    <s v="Ochenta y Nueve Mil Trescientos Ochenta y Siete Bolívares con 00/100"/>
  </r>
  <r>
    <n v="382"/>
    <m/>
    <s v="ü"/>
    <d v="2017-07-03T00:00:00"/>
    <n v="15000"/>
    <x v="15"/>
    <x v="14"/>
    <s v="Calle Guacara Nro. 89-94"/>
    <s v="Colaboración Vigilancia, mes de Julio/2017"/>
    <s v="Vigilancia"/>
    <m/>
    <s v="00382"/>
    <s v="03 de julio de 2017"/>
    <d v="2017-07-01T00:00:00"/>
    <s v="15.000,00"/>
    <s v="Quince Mil Bolívares con 00/100"/>
  </r>
  <r>
    <n v="383"/>
    <m/>
    <s v="ü"/>
    <d v="2017-07-03T00:00:00"/>
    <n v="7000"/>
    <x v="15"/>
    <x v="14"/>
    <s v="Calle Guacara Nro. 89-94"/>
    <s v="Cuota especial, reja vereda Centro Comercial"/>
    <s v="Reja CC"/>
    <m/>
    <s v="00383"/>
    <s v="03 de julio de 2017"/>
    <d v="2017-07-01T00:00:00"/>
    <s v="7.000,00"/>
    <s v="Siete Mil Bolívares con 00/100"/>
  </r>
  <r>
    <n v="384"/>
    <m/>
    <s v="ü"/>
    <d v="2017-07-04T00:00:00"/>
    <n v="94000"/>
    <x v="80"/>
    <x v="68"/>
    <s v="Calle Guacara Nro. 88-55"/>
    <s v="Cancelación Vigilancia, meses de Enero, Febrero, Marzo, Abril y Mayo/2017"/>
    <s v="Vigilancia"/>
    <m/>
    <s v="00384"/>
    <s v="04 de julio de 2017"/>
    <d v="2017-07-01T00:00:00"/>
    <s v="94.000,00"/>
    <s v="Noventa y Cuatro Mil Bolívares con 00/100"/>
  </r>
  <r>
    <n v="385"/>
    <m/>
    <s v="ü"/>
    <d v="2017-07-04T00:00:00"/>
    <n v="7000"/>
    <x v="45"/>
    <x v="42"/>
    <s v="Calle Güigüe Nro. 87-A-11"/>
    <s v="Cuota especial, reja vereda Centro Comercial"/>
    <s v="Reja CC"/>
    <m/>
    <s v="00385"/>
    <s v="04 de julio de 2017"/>
    <d v="2017-07-01T00:00:00"/>
    <s v="7.000,00"/>
    <s v="Siete Mil Bolívares con 00/100"/>
  </r>
  <r>
    <n v="386"/>
    <m/>
    <s v="ü"/>
    <d v="2017-07-05T00:00:00"/>
    <n v="10000"/>
    <x v="7"/>
    <x v="7"/>
    <s v="Calle Guacara Nro. 87-86"/>
    <s v="Colaboración Vigilancia, mes de Julio/2017"/>
    <s v="Vigilancia"/>
    <m/>
    <s v="00386"/>
    <s v="05 de julio de 2017"/>
    <d v="2017-07-01T00:00:00"/>
    <s v="10.000,00"/>
    <s v="Diez Mil Bolívares con 00/100"/>
  </r>
  <r>
    <n v="387"/>
    <m/>
    <s v="ü"/>
    <d v="2017-07-06T00:00:00"/>
    <n v="20000"/>
    <x v="58"/>
    <x v="53"/>
    <s v="Calle Güigüe Nro. 88-51"/>
    <s v="Colaboración Vigilancia, mes de Junio/2017"/>
    <s v="Vigilancia"/>
    <m/>
    <s v="00387"/>
    <s v="06 de julio de 2017"/>
    <d v="2017-07-01T00:00:00"/>
    <s v="20.000,00"/>
    <s v="Veinte Mil Bolívares con 00/100"/>
  </r>
  <r>
    <n v="388"/>
    <m/>
    <s v="ü"/>
    <d v="2017-07-06T00:00:00"/>
    <n v="26000"/>
    <x v="81"/>
    <x v="69"/>
    <s v="Calle Güigüe Nro. 89-65"/>
    <s v="Cancelación Vigilancia, mes de Junio/2017"/>
    <s v="Vigilancia"/>
    <m/>
    <s v="00388"/>
    <s v="06 de julio de 2017"/>
    <d v="2017-07-01T00:00:00"/>
    <s v="26.000,00"/>
    <s v="Veintiseis Mil Bolívares con 00/100"/>
  </r>
  <r>
    <n v="389"/>
    <m/>
    <s v="ü"/>
    <d v="2017-07-06T00:00:00"/>
    <n v="4000"/>
    <x v="81"/>
    <x v="69"/>
    <s v="Calle Güigüe Nro. 89-65"/>
    <s v="Colaboración cuota especial, reja vereda Centro Comercial"/>
    <s v="Reja CC"/>
    <m/>
    <s v="00389"/>
    <s v="06 de julio de 2017"/>
    <d v="2017-07-01T00:00:00"/>
    <s v="4.000,00"/>
    <s v="Cuatro Mil Bolívares con 00/100"/>
  </r>
  <r>
    <n v="390"/>
    <m/>
    <s v="ü"/>
    <d v="2017-07-06T00:00:00"/>
    <n v="26000"/>
    <x v="16"/>
    <x v="15"/>
    <s v="Calle Guacara Nro. 90-81"/>
    <s v="Anticipo Vigilancia, mes de Julio/2017"/>
    <s v="Vigilancia"/>
    <m/>
    <s v="00390"/>
    <s v="06 de julio de 2017"/>
    <d v="2017-07-01T00:00:00"/>
    <s v="26.000,00"/>
    <s v="Veintiseis Mil Bolívares con 00/100"/>
  </r>
  <r>
    <n v="391"/>
    <m/>
    <s v="ü"/>
    <d v="2017-07-07T00:00:00"/>
    <n v="52000"/>
    <x v="21"/>
    <x v="19"/>
    <s v="Calle Güigüe Nro. 89-105"/>
    <s v="Cancelación Vigilancia, mes de Junio y anticipo Julio/2017"/>
    <s v="Vigilancia"/>
    <m/>
    <s v="00391"/>
    <s v="07 de julio de 2017"/>
    <d v="2017-07-01T00:00:00"/>
    <s v="52.000,00"/>
    <s v="Cincuenta y Dos Mil Bolívares con 00/100"/>
  </r>
  <r>
    <n v="392"/>
    <m/>
    <s v="ü"/>
    <d v="2017-07-07T00:00:00"/>
    <n v="7000"/>
    <x v="21"/>
    <x v="19"/>
    <s v="Calle Güigüe Nro. 89-105"/>
    <s v="Cuota especial, reja vereda Centro Comercial"/>
    <s v="Reja CC"/>
    <m/>
    <s v="00392"/>
    <s v="07 de julio de 2017"/>
    <d v="2017-07-01T00:00:00"/>
    <s v="7.000,00"/>
    <s v="Siete Mil Bolívares con 00/100"/>
  </r>
  <r>
    <n v="393"/>
    <m/>
    <s v="ü"/>
    <d v="2017-06-06T00:00:00"/>
    <n v="26000"/>
    <x v="59"/>
    <x v="9"/>
    <s v="Calle Guacara Nro. 90-35"/>
    <s v="Cancelación Vigilancia, mes de Junio/2017"/>
    <s v="Vigilancia"/>
    <m/>
    <s v="00393"/>
    <s v="06 de junio de 2017"/>
    <d v="2017-06-01T00:00:00"/>
    <s v="26.000,00"/>
    <s v="Veintiseis Mil Bolívares con 00/100"/>
  </r>
  <r>
    <n v="394"/>
    <m/>
    <s v="ü"/>
    <d v="2017-07-09T00:00:00"/>
    <n v="26000"/>
    <x v="1"/>
    <x v="1"/>
    <s v="Calle Güigüe Nro. 88-44"/>
    <s v="Anticipo Vigilancia, mes de Julio/2017"/>
    <s v="Vigilancia"/>
    <m/>
    <s v="00394"/>
    <s v="09 de julio de 2017"/>
    <d v="2017-07-01T00:00:00"/>
    <s v="26.000,00"/>
    <s v="Veintiseis Mil Bolívares con 00/100"/>
  </r>
  <r>
    <n v="395"/>
    <m/>
    <s v="ü"/>
    <d v="2017-07-10T00:00:00"/>
    <n v="7000"/>
    <x v="23"/>
    <x v="21"/>
    <s v="Calle Güigüe Nro. 88-116"/>
    <s v="Cuota especial, reja vereda Centro Comercial"/>
    <s v="Reja CC"/>
    <m/>
    <s v="00395"/>
    <s v="10 de julio de 2017"/>
    <d v="2017-07-01T00:00:00"/>
    <s v="7.000,00"/>
    <s v="Siete Mil Bolívares con 00/100"/>
  </r>
  <r>
    <n v="396"/>
    <m/>
    <s v="ü"/>
    <d v="2017-07-10T00:00:00"/>
    <n v="26000"/>
    <x v="39"/>
    <x v="36"/>
    <s v="Calle Güigüe Nro. 88-111"/>
    <s v="Cancelación Vigilancia, mes de Junio/2017"/>
    <s v="Vigilancia"/>
    <m/>
    <s v="00396"/>
    <s v="10 de julio de 2017"/>
    <d v="2017-07-01T00:00:00"/>
    <s v="26.000,00"/>
    <s v="Veintiseis Mil Bolívares con 00/100"/>
  </r>
  <r>
    <n v="397"/>
    <m/>
    <s v="ü"/>
    <d v="2017-06-02T00:00:00"/>
    <n v="26000"/>
    <x v="5"/>
    <x v="5"/>
    <s v="Calle Güigüe Nro. 88-120"/>
    <s v="Cancelación Vigilancia, mes de Junio/2017"/>
    <s v="Vigilancia"/>
    <m/>
    <s v="00397"/>
    <s v="02 de junio de 2017"/>
    <d v="2017-06-01T00:00:00"/>
    <s v="26.000,00"/>
    <s v="Veintiseis Mil Bolívares con 00/100"/>
  </r>
  <r>
    <n v="398"/>
    <m/>
    <s v="ü"/>
    <d v="2017-07-11T00:00:00"/>
    <n v="26000"/>
    <x v="29"/>
    <x v="27"/>
    <s v="Calle Guacara Nro. 88-75"/>
    <s v="Cancelación Vigilancia, mes de Junio/2017"/>
    <s v="Vigilancia"/>
    <m/>
    <s v="00398"/>
    <s v="11 de julio de 2017"/>
    <d v="2017-07-01T00:00:00"/>
    <s v="26.000,00"/>
    <s v="Veintiseis Mil Bolívares con 00/100"/>
  </r>
  <r>
    <n v="399"/>
    <m/>
    <s v="ü"/>
    <d v="2017-06-14T00:00:00"/>
    <n v="26000"/>
    <x v="12"/>
    <x v="12"/>
    <s v="Calle Guacara Nro. 89-20"/>
    <s v="Cancelación Vigilancia, mes de Junio/2017"/>
    <s v="Vigilancia"/>
    <m/>
    <s v="00399"/>
    <s v="14 de junio de 2017"/>
    <d v="2017-06-01T00:00:00"/>
    <s v="26.000,00"/>
    <s v="Veintiseis Mil Bolívares con 00/100"/>
  </r>
  <r>
    <n v="400"/>
    <m/>
    <s v="ü"/>
    <d v="2017-06-14T00:00:00"/>
    <n v="7000"/>
    <x v="12"/>
    <x v="12"/>
    <s v="Calle Guacara Nro. 89-20"/>
    <s v="Cuota especial, reja vereda Centro Comercial"/>
    <s v="Reja CC"/>
    <m/>
    <s v="00400"/>
    <s v="14 de junio de 2017"/>
    <d v="2017-06-01T00:00:00"/>
    <s v="7.000,00"/>
    <s v="Siete Mil Bolívares con 00/100"/>
  </r>
  <r>
    <n v="401"/>
    <m/>
    <s v="ü"/>
    <d v="2017-07-11T00:00:00"/>
    <n v="26000"/>
    <x v="76"/>
    <x v="66"/>
    <s v="Calle Güigüe Nro. 89-90"/>
    <s v="Anticipo Vigilancia, mes de Julio/2017"/>
    <s v="Vigilancia"/>
    <m/>
    <s v="00401"/>
    <s v="11 de julio de 2017"/>
    <d v="2017-07-01T00:00:00"/>
    <s v="26.000,00"/>
    <s v="Veintiseis Mil Bolívares con 00/100"/>
  </r>
  <r>
    <n v="402"/>
    <m/>
    <s v="ü"/>
    <d v="2017-07-11T00:00:00"/>
    <n v="26000"/>
    <x v="12"/>
    <x v="12"/>
    <s v="Calle Guacara Nro. 89-20"/>
    <s v="Anticipo Vigilancia, mes de Julio/2017"/>
    <s v="Vigilancia"/>
    <m/>
    <s v="00402"/>
    <s v="11 de julio de 2017"/>
    <d v="2017-07-01T00:00:00"/>
    <s v="26.000,00"/>
    <s v="Veintiseis Mil Bolívares con 00/100"/>
  </r>
  <r>
    <n v="403"/>
    <m/>
    <s v="ü"/>
    <d v="2017-07-11T00:00:00"/>
    <n v="5000"/>
    <x v="55"/>
    <x v="51"/>
    <s v="Calle Güigüe Nro. 89-16"/>
    <s v="Colaboración cuota especial, reja vereda Centro Comercial"/>
    <s v="Reja CC"/>
    <m/>
    <s v="00403"/>
    <s v="11 de julio de 2017"/>
    <d v="2017-07-01T00:00:00"/>
    <s v="5.000,00"/>
    <s v="Cinco Mil Bolívares con 00/100"/>
  </r>
  <r>
    <n v="404"/>
    <m/>
    <s v="û"/>
    <d v="2017-07-11T00:00:00"/>
    <m/>
    <x v="55"/>
    <x v="51"/>
    <s v="Calle Güigüe Nro. 89-16"/>
    <s v="Donación de láminas de acerolit, manto asfáltico y vidrios para la caseta de vigilancia, quedando exonerada de pagos hasta Diciembre/2017"/>
    <s v="Vigilancia"/>
    <m/>
    <s v="00404"/>
    <s v="11 de julio de 2017"/>
    <d v="2017-07-01T00:00:00"/>
    <s v=" - - - "/>
    <s v="- - -"/>
  </r>
  <r>
    <n v="405"/>
    <m/>
    <s v="ü"/>
    <d v="2017-07-12T00:00:00"/>
    <n v="66000"/>
    <x v="63"/>
    <x v="56"/>
    <s v="Calle Guacara Nro. 88-85"/>
    <s v="Colaboración Vigilancia, meses de Abril, Mayo y Junio/2017"/>
    <s v="Vigilancia"/>
    <m/>
    <s v="00405"/>
    <s v="12 de julio de 2017"/>
    <d v="2017-07-01T00:00:00"/>
    <s v="66.000,00"/>
    <s v="Sesenta y Seis Mil Bolívares con 00/100"/>
  </r>
  <r>
    <n v="406"/>
    <m/>
    <s v="ü"/>
    <d v="2017-07-12T00:00:00"/>
    <n v="26000"/>
    <x v="45"/>
    <x v="42"/>
    <s v="Calle Güigüe Nro. 87-A-11"/>
    <s v="Anticipo Vigilancia, mes de Julio/2017"/>
    <s v="Vigilancia"/>
    <m/>
    <s v="00406"/>
    <s v="12 de julio de 2017"/>
    <d v="2017-07-01T00:00:00"/>
    <s v="26.000,00"/>
    <s v="Veintiseis Mil Bolívares con 00/100"/>
  </r>
  <r>
    <n v="407"/>
    <m/>
    <s v="ü"/>
    <d v="2017-07-12T00:00:00"/>
    <n v="26000"/>
    <x v="69"/>
    <x v="61"/>
    <s v="Calle Güigüe Nro. 89-40"/>
    <s v="Cancelación Vigilancia, mes de Junio y anticipo Julio/2017"/>
    <s v="Vigilancia"/>
    <m/>
    <s v="00407"/>
    <s v="12 de julio de 2017"/>
    <d v="2017-07-01T00:00:00"/>
    <s v="26.000,00"/>
    <s v="Veintiseis Mil Bolívares con 00/100"/>
  </r>
  <r>
    <n v="408"/>
    <m/>
    <s v="ü"/>
    <d v="2017-07-12T00:00:00"/>
    <n v="7000"/>
    <x v="69"/>
    <x v="61"/>
    <s v="Calle Güigüe Nro. 89-40"/>
    <s v="Cuota especial, reja vereda Centro Comercial"/>
    <s v="Reja CC"/>
    <m/>
    <s v="00408"/>
    <s v="12 de julio de 2017"/>
    <d v="2017-07-01T00:00:00"/>
    <s v="7.000,00"/>
    <s v="Siete Mil Bolívares con 00/100"/>
  </r>
  <r>
    <n v="409"/>
    <m/>
    <s v="ü"/>
    <d v="2017-07-12T00:00:00"/>
    <n v="26000"/>
    <x v="20"/>
    <x v="18"/>
    <s v="Calle Guacara Nro. 89-30"/>
    <s v="Anticipo Vigilancia, mes de Julio/2017"/>
    <s v="Vigilancia"/>
    <m/>
    <s v="00409"/>
    <s v="12 de julio de 2017"/>
    <d v="2017-07-01T00:00:00"/>
    <s v="26.000,00"/>
    <s v="Veintiseis Mil Bolívares con 00/100"/>
  </r>
  <r>
    <n v="410"/>
    <m/>
    <s v="ü"/>
    <d v="2017-07-12T00:00:00"/>
    <n v="10000"/>
    <x v="82"/>
    <x v="9"/>
    <s v="Calle Guacara Nro. 90-61"/>
    <s v="Colaboración Vigilancia, meses de Ene-May/2017"/>
    <s v="Vigilancia"/>
    <m/>
    <s v="00410"/>
    <s v="12 de julio de 2017"/>
    <d v="2017-07-01T00:00:00"/>
    <s v="10.000,00"/>
    <s v="Diez Mil Bolívares con 00/100"/>
  </r>
  <r>
    <n v="411"/>
    <m/>
    <s v="ü"/>
    <d v="2017-07-04T00:00:00"/>
    <n v="18000"/>
    <x v="49"/>
    <x v="46"/>
    <s v="Av. &quot;O&quot; Nro. 146-17"/>
    <s v="Cancelación saldo Vigilancia, meses de Mayo y Junio/2017"/>
    <s v="Vigilancia"/>
    <m/>
    <s v="00411"/>
    <s v="04 de julio de 2017"/>
    <d v="2017-07-01T00:00:00"/>
    <s v="18.000,00"/>
    <s v="Dieciocho Mil Bolívares con 00/100"/>
  </r>
  <r>
    <n v="412"/>
    <m/>
    <s v="ü"/>
    <d v="2017-07-12T00:00:00"/>
    <n v="26000"/>
    <x v="27"/>
    <x v="25"/>
    <s v="Calle Güigüe Nro. 89-106"/>
    <s v="Cancelación Vigilancia, mes de Junio/2017"/>
    <s v="Vigilancia"/>
    <m/>
    <s v="00412"/>
    <s v="12 de julio de 2017"/>
    <d v="2017-07-01T00:00:00"/>
    <s v="26.000,00"/>
    <s v="Veintiseis Mil Bolívares con 00/100"/>
  </r>
  <r>
    <n v="413"/>
    <m/>
    <s v="ü"/>
    <d v="2017-07-13T00:00:00"/>
    <n v="26000"/>
    <x v="31"/>
    <x v="29"/>
    <s v="Calle Güigüe Nro. 89-95"/>
    <s v="Cancelación Vigilancia, mes de Junio/2017"/>
    <s v="Vigilancia"/>
    <m/>
    <s v="00413"/>
    <s v="13 de julio de 2017"/>
    <d v="2017-07-01T00:00:00"/>
    <s v="26.000,00"/>
    <s v="Veintiseis Mil Bolívares con 00/100"/>
  </r>
  <r>
    <n v="414"/>
    <m/>
    <s v="ü"/>
    <d v="2017-07-14T00:00:00"/>
    <n v="34000"/>
    <x v="70"/>
    <x v="9"/>
    <s v="Calle Guacara Nro. 89-70"/>
    <s v="Cancelación Vigilancia, meses de Marzo y Abril/2017"/>
    <s v="Vigilancia"/>
    <m/>
    <s v="00414"/>
    <s v="14 de julio de 2017"/>
    <d v="2017-07-01T00:00:00"/>
    <s v="34.000,00"/>
    <s v="Treinta y Cuatro Mil Bolívares con 00/100"/>
  </r>
  <r>
    <n v="415"/>
    <m/>
    <s v="ü"/>
    <d v="2017-07-14T00:00:00"/>
    <n v="27000"/>
    <x v="38"/>
    <x v="35"/>
    <s v="Calle Guacara Nro. 89-78"/>
    <s v="Cancelación Vigilancia, mes de Junio y anticipó del mes de Julio/2017"/>
    <s v="Vigilancia"/>
    <m/>
    <s v="00415"/>
    <s v="14 de julio de 2017"/>
    <d v="2017-07-01T00:00:00"/>
    <s v="27.000,00"/>
    <s v="Veintisiete Mil Bolívares con 00/100"/>
  </r>
  <r>
    <n v="416"/>
    <m/>
    <s v="ü"/>
    <d v="2017-07-04T00:00:00"/>
    <n v="12000"/>
    <x v="25"/>
    <x v="23"/>
    <s v="Calle Güigüe Nro. 88-58"/>
    <s v="Colaboración Vigilancia, mes de Mayo/2017"/>
    <s v="Vigilancia"/>
    <m/>
    <s v="00416"/>
    <s v="04 de julio de 2017"/>
    <d v="2017-07-01T00:00:00"/>
    <s v="12.000,00"/>
    <s v="Doce Mil Bolívares con 00/100"/>
  </r>
  <r>
    <n v="417"/>
    <m/>
    <s v="ü"/>
    <d v="2017-07-14T00:00:00"/>
    <n v="26000"/>
    <x v="14"/>
    <x v="13"/>
    <s v="Calle Güigüe Nro. 89-83"/>
    <s v="Anticipo Vigilancia, mes de Julio/2017"/>
    <s v="Vigilancia"/>
    <m/>
    <s v="00417"/>
    <s v="14 de julio de 2017"/>
    <d v="2017-07-01T00:00:00"/>
    <s v="26.000,00"/>
    <s v="Veintiseis Mil Bolívares con 00/100"/>
  </r>
  <r>
    <n v="418"/>
    <m/>
    <s v="ü"/>
    <d v="2017-07-14T00:00:00"/>
    <n v="20000"/>
    <x v="35"/>
    <x v="32"/>
    <s v="Calle Güigüe Nro. 89-80"/>
    <s v="Colaboración Vigilancia, mes de Julio/2017"/>
    <s v="Vigilancia"/>
    <m/>
    <s v="00418"/>
    <s v="14 de julio de 2017"/>
    <d v="2017-07-01T00:00:00"/>
    <s v="20.000,00"/>
    <s v="Veinte Mil Bolívares con 00/100"/>
  </r>
  <r>
    <n v="419"/>
    <m/>
    <s v="ü"/>
    <d v="2017-06-30T00:00:00"/>
    <n v="26000"/>
    <x v="10"/>
    <x v="10"/>
    <s v="Av. &quot;M&quot; Nro. 146-15"/>
    <s v="Cancelación Vigilancia, mes de Junio/2017"/>
    <s v="Vigilancia"/>
    <m/>
    <s v="00419"/>
    <s v="30 de junio de 2017"/>
    <d v="2017-06-01T00:00:00"/>
    <s v="26.000,00"/>
    <s v="Veintiseis Mil Bolívares con 00/100"/>
  </r>
  <r>
    <n v="420"/>
    <m/>
    <s v="ü"/>
    <d v="2017-07-15T00:00:00"/>
    <n v="15000"/>
    <x v="68"/>
    <x v="60"/>
    <s v="Calle Güigüe Nro. 89-29"/>
    <s v="Colaboración Vigilancia, mes de Julio/2017"/>
    <s v="Vigilancia"/>
    <m/>
    <s v="00420"/>
    <s v="15 de julio de 2017"/>
    <d v="2017-07-01T00:00:00"/>
    <s v="15.000,00"/>
    <s v="Quince Mil Bolívares con 00/100"/>
  </r>
  <r>
    <n v="421"/>
    <m/>
    <s v="ü"/>
    <d v="2017-07-17T00:00:00"/>
    <n v="26000"/>
    <x v="65"/>
    <x v="58"/>
    <s v="Calle Güigüe Nro. 88-10"/>
    <s v="Cancelación Vigilancia, mes de Junio/2017"/>
    <s v="Vigilancia"/>
    <m/>
    <s v="00421"/>
    <s v="17 de julio de 2017"/>
    <d v="2017-07-01T00:00:00"/>
    <s v="26.000,00"/>
    <s v="Veintiseis Mil Bolívares con 00/100"/>
  </r>
  <r>
    <n v="422"/>
    <m/>
    <s v="ü"/>
    <d v="2017-07-17T00:00:00"/>
    <n v="30000"/>
    <x v="9"/>
    <x v="9"/>
    <s v="Av. &quot;M&quot; Nro. 146-30"/>
    <s v="Anticipo Vigilancia, mes de Julio/2017"/>
    <s v="Vigilancia"/>
    <m/>
    <s v="00422"/>
    <s v="17 de julio de 2017"/>
    <d v="2017-07-01T00:00:00"/>
    <s v="30.000,00"/>
    <s v="Treinta Mil Bolívares con 00/100"/>
  </r>
  <r>
    <n v="423"/>
    <m/>
    <s v="ü"/>
    <d v="2017-07-17T00:00:00"/>
    <n v="6000"/>
    <x v="34"/>
    <x v="9"/>
    <s v="Av. &quot;O&quot; Nro. 146-11"/>
    <s v="Cancelación saldo Vigilancia, mes de Mayo/2017"/>
    <s v="Vigilancia"/>
    <m/>
    <s v="00423"/>
    <s v="17 de julio de 2017"/>
    <d v="2017-07-01T00:00:00"/>
    <s v="6.000,00"/>
    <s v="Seis Mil Bolívares con 00/100"/>
  </r>
  <r>
    <n v="424"/>
    <m/>
    <s v="ü"/>
    <d v="2017-07-18T00:00:00"/>
    <n v="9000"/>
    <x v="12"/>
    <x v="12"/>
    <s v="Calle Guacara Nro. 89-20"/>
    <s v="Cancelación saldo Vigilancia, mes de Julio/2017"/>
    <s v="Vigilancia"/>
    <m/>
    <s v="00424"/>
    <s v="18 de julio de 2017"/>
    <d v="2017-07-01T00:00:00"/>
    <s v="9.000,00"/>
    <s v="Nueve Mil Bolívares con 00/100"/>
  </r>
  <r>
    <n v="425"/>
    <m/>
    <s v="ü"/>
    <d v="2017-07-18T00:00:00"/>
    <n v="10000"/>
    <x v="9"/>
    <x v="9"/>
    <s v="Av. &quot;M&quot; Nro. 146-30"/>
    <s v="Cancelación saldo Vigilancia, mes de Julio/2017"/>
    <s v="Vigilancia"/>
    <m/>
    <s v="00425"/>
    <s v="18 de julio de 2017"/>
    <d v="2017-07-01T00:00:00"/>
    <s v="10.000,00"/>
    <s v="Diez Mil Bolívares con 00/100"/>
  </r>
  <r>
    <n v="426"/>
    <m/>
    <s v="ü"/>
    <d v="2017-07-18T00:00:00"/>
    <n v="26000"/>
    <x v="34"/>
    <x v="9"/>
    <s v="Av. &quot;O&quot; Nro. 146-11"/>
    <s v="Cancelación Vigilancia, mes de Junio/2017"/>
    <s v="Vigilancia"/>
    <m/>
    <s v="00426"/>
    <s v="18 de julio de 2017"/>
    <d v="2017-07-01T00:00:00"/>
    <s v="26.000,00"/>
    <s v="Veintiseis Mil Bolívares con 00/100"/>
  </r>
  <r>
    <n v="427"/>
    <m/>
    <s v="ü"/>
    <d v="2017-07-18T00:00:00"/>
    <n v="35000"/>
    <x v="81"/>
    <x v="69"/>
    <s v="Calle Güigüe Nro. 89-65"/>
    <s v="Cancelación Vigilancia, mes de Julio/2017"/>
    <s v="Vigilancia"/>
    <m/>
    <s v="00427"/>
    <s v="18 de julio de 2017"/>
    <d v="2017-07-01T00:00:00"/>
    <s v="35.000,00"/>
    <s v="Treinta y Cinco Mil Bolívares con 00/100"/>
  </r>
  <r>
    <n v="428"/>
    <m/>
    <s v="ü"/>
    <d v="2017-07-18T00:00:00"/>
    <n v="35000"/>
    <x v="30"/>
    <x v="28"/>
    <s v="Calle Güigüe Nro. 89-04"/>
    <s v="Cancelación Vigilancia, mes de Julio/2017"/>
    <s v="Vigilancia"/>
    <m/>
    <s v="00428"/>
    <s v="18 de julio de 2017"/>
    <d v="2017-07-01T00:00:00"/>
    <s v="35.000,00"/>
    <s v="Treinta y Cinco Mil Bolívares con 00/100"/>
  </r>
  <r>
    <n v="429"/>
    <m/>
    <s v="ü"/>
    <d v="2017-07-18T00:00:00"/>
    <n v="36000"/>
    <x v="60"/>
    <x v="54"/>
    <s v="Calle Guacara Nro. 88-51"/>
    <s v="Complemento colaboración Vigilancia, mes de Mayo y Cancelación mes de Junio/2017"/>
    <s v="Vigilancia"/>
    <m/>
    <s v="00429"/>
    <s v="18 de julio de 2017"/>
    <d v="2017-07-01T00:00:00"/>
    <s v="36.000,00"/>
    <s v="Treinta y Seis Mil Bolívares con 00/100"/>
  </r>
  <r>
    <n v="430"/>
    <m/>
    <s v="ü"/>
    <d v="2017-07-13T00:00:00"/>
    <n v="20000"/>
    <x v="53"/>
    <x v="48"/>
    <s v="Calle Guacara Nro. 88-91"/>
    <s v="Colaboración Vigilancia, meses de Mayo y Junio/2017"/>
    <s v="Vigilancia"/>
    <m/>
    <s v="00430"/>
    <s v="13 de julio de 2017"/>
    <d v="2017-07-01T00:00:00"/>
    <s v="20.000,00"/>
    <s v="Veinte Mil Bolívares con 00/100"/>
  </r>
  <r>
    <n v="431"/>
    <m/>
    <s v="ü"/>
    <d v="2017-07-18T00:00:00"/>
    <n v="9000"/>
    <x v="0"/>
    <x v="0"/>
    <s v="Calle Guacara Nro. 88-45"/>
    <s v="Cancelación saldo Vigilancia, mes de Julio/2017 (saldo a favor: Bs. 130.000)"/>
    <s v="Vigilancia"/>
    <m/>
    <s v="00431"/>
    <s v="18 de julio de 2017"/>
    <d v="2017-07-01T00:00:00"/>
    <s v="9.000,00"/>
    <s v="Nueve Mil Bolívares con 00/100"/>
  </r>
  <r>
    <n v="432"/>
    <m/>
    <s v="ü"/>
    <d v="2017-07-18T00:00:00"/>
    <n v="9000"/>
    <x v="75"/>
    <x v="65"/>
    <s v="Av. &quot;Ñ&quot; Nro. 145-25"/>
    <s v="Cancelación saldo Vigilancia, mes de Julio/2017 (saldo a favor: Bs. 121.000)"/>
    <s v="Vigilancia"/>
    <m/>
    <s v="00432"/>
    <s v="18 de julio de 2017"/>
    <d v="2017-07-01T00:00:00"/>
    <s v="9.000,00"/>
    <s v="Nueve Mil Bolívares con 00/100"/>
  </r>
  <r>
    <n v="433"/>
    <m/>
    <s v="ü"/>
    <d v="2017-07-18T00:00:00"/>
    <n v="9000"/>
    <x v="18"/>
    <x v="16"/>
    <s v="Calle Guacara Nro. 87-100"/>
    <s v="Cancelación saldo Vigilancia, mes de Julio/2017 (saldo a favor: Bs. 4.000)"/>
    <s v="Vigilancia"/>
    <m/>
    <s v="00433"/>
    <s v="18 de julio de 2017"/>
    <d v="2017-07-01T00:00:00"/>
    <s v="9.000,00"/>
    <s v="Nueve Mil Bolívares con 00/100"/>
  </r>
  <r>
    <n v="434"/>
    <m/>
    <s v="ü"/>
    <d v="2017-07-18T00:00:00"/>
    <n v="9000"/>
    <x v="14"/>
    <x v="13"/>
    <s v="Calle Güigüe Nro. 89-83"/>
    <s v="Cancelación saldo Vigilancia, mes de Julio/2017"/>
    <s v="Vigilancia"/>
    <m/>
    <s v="00434"/>
    <s v="18 de julio de 2017"/>
    <d v="2017-07-01T00:00:00"/>
    <s v="9.000,00"/>
    <s v="Nueve Mil Bolívares con 00/100"/>
  </r>
  <r>
    <n v="435"/>
    <m/>
    <s v="ü"/>
    <d v="2017-07-19T00:00:00"/>
    <n v="10000"/>
    <x v="4"/>
    <x v="4"/>
    <s v="Calle Güigüe Nro. 89-55"/>
    <s v="Cancelación saldo Vigilancia, mes de Julio/2017"/>
    <s v="Vigilancia"/>
    <m/>
    <s v="00435"/>
    <s v="19 de julio de 2017"/>
    <d v="2017-07-01T00:00:00"/>
    <s v="10.000,00"/>
    <s v="Diez Mil Bolívares con 00/100"/>
  </r>
  <r>
    <n v="436"/>
    <m/>
    <s v="ü"/>
    <d v="2017-07-19T00:00:00"/>
    <n v="25000"/>
    <x v="2"/>
    <x v="2"/>
    <s v="Calle Guacara Nro. 88-19"/>
    <s v="Colaboración Vigilancia, mes de Julio/2017"/>
    <s v="Vigilancia"/>
    <m/>
    <s v="00436"/>
    <s v="19 de julio de 2017"/>
    <d v="2017-07-01T00:00:00"/>
    <s v="25.000,00"/>
    <s v="Veinticinco Mil Bolívares con 00/100"/>
  </r>
  <r>
    <n v="437"/>
    <m/>
    <s v="ü"/>
    <d v="2017-07-19T00:00:00"/>
    <n v="9000"/>
    <x v="6"/>
    <x v="6"/>
    <s v="Calle Guacara Nro. 89-60"/>
    <s v="Cancelación saldo Vigilancia, mes de Julio/2017"/>
    <s v="Vigilancia"/>
    <m/>
    <s v="00437"/>
    <s v="19 de julio de 2017"/>
    <d v="2017-07-01T00:00:00"/>
    <s v="9.000,00"/>
    <s v="Nueve Mil Bolívares con 00/100"/>
  </r>
  <r>
    <n v="438"/>
    <m/>
    <s v="ü"/>
    <d v="2017-07-19T00:00:00"/>
    <n v="30000"/>
    <x v="64"/>
    <x v="57"/>
    <s v="Calle Guacara Nro. 88-35"/>
    <s v="Colaboración Vigilancia, mes de Julio/2017"/>
    <s v="Vigilancia"/>
    <m/>
    <s v="00438"/>
    <s v="19 de julio de 2017"/>
    <d v="2017-07-01T00:00:00"/>
    <s v="30.000,00"/>
    <s v="Treinta Mil Bolívares con 00/100"/>
  </r>
  <r>
    <n v="439"/>
    <m/>
    <s v="ü"/>
    <d v="2017-07-18T00:00:00"/>
    <n v="52000"/>
    <x v="41"/>
    <x v="38"/>
    <s v="Calle Güigüe Nro. 88-91"/>
    <s v="Cancelación Vigilancia, mes de Junio y anticipo mes de Julio/2017"/>
    <s v="Vigilancia"/>
    <m/>
    <s v="00439"/>
    <s v="18 de julio de 2017"/>
    <d v="2017-07-01T00:00:00"/>
    <s v="52.000,00"/>
    <s v="Cincuenta y Dos Mil Bolívares con 00/100"/>
  </r>
  <r>
    <n v="440"/>
    <m/>
    <s v="ü"/>
    <d v="2017-07-19T00:00:00"/>
    <n v="9000"/>
    <x v="20"/>
    <x v="18"/>
    <s v="Calle Guacara Nro. 89-30"/>
    <s v="Cancelación saldo Vigilancia, mes de Julio/2017"/>
    <s v="Vigilancia"/>
    <m/>
    <s v="00440"/>
    <s v="19 de julio de 2017"/>
    <d v="2017-07-01T00:00:00"/>
    <s v="9.000,00"/>
    <s v="Nueve Mil Bolívares con 00/100"/>
  </r>
  <r>
    <n v="441"/>
    <m/>
    <s v="ü"/>
    <d v="2017-07-19T00:00:00"/>
    <n v="9000"/>
    <x v="16"/>
    <x v="15"/>
    <s v="Calle Guacara Nro. 90-81"/>
    <s v="Cancelación saldo Vigilancia, mes de Julio/2017"/>
    <s v="Vigilancia"/>
    <m/>
    <s v="00441"/>
    <s v="19 de julio de 2017"/>
    <d v="2017-07-01T00:00:00"/>
    <s v="9.000,00"/>
    <s v="Nueve Mil Bolívares con 00/100"/>
  </r>
  <r>
    <n v="442"/>
    <m/>
    <s v="ü"/>
    <d v="2017-07-17T00:00:00"/>
    <n v="15000"/>
    <x v="25"/>
    <x v="23"/>
    <s v="Calle Güigüe Nro. 88-58"/>
    <s v="Colaboración Vigilancia, mes de Junio/2017"/>
    <s v="Vigilancia"/>
    <m/>
    <s v="00442"/>
    <s v="17 de julio de 2017"/>
    <d v="2017-07-01T00:00:00"/>
    <s v="15.000,00"/>
    <s v="Quince Mil Bolívares con 00/100"/>
  </r>
  <r>
    <n v="443"/>
    <m/>
    <s v="ü"/>
    <d v="2017-07-20T00:00:00"/>
    <n v="5100"/>
    <x v="60"/>
    <x v="54"/>
    <s v="Calle Guacara Nro. 88-51"/>
    <s v="Complemento colaboración Vigilancia, mes de Abril/2017, contra factura"/>
    <s v="Vigilancia"/>
    <m/>
    <s v="00443"/>
    <s v="20 de julio de 2017"/>
    <d v="2017-07-01T00:00:00"/>
    <s v="5.100,00"/>
    <s v="Cinco Mil Cien Bolívares con 00/100"/>
  </r>
  <r>
    <n v="444"/>
    <m/>
    <s v="ü"/>
    <d v="2017-07-20T00:00:00"/>
    <n v="35000"/>
    <x v="19"/>
    <x v="17"/>
    <s v="Calle Guacara Nro. 89-130"/>
    <s v="Cancelación Vigilancia, mes de Julio/2017"/>
    <s v="Vigilancia"/>
    <m/>
    <s v="00444"/>
    <s v="20 de julio de 2017"/>
    <d v="2017-07-01T00:00:00"/>
    <s v="35.000,00"/>
    <s v="Treinta y Cinco Mil Bolívares con 00/100"/>
  </r>
  <r>
    <n v="445"/>
    <m/>
    <s v="ü"/>
    <d v="2017-07-20T00:00:00"/>
    <n v="25000"/>
    <x v="26"/>
    <x v="24"/>
    <s v="Calle Güigüe Nro. 89-96"/>
    <s v="Cancelación Vigilancia, mes de Junio/2017"/>
    <s v="Vigilancia"/>
    <m/>
    <s v="00445"/>
    <s v="20 de julio de 2017"/>
    <d v="2017-07-01T00:00:00"/>
    <s v="25.000,00"/>
    <s v="Veinticinco Mil Bolívares con 00/100"/>
  </r>
  <r>
    <n v="446"/>
    <m/>
    <s v="ü"/>
    <d v="2017-07-21T00:00:00"/>
    <n v="5000"/>
    <x v="28"/>
    <x v="26"/>
    <s v="Calle Güigüe Nro. 88-30"/>
    <s v="Colaboración Vigilancia, mes de Julio/2017"/>
    <s v="Vigilancia"/>
    <m/>
    <s v="00446"/>
    <s v="21 de julio de 2017"/>
    <d v="2017-07-01T00:00:00"/>
    <s v="5.000,00"/>
    <s v="Cinco Mil Bolívares con 00/100"/>
  </r>
  <r>
    <n v="447"/>
    <m/>
    <s v="ü"/>
    <d v="2017-07-23T00:00:00"/>
    <n v="9000"/>
    <x v="1"/>
    <x v="1"/>
    <s v="Calle Güigüe Nro. 88-44"/>
    <s v="Cancelación saldo Vigilancia, mes de Julio/2017"/>
    <s v="Vigilancia"/>
    <m/>
    <s v="00447"/>
    <s v="23 de julio de 2017"/>
    <d v="2017-07-01T00:00:00"/>
    <s v="9.000,00"/>
    <s v="Nueve Mil Bolívares con 00/100"/>
  </r>
  <r>
    <n v="448"/>
    <m/>
    <s v="ü"/>
    <d v="2017-06-07T00:00:00"/>
    <n v="26000"/>
    <x v="11"/>
    <x v="11"/>
    <s v="Calle Guacara Nro. 89-86"/>
    <s v="Anticipo Vigilancia, mes de Julio/2017"/>
    <s v="Vigilancia"/>
    <m/>
    <s v="00448"/>
    <s v="07 de junio de 2017"/>
    <d v="2017-06-01T00:00:00"/>
    <s v="26.000,00"/>
    <s v="Veintiseis Mil Bolívares con 00/100"/>
  </r>
  <r>
    <n v="449"/>
    <m/>
    <s v="ü"/>
    <d v="2017-07-23T00:00:00"/>
    <n v="44000"/>
    <x v="11"/>
    <x v="11"/>
    <s v="Calle Guacara Nro. 89-86"/>
    <s v="Cancelación saldo Vigilancia, mes de Julio y Cancelación Vigilancia Agosto/2017"/>
    <s v="Vigilancia"/>
    <m/>
    <s v="00449"/>
    <s v="23 de julio de 2017"/>
    <d v="2017-07-01T00:00:00"/>
    <s v="44.000,00"/>
    <s v="Cuarenta y Cuatro Mil Bolívares con 00/100"/>
  </r>
  <r>
    <n v="450"/>
    <m/>
    <s v="ü"/>
    <d v="2017-07-24T00:00:00"/>
    <n v="108000"/>
    <x v="73"/>
    <x v="9"/>
    <s v="Calle Güigüe Nros. 88-71 y 88-81"/>
    <s v="Cancelación Vigilancia, meses de Julio y Agosto/2017"/>
    <s v="Vigilancia"/>
    <m/>
    <s v="00450"/>
    <s v="24 de julio de 2017"/>
    <d v="2017-07-01T00:00:00"/>
    <s v="108.000,00"/>
    <s v="Ciento Ocho Mil Bolívares con 00/100"/>
  </r>
  <r>
    <n v="451"/>
    <m/>
    <s v="û"/>
    <d v="2017-04-06T00:00:00"/>
    <n v="14000"/>
    <x v="51"/>
    <x v="48"/>
    <s v="Calle Guacara Nro. 90-110"/>
    <s v="ANULADO: Colaboración Vigilancia, mes de Marzo/2017"/>
    <s v="ANULADO"/>
    <m/>
    <s v="00451"/>
    <s v="06 de abril de 2017"/>
    <d v="2017-04-01T00:00:00"/>
    <s v="14.000,00"/>
    <s v="Catorce Mil Bolívares con 00/100"/>
  </r>
  <r>
    <n v="452"/>
    <m/>
    <s v="û"/>
    <d v="2017-05-10T00:00:00"/>
    <n v="17000"/>
    <x v="51"/>
    <x v="48"/>
    <s v="Calle Guacara Nro. 90-110"/>
    <s v="ANULADO: Colaboración Vigilancia, mes de Abril/2017"/>
    <s v="ANULADO"/>
    <m/>
    <s v="00452"/>
    <s v="10 de mayo de 2017"/>
    <d v="2017-05-01T00:00:00"/>
    <s v="17.000,00"/>
    <s v="Diecisiete Mil Bolívares con 00/100"/>
  </r>
  <r>
    <n v="453"/>
    <m/>
    <s v="û"/>
    <d v="2017-07-13T00:00:00"/>
    <n v="20000"/>
    <x v="51"/>
    <x v="48"/>
    <s v="Calle Guacara Nro. 90-110"/>
    <s v="ANULADO: Colaboración Vigilancia, meses de Mayo y Junio/2017"/>
    <s v="ANULADO"/>
    <m/>
    <s v="00453"/>
    <s v="13 de julio de 2017"/>
    <d v="2017-07-01T00:00:00"/>
    <s v="20.000,00"/>
    <s v="Veinte Mil Bolívares con 00/100"/>
  </r>
  <r>
    <n v="454"/>
    <m/>
    <s v="ü"/>
    <d v="2017-07-28T00:00:00"/>
    <n v="20000"/>
    <x v="22"/>
    <x v="20"/>
    <s v="Calle Guacara Nro. 88-25"/>
    <s v="Colaboración Vigilancia, mes de Julio/2017"/>
    <s v="Vigilancia"/>
    <m/>
    <s v="00454"/>
    <s v="28 de julio de 2017"/>
    <d v="2017-07-01T00:00:00"/>
    <s v="20.000,00"/>
    <s v="Veinte Mil Bolívares con 00/100"/>
  </r>
  <r>
    <n v="455"/>
    <m/>
    <s v="ü"/>
    <d v="2017-07-29T00:00:00"/>
    <n v="35000"/>
    <x v="24"/>
    <x v="22"/>
    <s v="Calle Güigüe Nro. 88-54"/>
    <s v="Cancelación Vigilancia, mes de Julio/2017"/>
    <s v="Vigilancia"/>
    <m/>
    <s v="00455"/>
    <s v="29 de julio de 2017"/>
    <d v="2017-07-01T00:00:00"/>
    <s v="35.000,00"/>
    <s v="Treinta y Cinco Mil Bolívares con 00/100"/>
  </r>
  <r>
    <n v="456"/>
    <m/>
    <s v="ü"/>
    <d v="2017-07-20T00:00:00"/>
    <n v="35000"/>
    <x v="36"/>
    <x v="33"/>
    <s v="Calle Güigüe Nro. 89-10"/>
    <s v="Cancelación Vigilancia, mes de Julio/2017"/>
    <s v="Vigilancia"/>
    <m/>
    <s v="00456"/>
    <s v="20 de julio de 2017"/>
    <d v="2017-07-01T00:00:00"/>
    <s v="35.000,00"/>
    <s v="Treinta y Cinco Mil Bolívares con 00/100"/>
  </r>
  <r>
    <n v="457"/>
    <m/>
    <s v="ü"/>
    <d v="2017-07-29T00:00:00"/>
    <n v="7000"/>
    <x v="75"/>
    <x v="65"/>
    <s v="Av. &quot;Ñ&quot; Nro. 145-25"/>
    <s v="Cuota especial, reja vereda Centro Comercial (saldo a favor: Bs. 114.000)"/>
    <s v="Reja CC"/>
    <m/>
    <s v="00457"/>
    <s v="29 de julio de 2017"/>
    <d v="2017-07-01T00:00:00"/>
    <s v="7.000,00"/>
    <s v="Siete Mil Bolívares con 00/100"/>
  </r>
  <r>
    <n v="458"/>
    <m/>
    <s v="ü"/>
    <d v="2017-08-01T00:00:00"/>
    <n v="15000"/>
    <x v="15"/>
    <x v="14"/>
    <s v="Calle Guacara Nro. 89-94"/>
    <s v="Colaboración Vigilancia, mes de Agosto/2017"/>
    <s v="Vigilancia"/>
    <m/>
    <s v="00458"/>
    <s v="01 de agosto de 2017"/>
    <d v="2017-08-01T00:00:00"/>
    <s v="15.000,00"/>
    <s v="Quince Mil Bolívares con 00/100"/>
  </r>
  <r>
    <n v="459"/>
    <m/>
    <s v="ü"/>
    <d v="2017-08-02T00:00:00"/>
    <n v="35000"/>
    <x v="26"/>
    <x v="24"/>
    <s v="Calle Güigüe Nro. 89-96"/>
    <s v="Cancelación Vigilancia, mes de Julio/2017"/>
    <s v="Vigilancia"/>
    <m/>
    <s v="00459"/>
    <s v="02 de agosto de 2017"/>
    <d v="2017-08-01T00:00:00"/>
    <s v="35.000,00"/>
    <s v="Treinta y Cinco Mil Bolívares con 00/100"/>
  </r>
  <r>
    <n v="460"/>
    <m/>
    <s v="ü"/>
    <d v="2017-08-02T00:00:00"/>
    <n v="35000"/>
    <x v="43"/>
    <x v="40"/>
    <s v="Calle Güigüe Nro. 88-50"/>
    <s v="Cancelación Vigilancia, mes de Julio/2017"/>
    <s v="Vigilancia"/>
    <m/>
    <s v="00460"/>
    <s v="02 de agosto de 2017"/>
    <d v="2017-08-01T00:00:00"/>
    <s v="35.000,00"/>
    <s v="Treinta y Cinco Mil Bolívares con 00/100"/>
  </r>
  <r>
    <n v="461"/>
    <m/>
    <s v="ü"/>
    <d v="2017-08-02T00:00:00"/>
    <n v="35000"/>
    <x v="6"/>
    <x v="6"/>
    <s v="Calle Guacara Nro. 89-60"/>
    <s v="Cancelación Vigilancia, mes de Agosto/2017"/>
    <s v="Vigilancia"/>
    <m/>
    <s v="00461"/>
    <s v="02 de agosto de 2017"/>
    <d v="2017-08-01T00:00:00"/>
    <s v="35.000,00"/>
    <s v="Treinta y Cinco Mil Bolívares con 00/100"/>
  </r>
  <r>
    <n v="462"/>
    <m/>
    <s v="ü"/>
    <d v="2017-07-11T00:00:00"/>
    <n v="26000"/>
    <x v="23"/>
    <x v="21"/>
    <s v="Calle Güigüe Nro. 88-116"/>
    <s v="Anticipo Vigilancia, mes de Julio/2017"/>
    <s v="Vigilancia"/>
    <m/>
    <s v="00462"/>
    <s v="11 de julio de 2017"/>
    <d v="2017-07-01T00:00:00"/>
    <s v="26.000,00"/>
    <s v="Veintiseis Mil Bolívares con 00/100"/>
  </r>
  <r>
    <n v="463"/>
    <m/>
    <s v="ü"/>
    <d v="2017-08-02T00:00:00"/>
    <n v="26000"/>
    <x v="48"/>
    <x v="9"/>
    <s v="Calle Güigüe Nro. 88-90"/>
    <s v="Cancelación Vigilancia, mes de Junio/2017"/>
    <s v="Vigilancia"/>
    <m/>
    <s v="00463"/>
    <s v="02 de agosto de 2017"/>
    <d v="2017-08-01T00:00:00"/>
    <s v="26.000,00"/>
    <s v="Veintiseis Mil Bolívares con 00/100"/>
  </r>
  <r>
    <n v="464"/>
    <m/>
    <s v="ü"/>
    <d v="2017-08-02T00:00:00"/>
    <n v="10000"/>
    <x v="57"/>
    <x v="9"/>
    <s v="Calle Güigüe Nro. 88-40"/>
    <s v="Colaboración Vigilancia, meses de Junio y Julio/2017"/>
    <s v="Vigilancia"/>
    <m/>
    <s v="00464"/>
    <s v="02 de agosto de 2017"/>
    <d v="2017-08-01T00:00:00"/>
    <s v="10.000,00"/>
    <s v="Diez Mil Bolívares con 00/100"/>
  </r>
  <r>
    <n v="465"/>
    <m/>
    <s v="ü"/>
    <d v="2017-08-02T00:00:00"/>
    <n v="33000"/>
    <x v="38"/>
    <x v="35"/>
    <s v="Calle Guacara Nro. 89-78"/>
    <s v="Cancelación saldo Vigilancia, mes de Julio/2017"/>
    <s v="Vigilancia"/>
    <m/>
    <s v="00465"/>
    <s v="02 de agosto de 2017"/>
    <d v="2017-08-01T00:00:00"/>
    <s v="33.000,00"/>
    <s v="Treinta y Tres Mil Bolívares con 00/100"/>
  </r>
  <r>
    <n v="466"/>
    <m/>
    <s v="ü"/>
    <d v="2017-08-03T00:00:00"/>
    <n v="35000"/>
    <x v="5"/>
    <x v="5"/>
    <s v="Calle Güigüe Nro. 88-120"/>
    <s v="Cancelación Vigilancia, mes de Agosto/2017"/>
    <s v="Vigilancia"/>
    <m/>
    <s v="00466"/>
    <s v="03 de agosto de 2017"/>
    <d v="2017-08-01T00:00:00"/>
    <s v="35.000,00"/>
    <s v="Treinta y Cinco Mil Bolívares con 00/100"/>
  </r>
  <r>
    <n v="467"/>
    <m/>
    <s v="ü"/>
    <d v="2017-08-03T00:00:00"/>
    <n v="20000"/>
    <x v="34"/>
    <x v="9"/>
    <s v="Av. &quot;O&quot; Nro. 146-11"/>
    <s v="Anticipo Vigilancia, mes de Julio/2017"/>
    <s v="Vigilancia"/>
    <m/>
    <s v="00467"/>
    <s v="03 de agosto de 2017"/>
    <d v="2017-08-01T00:00:00"/>
    <s v="20.000,00"/>
    <s v="Veinte Mil Bolívares con 00/100"/>
  </r>
  <r>
    <n v="468"/>
    <m/>
    <s v="ü"/>
    <d v="2017-08-03T00:00:00"/>
    <n v="20000"/>
    <x v="61"/>
    <x v="14"/>
    <s v="Calle Guacara Nro. 87-07"/>
    <s v="Colaboración Vigilancia, mes de Agosto/2017"/>
    <s v="Vigilancia"/>
    <m/>
    <s v="00468"/>
    <s v="03 de agosto de 2017"/>
    <d v="2017-08-01T00:00:00"/>
    <s v="20.000,00"/>
    <s v="Veinte Mil Bolívares con 00/100"/>
  </r>
  <r>
    <n v="469"/>
    <m/>
    <s v="ü"/>
    <d v="2017-08-03T00:00:00"/>
    <n v="18000"/>
    <x v="32"/>
    <x v="30"/>
    <s v="Calle Güigüe Nro. 89-120"/>
    <s v="Colaboración Vigilancia, mes de Julio/2017"/>
    <s v="Vigilancia"/>
    <m/>
    <s v="00469"/>
    <s v="03 de agosto de 2017"/>
    <d v="2017-08-01T00:00:00"/>
    <s v="18.000,00"/>
    <s v="Dieciocho Mil Bolívares con 00/100"/>
  </r>
  <r>
    <n v="470"/>
    <m/>
    <s v="ü"/>
    <d v="2017-08-04T00:00:00"/>
    <n v="35000"/>
    <x v="3"/>
    <x v="3"/>
    <s v="Calle Güigüe Nro. 88-62"/>
    <s v="Cancelación Vigilancia, mes de Julio/2017 (saldo a favor: Bs. 1.613)"/>
    <s v="Vigilancia"/>
    <m/>
    <s v="00470"/>
    <s v="04 de agosto de 2017"/>
    <d v="2017-08-01T00:00:00"/>
    <s v="35.000,00"/>
    <s v="Treinta y Cinco Mil Bolívares con 00/100"/>
  </r>
  <r>
    <n v="471"/>
    <m/>
    <s v="ü"/>
    <d v="2017-08-04T00:00:00"/>
    <n v="15000"/>
    <x v="7"/>
    <x v="7"/>
    <s v="Calle Guacara Nro. 87-86"/>
    <s v="Colaboración Vigilancia, mes de Agosto/2017"/>
    <s v="Vigilancia"/>
    <m/>
    <s v="00471"/>
    <s v="04 de agosto de 2017"/>
    <d v="2017-08-01T00:00:00"/>
    <s v="15.000,00"/>
    <s v="Quince Mil Bolívares con 00/100"/>
  </r>
  <r>
    <n v="472"/>
    <m/>
    <s v="ü"/>
    <d v="2017-08-06T00:00:00"/>
    <n v="35000"/>
    <x v="31"/>
    <x v="29"/>
    <s v="Calle Güigüe Nro. 89-95"/>
    <s v="Cancelación Vigilancia, mes de Julio/2017"/>
    <s v="Vigilancia"/>
    <m/>
    <s v="00472"/>
    <s v="06 de agosto de 2017"/>
    <d v="2017-08-01T00:00:00"/>
    <s v="35.000,00"/>
    <s v="Treinta y Cinco Mil Bolívares con 00/100"/>
  </r>
  <r>
    <n v="473"/>
    <m/>
    <s v="ü"/>
    <d v="2017-08-06T00:00:00"/>
    <n v="35000"/>
    <x v="0"/>
    <x v="0"/>
    <s v="Calle Guacara Nro. 88-45"/>
    <s v="Cancelación Vigilancia, mes de Agosto/2017 (saldo a favor: Bs. 95.000)"/>
    <s v="Vigilancia"/>
    <m/>
    <s v="00473"/>
    <s v="06 de agosto de 2017"/>
    <d v="2017-08-01T00:00:00"/>
    <s v="35.000,00"/>
    <s v="Treinta y Cinco Mil Bolívares con 00/100"/>
  </r>
  <r>
    <n v="474"/>
    <m/>
    <s v="ü"/>
    <d v="2017-08-06T00:00:00"/>
    <n v="35000"/>
    <x v="75"/>
    <x v="65"/>
    <s v="Av. &quot;Ñ&quot; Nro. 145-25"/>
    <s v="Cancelación saldo Vigilancia, mes de Agosto/2017 (saldo a favor: Bs. 79.000)"/>
    <s v="Vigilancia"/>
    <m/>
    <s v="00474"/>
    <s v="06 de agosto de 2017"/>
    <d v="2017-08-01T00:00:00"/>
    <s v="35.000,00"/>
    <s v="Treinta y Cinco Mil Bolívares con 00/100"/>
  </r>
  <r>
    <n v="475"/>
    <m/>
    <s v="ü"/>
    <d v="2017-08-07T00:00:00"/>
    <n v="30000"/>
    <x v="58"/>
    <x v="53"/>
    <s v="Calle Güigüe Nro. 88-51"/>
    <s v="Colaboración Vigilancia, mes de Julio/2017"/>
    <s v="Vigilancia"/>
    <m/>
    <s v="00475"/>
    <s v="07 de agosto de 2017"/>
    <d v="2017-08-01T00:00:00"/>
    <s v="30.000,00"/>
    <s v="Treinta Mil Bolívares con 00/100"/>
  </r>
  <r>
    <n v="476"/>
    <m/>
    <s v="ü"/>
    <d v="2017-08-07T00:00:00"/>
    <n v="35000"/>
    <x v="40"/>
    <x v="37"/>
    <s v="Calle Güigüe Nro. 88-101"/>
    <s v="Cancelación Vigilancia, mes de Julio/2017"/>
    <s v="Vigilancia"/>
    <m/>
    <s v="00476"/>
    <s v="07 de agosto de 2017"/>
    <d v="2017-08-01T00:00:00"/>
    <s v="35.000,00"/>
    <s v="Treinta y Cinco Mil Bolívares con 00/100"/>
  </r>
  <r>
    <n v="477"/>
    <m/>
    <s v="ü"/>
    <d v="2017-08-08T00:00:00"/>
    <n v="35000"/>
    <x v="1"/>
    <x v="1"/>
    <s v="Calle Güigüe Nro. 88-44"/>
    <s v="Cancelación Vigilancia, mes de Agosto/2017"/>
    <s v="Vigilancia"/>
    <m/>
    <s v="00477"/>
    <s v="08 de agosto de 2017"/>
    <d v="2017-08-01T00:00:00"/>
    <s v="35.000,00"/>
    <s v="Treinta y Cinco Mil Bolívares con 00/100"/>
  </r>
  <r>
    <n v="478"/>
    <m/>
    <s v="ü"/>
    <d v="2017-08-09T00:00:00"/>
    <n v="4000"/>
    <x v="17"/>
    <x v="16"/>
    <s v="Av. &quot;M&quot; Nro. 146-20"/>
    <s v="Colaboración Vigilancia, mes de Agosto/2017"/>
    <s v="Vigilancia"/>
    <m/>
    <s v="00478"/>
    <s v="09 de agosto de 2017"/>
    <d v="2017-08-01T00:00:00"/>
    <s v="4.000,00"/>
    <s v="Cuatro Mil Bolívares con 00/100"/>
  </r>
  <r>
    <n v="479"/>
    <m/>
    <s v="ü"/>
    <d v="2017-08-09T00:00:00"/>
    <n v="31000"/>
    <x v="18"/>
    <x v="16"/>
    <s v="Calle Guacara Nro. 87-100"/>
    <s v="Cancelación saldo Vigilancia, mes de Agosto/2017"/>
    <s v="Vigilancia"/>
    <m/>
    <s v="00479"/>
    <s v="09 de agosto de 2017"/>
    <d v="2017-08-01T00:00:00"/>
    <s v="31.000,00"/>
    <s v="Treinta y Un Mil Bolívares con 00/100"/>
  </r>
  <r>
    <n v="480"/>
    <m/>
    <s v="ü"/>
    <d v="2017-08-09T00:00:00"/>
    <n v="26000"/>
    <x v="60"/>
    <x v="54"/>
    <s v="Calle Guacara Nro. 88-51"/>
    <s v="Cancelación Vigilancia, mes de Junio/2017: transferencia y contra factura"/>
    <s v="Vigilancia"/>
    <m/>
    <s v="00480"/>
    <s v="09 de agosto de 2017"/>
    <d v="2017-08-01T00:00:00"/>
    <s v="26.000,00"/>
    <s v="Veintiseis Mil Bolívares con 00/100"/>
  </r>
  <r>
    <n v="481"/>
    <m/>
    <s v="ü"/>
    <d v="2017-08-09T00:00:00"/>
    <n v="35000"/>
    <x v="69"/>
    <x v="61"/>
    <s v="Calle Güigüe Nro. 89-40"/>
    <s v="Cancelación Vigilancia, mes de Julio/2017"/>
    <s v="Vigilancia"/>
    <m/>
    <s v="00481"/>
    <s v="09 de agosto de 2017"/>
    <d v="2017-08-01T00:00:00"/>
    <s v="35.000,00"/>
    <s v="Treinta y Cinco Mil Bolívares con 00/100"/>
  </r>
  <r>
    <n v="482"/>
    <m/>
    <s v="ü"/>
    <d v="2017-08-10T00:00:00"/>
    <n v="35000"/>
    <x v="12"/>
    <x v="12"/>
    <s v="Calle Guacara Nro. 89-20"/>
    <s v="Cancelación Vigilancia, mes de Agosto/2017"/>
    <s v="Vigilancia"/>
    <m/>
    <s v="00482"/>
    <s v="10 de agosto de 2017"/>
    <d v="2017-08-01T00:00:00"/>
    <s v="35.000,00"/>
    <s v="Treinta y Cinco Mil Bolívares con 00/100"/>
  </r>
  <r>
    <n v="483"/>
    <m/>
    <s v="ü"/>
    <d v="2017-08-10T00:00:00"/>
    <n v="35000"/>
    <x v="19"/>
    <x v="17"/>
    <s v="Calle Guacara Nro. 89-130"/>
    <s v="Cancelación Vigilancia, mes de Agosto/2017"/>
    <s v="Vigilancia"/>
    <m/>
    <s v="00483"/>
    <s v="10 de agosto de 2017"/>
    <d v="2017-08-01T00:00:00"/>
    <s v="35.000,00"/>
    <s v="Treinta y Cinco Mil Bolívares con 00/100"/>
  </r>
  <r>
    <n v="484"/>
    <m/>
    <s v="ü"/>
    <d v="2017-08-10T00:00:00"/>
    <n v="26000"/>
    <x v="49"/>
    <x v="46"/>
    <s v="Av. &quot;O&quot; Nro. 146-17"/>
    <s v="Anticipo Vigilancia, mes de Julio/2017"/>
    <s v="Vigilancia"/>
    <m/>
    <s v="00484"/>
    <s v="10 de agosto de 2017"/>
    <d v="2017-08-01T00:00:00"/>
    <s v="26.000,00"/>
    <s v="Veintiseis Mil Bolívares con 00/100"/>
  </r>
  <r>
    <n v="485"/>
    <m/>
    <s v="ü"/>
    <d v="2017-08-10T00:00:00"/>
    <n v="35000"/>
    <x v="4"/>
    <x v="4"/>
    <s v="Calle Güigüe Nro. 89-55"/>
    <s v="Cancelación Vigilancia, mes de Agosto/2017, transferencia y contra factura"/>
    <s v="Vigilancia"/>
    <m/>
    <s v="00485"/>
    <s v="10 de agosto de 2017"/>
    <d v="2017-08-01T00:00:00"/>
    <s v="35.000,00"/>
    <s v="Treinta y Cinco Mil Bolívares con 00/100"/>
  </r>
  <r>
    <n v="486"/>
    <m/>
    <s v="ü"/>
    <d v="2017-08-10T00:00:00"/>
    <n v="13000"/>
    <x v="62"/>
    <x v="55"/>
    <s v="Av. &quot;M&quot; Nro. 145-10"/>
    <s v="Anticipo Vigilancia, mes de Julio/2017"/>
    <s v="Vigilancia"/>
    <m/>
    <s v="00486"/>
    <s v="10 de agosto de 2017"/>
    <d v="2017-08-01T00:00:00"/>
    <s v="13.000,00"/>
    <s v="Trece Mil Bolívares con 00/100"/>
  </r>
  <r>
    <n v="487"/>
    <m/>
    <s v="ü"/>
    <d v="2017-08-10T00:00:00"/>
    <n v="7000"/>
    <x v="62"/>
    <x v="55"/>
    <s v="Av. &quot;M&quot; Nro. 145-10"/>
    <s v="Cuota especial, reja vereda Centro Comercial"/>
    <s v="Reja CC"/>
    <m/>
    <s v="00487"/>
    <s v="10 de agosto de 2017"/>
    <d v="2017-08-01T00:00:00"/>
    <s v="7.000,00"/>
    <s v="Siete Mil Bolívares con 00/100"/>
  </r>
  <r>
    <n v="488"/>
    <m/>
    <s v="ü"/>
    <d v="2017-08-10T00:00:00"/>
    <n v="35000"/>
    <x v="76"/>
    <x v="66"/>
    <s v="Calle Güigüe Nro. 89-90"/>
    <s v="Cancelación Vigilancia, mes de Agosto/2017"/>
    <s v="Vigilancia"/>
    <m/>
    <s v="00488"/>
    <s v="10 de agosto de 2017"/>
    <d v="2017-08-01T00:00:00"/>
    <s v="35.000,00"/>
    <s v="Treinta y Cinco Mil Bolívares con 00/100"/>
  </r>
  <r>
    <n v="489"/>
    <m/>
    <s v="ü"/>
    <d v="2017-08-13T00:00:00"/>
    <n v="26000"/>
    <x v="54"/>
    <x v="50"/>
    <s v="Calle Güigüe Nro. 89-21"/>
    <s v="Cancelación Vigilancia, mes de Junio/2017"/>
    <s v="Vigilancia"/>
    <m/>
    <s v="00489"/>
    <s v="13 de agosto de 2017"/>
    <d v="2017-08-01T00:00:00"/>
    <s v="26.000,00"/>
    <s v="Veintiseis Mil Bolívares con 00/100"/>
  </r>
  <r>
    <n v="490"/>
    <m/>
    <s v="ü"/>
    <d v="2017-08-13T00:00:00"/>
    <n v="7000"/>
    <x v="54"/>
    <x v="50"/>
    <s v="Calle Güigüe Nro. 89-21"/>
    <s v="Cuota especial, reja vereda Centro Comercial"/>
    <s v="Reja CC"/>
    <m/>
    <s v="00490"/>
    <s v="13 de agosto de 2017"/>
    <d v="2017-08-01T00:00:00"/>
    <s v="7.000,00"/>
    <s v="Siete Mil Bolívares con 00/100"/>
  </r>
  <r>
    <n v="491"/>
    <m/>
    <s v="ü"/>
    <d v="2017-08-14T00:00:00"/>
    <n v="35000"/>
    <x v="16"/>
    <x v="15"/>
    <s v="Calle Guacara Nro. 90-81"/>
    <s v="Cancelación Vigilancia, mes de Agosto/2017"/>
    <s v="Vigilancia"/>
    <m/>
    <s v="00491"/>
    <s v="14 de agosto de 2017"/>
    <d v="2017-08-01T00:00:00"/>
    <s v="35.000,00"/>
    <s v="Treinta y Cinco Mil Bolívares con 00/100"/>
  </r>
  <r>
    <n v="492"/>
    <m/>
    <s v="ü"/>
    <d v="2017-08-14T00:00:00"/>
    <n v="9000"/>
    <x v="49"/>
    <x v="46"/>
    <s v="Av. &quot;O&quot; Nro. 146-17"/>
    <s v="Cancelación saldo Vigilancia, mes de Julio/2017"/>
    <s v="Vigilancia"/>
    <m/>
    <s v="00492"/>
    <s v="14 de agosto de 2017"/>
    <d v="2017-08-01T00:00:00"/>
    <s v="9.000,00"/>
    <s v="Nueve Mil Bolívares con 00/100"/>
  </r>
  <r>
    <n v="493"/>
    <m/>
    <s v="ü"/>
    <d v="2017-08-14T00:00:00"/>
    <n v="18000"/>
    <x v="49"/>
    <x v="46"/>
    <s v="Av. &quot;O&quot; Nro. 146-17"/>
    <s v="Cancelación diferencia pago controles"/>
    <s v="Control"/>
    <m/>
    <s v="00493"/>
    <s v="14 de agosto de 2017"/>
    <d v="2017-08-01T00:00:00"/>
    <s v="18.000,00"/>
    <s v="Dieciocho Mil Bolívares con 00/100"/>
  </r>
  <r>
    <n v="494"/>
    <m/>
    <s v="ü"/>
    <d v="2017-08-15T00:00:00"/>
    <n v="15000"/>
    <x v="68"/>
    <x v="60"/>
    <s v="Calle Güigüe Nro. 89-29"/>
    <s v="Colaboración Vigilancia, mes de Agosto/2017"/>
    <s v="Vigilancia"/>
    <m/>
    <s v="00494"/>
    <s v="15 de agosto de 2017"/>
    <d v="2017-08-01T00:00:00"/>
    <s v="15.000,00"/>
    <s v="Quince Mil Bolívares con 00/100"/>
  </r>
  <r>
    <n v="495"/>
    <m/>
    <s v="ü"/>
    <d v="2017-08-15T00:00:00"/>
    <n v="20000"/>
    <x v="35"/>
    <x v="32"/>
    <s v="Calle Güigüe Nro. 89-80"/>
    <s v="Colaboración Vigilancia, mes de Agosto/2017"/>
    <s v="Vigilancia"/>
    <m/>
    <s v="00495"/>
    <s v="15 de agosto de 2017"/>
    <d v="2017-08-01T00:00:00"/>
    <s v="20.000,00"/>
    <s v="Veinte Mil Bolívares con 00/100"/>
  </r>
  <r>
    <n v="496"/>
    <m/>
    <s v="ü"/>
    <d v="2017-08-15T00:00:00"/>
    <n v="35000"/>
    <x v="30"/>
    <x v="28"/>
    <s v="Calle Güigüe Nro. 89-04"/>
    <s v="Cancelación Vigilancia, mes de Agosto/2017"/>
    <s v="Vigilancia"/>
    <m/>
    <s v="00496"/>
    <s v="15 de agosto de 2017"/>
    <d v="2017-08-01T00:00:00"/>
    <s v="35.000,00"/>
    <s v="Treinta y Cinco Mil Bolívares con 00/100"/>
  </r>
  <r>
    <n v="497"/>
    <m/>
    <s v="ü"/>
    <d v="2017-06-25T00:00:00"/>
    <n v="26000"/>
    <x v="56"/>
    <x v="52"/>
    <s v="Calle Güigüe Nro. 88-70"/>
    <s v="Cancelación Vigilancia, mes de Junio/2017"/>
    <s v="Vigilancia"/>
    <m/>
    <s v="00497"/>
    <s v="25 de junio de 2017"/>
    <d v="2017-06-01T00:00:00"/>
    <s v="26.000,00"/>
    <s v="Veintiseis Mil Bolívares con 00/100"/>
  </r>
  <r>
    <n v="498"/>
    <m/>
    <s v="ü"/>
    <d v="2017-08-16T00:00:00"/>
    <n v="9000"/>
    <x v="23"/>
    <x v="21"/>
    <s v="Calle Güigüe Nro. 88-116"/>
    <s v="Cancelación saldo Vigilancia, mes de Julio/2017"/>
    <s v="Vigilancia"/>
    <m/>
    <s v="00498"/>
    <s v="16 de agosto de 2017"/>
    <d v="2017-08-01T00:00:00"/>
    <s v="9.000,00"/>
    <s v="Nueve Mil Bolívares con 00/100"/>
  </r>
  <r>
    <n v="499"/>
    <m/>
    <s v="ü"/>
    <d v="2017-08-16T00:00:00"/>
    <n v="35000"/>
    <x v="23"/>
    <x v="21"/>
    <s v="Calle Güigüe Nro. 88-116"/>
    <s v="Cancelación Vigilancia, mes de Agosto/2017"/>
    <s v="Vigilancia"/>
    <m/>
    <s v="00499"/>
    <s v="16 de agosto de 2017"/>
    <d v="2017-08-01T00:00:00"/>
    <s v="35.000,00"/>
    <s v="Treinta y Cinco Mil Bolívares con 00/100"/>
  </r>
  <r>
    <n v="500"/>
    <m/>
    <s v="ü"/>
    <d v="2017-07-28T00:00:00"/>
    <n v="35000"/>
    <x v="10"/>
    <x v="10"/>
    <s v="Av. &quot;M&quot; Nro. 146-15"/>
    <s v="Cancelación Vigilancia, mes de Julio/2017"/>
    <s v="Vigilancia"/>
    <m/>
    <s v="00500"/>
    <s v="28 de julio de 2017"/>
    <d v="2017-07-01T00:00:00"/>
    <s v="35.000,00"/>
    <s v="Treinta y Cinco Mil Bolívares con 00/100"/>
  </r>
  <r>
    <n v="501"/>
    <m/>
    <s v="ü"/>
    <d v="2017-07-25T00:00:00"/>
    <n v="35000"/>
    <x v="56"/>
    <x v="52"/>
    <s v="Calle Güigüe Nro. 88-70"/>
    <s v="Cancelación Vigilancia, mes de Julio/2017"/>
    <s v="Vigilancia"/>
    <m/>
    <s v="00501"/>
    <s v="25 de julio de 2017"/>
    <d v="2017-07-01T00:00:00"/>
    <s v="35.000,00"/>
    <s v="Treinta y Cinco Mil Bolívares con 00/100"/>
  </r>
  <r>
    <n v="502"/>
    <m/>
    <s v="ü"/>
    <d v="2017-08-17T00:00:00"/>
    <n v="40000"/>
    <x v="9"/>
    <x v="9"/>
    <s v="Av. &quot;M&quot; Nro. 146-30"/>
    <s v="Cancelación Vigilancia, mes de Agosto/2017"/>
    <s v="Vigilancia"/>
    <m/>
    <s v="00502"/>
    <s v="17 de agosto de 2017"/>
    <d v="2017-08-01T00:00:00"/>
    <s v="40.000,00"/>
    <s v="Cuarenta Mil Bolívares con 00/100"/>
  </r>
  <r>
    <n v="503"/>
    <m/>
    <s v="ü"/>
    <d v="2017-07-30T00:00:00"/>
    <n v="62000"/>
    <x v="37"/>
    <x v="34"/>
    <s v="Av. &quot;I&quot; Nro. 146-40"/>
    <s v="Cancelación Vigilancia, meses de Junio y Julio/2017 y anticipo mes de Agosto/2017 (Bs. 1.000)"/>
    <s v="Vigilancia"/>
    <m/>
    <s v="00503"/>
    <s v="30 de julio de 2017"/>
    <d v="2017-07-01T00:00:00"/>
    <s v="62.000,00"/>
    <s v="Sesenta y Dos Mil Bolívares con 00/100"/>
  </r>
  <r>
    <n v="504"/>
    <m/>
    <s v="ü"/>
    <d v="2017-08-17T00:00:00"/>
    <n v="15000"/>
    <x v="34"/>
    <x v="9"/>
    <s v="Av. &quot;O&quot; Nro. 146-11"/>
    <s v="Cancelación saldo Vigilancia, mes de Julio/2017"/>
    <s v="Vigilancia"/>
    <m/>
    <s v="00504"/>
    <s v="17 de agosto de 2017"/>
    <d v="2017-08-01T00:00:00"/>
    <s v="15.000,00"/>
    <s v="Quince Mil Bolívares con 00/100"/>
  </r>
  <r>
    <n v="505"/>
    <m/>
    <s v="ü"/>
    <d v="2017-08-17T00:00:00"/>
    <n v="5000"/>
    <x v="28"/>
    <x v="26"/>
    <s v="Calle Güigüe Nro. 88-30"/>
    <s v="Colaboración Vigilancia, mes de Agosto/2017"/>
    <s v="Vigilancia"/>
    <m/>
    <s v="00505"/>
    <s v="17 de agosto de 2017"/>
    <d v="2017-08-01T00:00:00"/>
    <s v="5.000,00"/>
    <s v="Cinco Mil Bolívares con 00/100"/>
  </r>
  <r>
    <n v="506"/>
    <m/>
    <s v="ü"/>
    <d v="2017-08-17T00:00:00"/>
    <n v="35000"/>
    <x v="20"/>
    <x v="18"/>
    <s v="Calle Guacara Nro. 89-30"/>
    <s v="Cancelación Vigilancia, mes de Agosto/2017"/>
    <s v="Vigilancia"/>
    <m/>
    <s v="00506"/>
    <s v="17 de agosto de 2017"/>
    <d v="2017-08-01T00:00:00"/>
    <s v="35.000,00"/>
    <s v="Treinta y Cinco Mil Bolívares con 00/100"/>
  </r>
  <r>
    <n v="507"/>
    <m/>
    <s v="ü"/>
    <d v="2017-07-18T00:00:00"/>
    <n v="20000"/>
    <x v="22"/>
    <x v="20"/>
    <s v="Calle Guacara Nro. 88-25"/>
    <s v="Colaboración Vigilancia, mes de Agosto/2017"/>
    <s v="Vigilancia"/>
    <m/>
    <s v="00507"/>
    <s v="18 de julio de 2017"/>
    <d v="2017-07-01T00:00:00"/>
    <s v="20.000,00"/>
    <s v="Veinte Mil Bolívares con 00/100"/>
  </r>
  <r>
    <n v="508"/>
    <m/>
    <s v="ü"/>
    <d v="2017-08-18T00:00:00"/>
    <n v="20000"/>
    <x v="2"/>
    <x v="2"/>
    <s v="Calle Guacara Nro. 88-19"/>
    <s v="Colaboración Vigilancia, mes de Agosto/2017"/>
    <s v="Vigilancia"/>
    <m/>
    <s v="00508"/>
    <s v="18 de agosto de 2017"/>
    <d v="2017-08-01T00:00:00"/>
    <s v="20.000,00"/>
    <s v="Veinte Mil Bolívares con 00/100"/>
  </r>
  <r>
    <n v="509"/>
    <m/>
    <s v="ü"/>
    <d v="2017-08-18T00:00:00"/>
    <n v="12500"/>
    <x v="67"/>
    <x v="2"/>
    <s v="Calle Guacara Nro. 90-93"/>
    <s v="Colaboración Vigilancia, meses de Julio y Agosto/2017"/>
    <s v="Vigilancia"/>
    <m/>
    <s v="00509"/>
    <s v="18 de agosto de 2017"/>
    <d v="2017-08-01T00:00:00"/>
    <s v="12.500,00"/>
    <s v="Doce Mil Quinientos Bolívares con 00/100"/>
  </r>
  <r>
    <n v="510"/>
    <m/>
    <s v="ü"/>
    <d v="2017-08-18T00:00:00"/>
    <n v="139000"/>
    <x v="52"/>
    <x v="49"/>
    <s v="Calle Güigüe Nro. 89-45"/>
    <s v="Cancelación Vigilancia, meses de Abril a Agosto/2017"/>
    <s v="Vigilancia"/>
    <m/>
    <s v="00510"/>
    <s v="18 de agosto de 2017"/>
    <d v="2017-08-01T00:00:00"/>
    <s v="139.000,00"/>
    <s v="Ciento Treinta y Nueve Mil Bolívares con 00/100"/>
  </r>
  <r>
    <n v="511"/>
    <m/>
    <s v="ü"/>
    <d v="2017-08-19T00:00:00"/>
    <n v="70000"/>
    <x v="27"/>
    <x v="25"/>
    <s v="Calle Güigüe Nro. 89-106"/>
    <s v="Cancelación Vigilancia, meses de Julio y Agosto/2017"/>
    <s v="Vigilancia"/>
    <m/>
    <s v="00511"/>
    <s v="19 de agosto de 2017"/>
    <d v="2017-08-01T00:00:00"/>
    <s v="70.000,00"/>
    <s v="Setenta Mil Bolívares con 00/100"/>
  </r>
  <r>
    <n v="512"/>
    <m/>
    <s v="ü"/>
    <d v="2017-08-19T00:00:00"/>
    <n v="30000"/>
    <x v="64"/>
    <x v="57"/>
    <s v="Calle Guacara Nro. 88-35"/>
    <s v="Colaboración Vigilancia, mes de Agosto/2017"/>
    <s v="Vigilancia"/>
    <m/>
    <s v="00512"/>
    <s v="19 de agosto de 2017"/>
    <d v="2017-08-01T00:00:00"/>
    <s v="30.000,00"/>
    <s v="Treinta Mil Bolívares con 00/100"/>
  </r>
  <r>
    <n v="513"/>
    <m/>
    <s v="ü"/>
    <d v="2017-08-19T00:00:00"/>
    <n v="35000"/>
    <x v="65"/>
    <x v="58"/>
    <s v="Calle Güigüe Nro. 88-10"/>
    <s v="Cancelación Vigilancia, mes de Julio/2017"/>
    <s v="Vigilancia"/>
    <m/>
    <s v="00513"/>
    <s v="19 de agosto de 2017"/>
    <d v="2017-08-01T00:00:00"/>
    <s v="35.000,00"/>
    <s v="Treinta y Cinco Mil Bolívares con 00/100"/>
  </r>
  <r>
    <n v="514"/>
    <m/>
    <s v="ü"/>
    <d v="2017-08-19T00:00:00"/>
    <n v="35000"/>
    <x v="81"/>
    <x v="69"/>
    <s v="Calle Güigüe Nro. 89-65"/>
    <s v="Cancelación Vigilancia, mes de Agosto/2017"/>
    <s v="Vigilancia"/>
    <m/>
    <s v="00514"/>
    <s v="19 de agosto de 2017"/>
    <d v="2017-08-01T00:00:00"/>
    <s v="35.000,00"/>
    <s v="Treinta y Cinco Mil Bolívares con 00/100"/>
  </r>
  <r>
    <n v="515"/>
    <m/>
    <s v="ü"/>
    <d v="2017-08-20T00:00:00"/>
    <n v="35000"/>
    <x v="14"/>
    <x v="13"/>
    <s v="Calle Güigüe Nro. 89-83"/>
    <s v="Cancelación Vigilancia, mes de Agosto/2017"/>
    <s v="Vigilancia"/>
    <m/>
    <s v="00515"/>
    <s v="20 de agosto de 2017"/>
    <d v="2017-08-01T00:00:00"/>
    <s v="35.000,00"/>
    <s v="Treinta y Cinco Mil Bolívares con 00/100"/>
  </r>
  <r>
    <n v="516"/>
    <m/>
    <s v="ü"/>
    <d v="2017-08-16T00:00:00"/>
    <n v="61000"/>
    <x v="46"/>
    <x v="43"/>
    <s v="Av. &quot;I&quot; Nro. 146-20"/>
    <s v="Cancelación Vigilancia, meses de Junio y Julio/2017"/>
    <s v="Vigilancia"/>
    <m/>
    <s v="00516"/>
    <s v="16 de agosto de 2017"/>
    <d v="2017-08-01T00:00:00"/>
    <s v="61.000,00"/>
    <s v="Sesenta y Un Mil Bolívares con 00/100"/>
  </r>
  <r>
    <n v="517"/>
    <m/>
    <s v="ü"/>
    <d v="2017-08-20T00:00:00"/>
    <n v="15000"/>
    <x v="25"/>
    <x v="23"/>
    <s v="Calle Güigüe Nro. 88-58"/>
    <s v="Colaboración Vigilancia, mes de Julio/2017"/>
    <s v="Vigilancia"/>
    <m/>
    <s v="00517"/>
    <s v="20 de agosto de 2017"/>
    <d v="2017-08-01T00:00:00"/>
    <s v="15.000,00"/>
    <s v="Quince Mil Bolívares con 00/100"/>
  </r>
  <r>
    <n v="518"/>
    <m/>
    <s v="ü"/>
    <d v="2017-08-21T00:00:00"/>
    <n v="44000"/>
    <x v="45"/>
    <x v="42"/>
    <s v="Calle Güigüe Nro. 87-A-11"/>
    <s v="Cancelación saldo Vigilancia, mes de Julio/2017 y Cancelación Vigilancia mes de Agosto/2017"/>
    <s v="Vigilancia"/>
    <m/>
    <s v="00518"/>
    <s v="21 de agosto de 2017"/>
    <d v="2017-08-01T00:00:00"/>
    <s v="44.000,00"/>
    <s v="Cuarenta y Cuatro Mil Bolívares con 00/100"/>
  </r>
  <r>
    <n v="519"/>
    <m/>
    <s v="ü"/>
    <d v="2017-08-23T00:00:00"/>
    <n v="35000"/>
    <x v="46"/>
    <x v="43"/>
    <s v="Av. &quot;I&quot; Nro. 146-20"/>
    <s v="Cancelación Vigilancia, mes de Agosto/2017"/>
    <s v="Vigilancia"/>
    <m/>
    <s v="00519"/>
    <s v="23 de agosto de 2017"/>
    <d v="2017-08-01T00:00:00"/>
    <s v="35.000,00"/>
    <s v="Treinta y Cinco Mil Bolívares con 00/100"/>
  </r>
  <r>
    <n v="520"/>
    <m/>
    <s v="ü"/>
    <d v="2017-08-25T00:00:00"/>
    <n v="18000"/>
    <x v="25"/>
    <x v="23"/>
    <s v="Calle Güigüe Nro. 88-58"/>
    <s v="Colaboración Vigilancia, mes de Agosto/2017"/>
    <s v="Vigilancia"/>
    <m/>
    <s v="00520"/>
    <s v="25 de agosto de 2017"/>
    <d v="2017-08-01T00:00:00"/>
    <s v="18.000,00"/>
    <s v="Dieciocho Mil Bolívares con 00/100"/>
  </r>
  <r>
    <n v="521"/>
    <m/>
    <s v="ü"/>
    <d v="2017-08-28T00:00:00"/>
    <n v="70000"/>
    <x v="8"/>
    <x v="8"/>
    <s v="Calle Guacara Nro. 90-51"/>
    <s v="Cancelación Vigilancia, meses de Julio y Agosto/2017"/>
    <s v="Vigilancia"/>
    <m/>
    <s v="00521"/>
    <s v="28 de agosto de 2017"/>
    <d v="2017-08-01T00:00:00"/>
    <s v="70.000,00"/>
    <s v="Setenta Mil Bolívares con 00/100"/>
  </r>
  <r>
    <n v="522"/>
    <m/>
    <s v="ü"/>
    <d v="2017-08-24T00:00:00"/>
    <n v="36000"/>
    <x v="29"/>
    <x v="27"/>
    <s v="Calle Guacara Nro. 88-75"/>
    <s v="Cancelación Vigilancia, mes de Julio/2017, y anticipo del mes de Agosto/2017"/>
    <s v="Vigilancia"/>
    <m/>
    <s v="00522"/>
    <s v="24 de agosto de 2017"/>
    <d v="2017-08-01T00:00:00"/>
    <s v="36.000,00"/>
    <s v="Treinta y Seis Mil Bolívares con 00/100"/>
  </r>
  <r>
    <n v="523"/>
    <m/>
    <s v="ü"/>
    <d v="2017-08-30T00:00:00"/>
    <n v="35000"/>
    <x v="6"/>
    <x v="6"/>
    <s v="Calle Guacara Nro. 89-60"/>
    <s v="Cancelación Vigilancia, mes de Septiembre/2017"/>
    <s v="Vigilancia"/>
    <m/>
    <s v="00523"/>
    <s v="30 de agosto de 2017"/>
    <d v="2017-08-01T00:00:00"/>
    <s v="35.000,00"/>
    <s v="Treinta y Cinco Mil Bolívares con 00/100"/>
  </r>
  <r>
    <n v="524"/>
    <m/>
    <s v="ü"/>
    <d v="2017-08-31T00:00:00"/>
    <n v="70000"/>
    <x v="56"/>
    <x v="52"/>
    <s v="Calle Güigüe Nro. 88-70"/>
    <s v="Cancelación Vigilancia, meses de Agosto y Septiembre/2017"/>
    <s v="Vigilancia"/>
    <m/>
    <s v="00524"/>
    <s v="31 de agosto de 2017"/>
    <d v="2017-08-01T00:00:00"/>
    <s v="70.000,00"/>
    <s v="Setenta Mil Bolívares con 00/100"/>
  </r>
  <r>
    <n v="525"/>
    <m/>
    <s v="ü"/>
    <d v="2017-08-30T00:00:00"/>
    <n v="10000"/>
    <x v="72"/>
    <x v="63"/>
    <s v="Calle Güigüe Nro. 89-35"/>
    <s v="Colaboración Vigilancia, mes de Agosto/2017"/>
    <s v="Vigilancia"/>
    <m/>
    <s v="00525"/>
    <s v="30 de agosto de 2017"/>
    <d v="2017-08-01T00:00:00"/>
    <s v="10.000,00"/>
    <s v="Diez Mil Bolívares con 00/100"/>
  </r>
  <r>
    <n v="526"/>
    <m/>
    <s v="ü"/>
    <d v="2017-08-31T00:00:00"/>
    <n v="72000"/>
    <x v="48"/>
    <x v="9"/>
    <s v="Calle Güigüe Nro. 88-90"/>
    <s v="Cancelación Vigilancia, meses de Julio y Agosto/2017 y Anticipo Vigilancia Septiembre/2017"/>
    <s v="Vigilancia"/>
    <m/>
    <s v="00526"/>
    <s v="31 de agosto de 2017"/>
    <d v="2017-08-01T00:00:00"/>
    <s v="72.000,00"/>
    <s v="Setenta y Dos Mil Bolívares con 00/100"/>
  </r>
  <r>
    <n v="527"/>
    <m/>
    <s v="ü"/>
    <d v="2017-08-31T00:00:00"/>
    <n v="35000"/>
    <x v="14"/>
    <x v="13"/>
    <s v="Calle Güigüe Nro. 89-83"/>
    <s v="Cancelación Vigilancia, mes de Septiembre/2017"/>
    <s v="Vigilancia"/>
    <m/>
    <s v="00527"/>
    <s v="31 de agosto de 2017"/>
    <d v="2017-08-01T00:00:00"/>
    <s v="35.000,00"/>
    <s v="Treinta y Cinco Mil Bolívares con 00/100"/>
  </r>
  <r>
    <n v="528"/>
    <m/>
    <s v="ü"/>
    <d v="2017-07-31T00:00:00"/>
    <n v="35000"/>
    <x v="24"/>
    <x v="22"/>
    <s v="Calle Güigüe Nro. 88-54"/>
    <s v="Cancelación Vigilancia, mes de Agosto/2017"/>
    <s v="Vigilancia"/>
    <m/>
    <s v="00528"/>
    <s v="31 de julio de 2017"/>
    <d v="2017-07-01T00:00:00"/>
    <s v="35.000,00"/>
    <s v="Treinta y Cinco Mil Bolívares con 00/100"/>
  </r>
  <r>
    <n v="529"/>
    <m/>
    <s v="ü"/>
    <d v="2017-09-01T00:00:00"/>
    <n v="100000"/>
    <x v="47"/>
    <x v="44"/>
    <s v="Calle Güigüe Nro. 88-80"/>
    <s v="Colaboración Vigilancia, meses de Junio, Julio, Agosto y Septiembre/2017"/>
    <s v="Vigilancia"/>
    <m/>
    <s v="00529"/>
    <s v="01 de septiembre de 2017"/>
    <d v="2017-09-01T00:00:00"/>
    <s v="100.000,00"/>
    <s v="Cien Mil Bolívares con 00/100"/>
  </r>
  <r>
    <n v="530"/>
    <m/>
    <s v="ü"/>
    <d v="2017-09-01T00:00:00"/>
    <n v="35000"/>
    <x v="1"/>
    <x v="1"/>
    <s v="Calle Güigüe Nro. 88-44"/>
    <s v="Cancelación Vigilancia, mes de Septiembre/2017"/>
    <s v="Vigilancia"/>
    <m/>
    <s v="00530"/>
    <s v="01 de septiembre de 2017"/>
    <d v="2017-09-01T00:00:00"/>
    <s v="35.000,00"/>
    <s v="Treinta y Cinco Mil Bolívares con 00/100"/>
  </r>
  <r>
    <n v="531"/>
    <m/>
    <s v="ü"/>
    <d v="2017-09-01T00:00:00"/>
    <n v="35000"/>
    <x v="59"/>
    <x v="9"/>
    <s v="Calle Guacara Nro. 90-35"/>
    <s v="Cancelación Vigilancia, mes de Julio/2017"/>
    <s v="Vigilancia"/>
    <m/>
    <s v="00531"/>
    <s v="01 de septiembre de 2017"/>
    <d v="2017-09-01T00:00:00"/>
    <s v="35.000,00"/>
    <s v="Treinta y Cinco Mil Bolívares con 00/100"/>
  </r>
  <r>
    <n v="532"/>
    <m/>
    <s v="ü"/>
    <d v="2017-09-01T00:00:00"/>
    <n v="35000"/>
    <x v="59"/>
    <x v="9"/>
    <s v="Calle Guacara Nro. 90-35"/>
    <s v="Cancelación Vigilancia, mes de Agosto/2017"/>
    <s v="Vigilancia"/>
    <m/>
    <s v="00532"/>
    <s v="01 de septiembre de 2017"/>
    <d v="2017-09-01T00:00:00"/>
    <s v="35.000,00"/>
    <s v="Treinta y Cinco Mil Bolívares con 00/100"/>
  </r>
  <r>
    <n v="533"/>
    <m/>
    <s v="ü"/>
    <d v="2017-09-01T00:00:00"/>
    <n v="35000"/>
    <x v="10"/>
    <x v="10"/>
    <s v="Av. &quot;M&quot; Nro. 146-15"/>
    <s v="Cancelación Vigilancia, mes de Agosto/2017"/>
    <s v="Vigilancia"/>
    <m/>
    <s v="00533"/>
    <s v="01 de septiembre de 2017"/>
    <d v="2017-09-01T00:00:00"/>
    <s v="35.000,00"/>
    <s v="Treinta y Cinco Mil Bolívares con 00/100"/>
  </r>
  <r>
    <n v="534"/>
    <m/>
    <s v="ü"/>
    <d v="2017-09-01T00:00:00"/>
    <n v="35000"/>
    <x v="75"/>
    <x v="65"/>
    <s v="Av. &quot;Ñ&quot; Nro. 145-25"/>
    <s v="Cancelación saldo Vigilancia, mes de Septiembre/2017 (saldo a favor: Bs. 44.000)"/>
    <s v="Vigilancia"/>
    <m/>
    <s v="00534"/>
    <s v="01 de septiembre de 2017"/>
    <d v="2017-09-01T00:00:00"/>
    <s v="35.000,00"/>
    <s v="Treinta y Cinco Mil Bolívares con 00/100"/>
  </r>
  <r>
    <n v="535"/>
    <m/>
    <s v="ü"/>
    <d v="2017-09-01T00:00:00"/>
    <n v="35000"/>
    <x v="0"/>
    <x v="0"/>
    <s v="Calle Guacara Nro. 88-45"/>
    <s v="Cancelación Vigilancia, mes de Septiembre/2017 (saldo a favor: Bs. 60.000)"/>
    <s v="Vigilancia"/>
    <m/>
    <s v="00535"/>
    <s v="01 de septiembre de 2017"/>
    <d v="2017-09-01T00:00:00"/>
    <s v="35.000,00"/>
    <s v="Treinta y Cinco Mil Bolívares con 00/100"/>
  </r>
  <r>
    <n v="536"/>
    <m/>
    <s v="ü"/>
    <d v="2017-09-01T00:00:00"/>
    <n v="20000"/>
    <x v="15"/>
    <x v="14"/>
    <s v="Calle Guacara Nro. 89-94"/>
    <s v="Colaboración Vigilancia, mes de Septiembre/2017"/>
    <s v="Vigilancia"/>
    <m/>
    <s v="00536"/>
    <s v="01 de septiembre de 2017"/>
    <d v="2017-09-01T00:00:00"/>
    <s v="20.000,00"/>
    <s v="Veinte Mil Bolívares con 00/100"/>
  </r>
  <r>
    <n v="537"/>
    <m/>
    <s v="ü"/>
    <d v="2017-09-01T00:00:00"/>
    <n v="35000"/>
    <x v="44"/>
    <x v="41"/>
    <s v="Calle Guacara Nro. 89-40"/>
    <s v="Cancelación Vigilancia, mes de Julio/2017"/>
    <s v="Vigilancia"/>
    <m/>
    <s v="00537"/>
    <s v="01 de septiembre de 2017"/>
    <d v="2017-09-01T00:00:00"/>
    <s v="35.000,00"/>
    <s v="Treinta y Cinco Mil Bolívares con 00/100"/>
  </r>
  <r>
    <n v="538"/>
    <m/>
    <s v="ü"/>
    <d v="2017-09-03T00:00:00"/>
    <n v="70000"/>
    <x v="11"/>
    <x v="11"/>
    <s v="Calle Guacara Nro. 89-86"/>
    <s v="Cancelación Vigilancia, meses de Septiembre y Octubre/2017"/>
    <s v="Vigilancia"/>
    <m/>
    <s v="00538"/>
    <s v="03 de septiembre de 2017"/>
    <d v="2017-09-01T00:00:00"/>
    <s v="70.000,00"/>
    <s v="Setenta Mil Bolívares con 00/100"/>
  </r>
  <r>
    <n v="539"/>
    <m/>
    <s v="ü"/>
    <d v="2017-09-04T00:00:00"/>
    <n v="70000"/>
    <x v="21"/>
    <x v="19"/>
    <s v="Calle Güigüe Nro. 89-105"/>
    <s v="Cancelación Vigilancia, meses de Agosto y Septiembre/2017"/>
    <s v="Vigilancia"/>
    <m/>
    <s v="00539"/>
    <s v="04 de septiembre de 2017"/>
    <d v="2017-09-01T00:00:00"/>
    <s v="70.000,00"/>
    <s v="Setenta Mil Bolívares con 00/100"/>
  </r>
  <r>
    <n v="540"/>
    <m/>
    <s v="ü"/>
    <d v="2017-09-04T00:00:00"/>
    <n v="35000"/>
    <x v="40"/>
    <x v="37"/>
    <s v="Calle Güigüe Nro. 88-101"/>
    <s v="Cancelación Vigilancia, mes de Agosto/2017"/>
    <s v="Vigilancia"/>
    <m/>
    <s v="00540"/>
    <s v="04 de septiembre de 2017"/>
    <d v="2017-09-01T00:00:00"/>
    <s v="35.000,00"/>
    <s v="Treinta y Cinco Mil Bolívares con 00/100"/>
  </r>
  <r>
    <n v="541"/>
    <m/>
    <s v="ü"/>
    <d v="2017-09-05T00:00:00"/>
    <n v="35000"/>
    <x v="69"/>
    <x v="61"/>
    <s v="Calle Güigüe Nro. 89-40"/>
    <s v="Cancelación Vigilancia, mes de Agosto/2017"/>
    <s v="Vigilancia"/>
    <m/>
    <s v="00541"/>
    <s v="05 de septiembre de 2017"/>
    <d v="2017-09-01T00:00:00"/>
    <s v="35.000,00"/>
    <s v="Treinta y Cinco Mil Bolívares con 00/100"/>
  </r>
  <r>
    <n v="542"/>
    <m/>
    <s v="ü"/>
    <d v="2017-09-05T00:00:00"/>
    <n v="35000"/>
    <x v="12"/>
    <x v="12"/>
    <s v="Calle Guacara Nro. 89-20"/>
    <s v="Cancelación Vigilancia, mes de Septiembre/2017"/>
    <s v="Vigilancia"/>
    <m/>
    <s v="00542"/>
    <s v="05 de septiembre de 2017"/>
    <d v="2017-09-01T00:00:00"/>
    <s v="35.000,00"/>
    <s v="Treinta y Cinco Mil Bolívares con 00/100"/>
  </r>
  <r>
    <n v="543"/>
    <m/>
    <s v="ü"/>
    <d v="2017-09-05T00:00:00"/>
    <n v="105000"/>
    <x v="42"/>
    <x v="39"/>
    <s v="Calle Güigüe Nro. 89-79"/>
    <s v="Cancelación Vigilancia, meses de Julio, Agosto y Septiembre/2017"/>
    <s v="Vigilancia"/>
    <m/>
    <s v="00543"/>
    <s v="05 de septiembre de 2017"/>
    <d v="2017-09-01T00:00:00"/>
    <s v="105.000,00"/>
    <s v="Ciento Cinco Mil Bolívares con 00/100"/>
  </r>
  <r>
    <n v="544"/>
    <m/>
    <s v="ü"/>
    <d v="2017-09-06T00:00:00"/>
    <n v="35000"/>
    <x v="16"/>
    <x v="15"/>
    <s v="Calle Guacara Nro. 90-81"/>
    <s v="Cancelación Vigilancia, mes de Septiembre/2017"/>
    <s v="Vigilancia"/>
    <m/>
    <s v="00544"/>
    <s v="06 de septiembre de 2017"/>
    <d v="2017-09-01T00:00:00"/>
    <s v="35.000,00"/>
    <s v="Treinta y Cinco Mil Bolívares con 00/100"/>
  </r>
  <r>
    <n v="545"/>
    <m/>
    <s v="ü"/>
    <d v="2017-09-06T00:00:00"/>
    <n v="54000"/>
    <x v="73"/>
    <x v="9"/>
    <s v="Calle Güigüe Nros. 88-71 y 88-81"/>
    <s v="Cancelación Vigilancia, mes de Septiembre/2017"/>
    <s v="Vigilancia"/>
    <m/>
    <s v="00545"/>
    <s v="06 de septiembre de 2017"/>
    <d v="2017-09-01T00:00:00"/>
    <s v="54.000,00"/>
    <s v="Cincuenta y Cuatro Mil Bolívares con 00/100"/>
  </r>
  <r>
    <n v="546"/>
    <m/>
    <s v="ü"/>
    <d v="2017-09-06T00:00:00"/>
    <n v="15000"/>
    <x v="7"/>
    <x v="7"/>
    <s v="Calle Guacara Nro. 87-86"/>
    <s v="Colaboración Vigilancia, mes de Septiembre/2017"/>
    <s v="Vigilancia"/>
    <m/>
    <s v="00546"/>
    <s v="06 de septiembre de 2017"/>
    <d v="2017-09-01T00:00:00"/>
    <s v="15.000,00"/>
    <s v="Quince Mil Bolívares con 00/100"/>
  </r>
  <r>
    <n v="547"/>
    <m/>
    <s v="ü"/>
    <d v="2017-08-23T00:00:00"/>
    <n v="35000"/>
    <x v="36"/>
    <x v="33"/>
    <s v="Calle Güigüe Nro. 89-10"/>
    <s v="Cancelación Vigilancia, mes de Agosto/2017"/>
    <s v="Vigilancia"/>
    <m/>
    <s v="00547"/>
    <s v="23 de agosto de 2017"/>
    <d v="2017-08-01T00:00:00"/>
    <s v="35.000,00"/>
    <s v="Treinta y Cinco Mil Bolívares con 00/100"/>
  </r>
  <r>
    <n v="548"/>
    <m/>
    <s v="ü"/>
    <d v="2017-08-24T00:00:00"/>
    <n v="35000"/>
    <x v="26"/>
    <x v="24"/>
    <s v="Calle Güigüe Nro. 89-96"/>
    <s v="Cancelación Vigilancia, mes de Agosto/2017"/>
    <s v="Vigilancia"/>
    <m/>
    <s v="00548"/>
    <s v="24 de agosto de 2017"/>
    <d v="2017-08-01T00:00:00"/>
    <s v="35.000,00"/>
    <s v="Treinta y Cinco Mil Bolívares con 00/100"/>
  </r>
  <r>
    <n v="549"/>
    <m/>
    <s v="ü"/>
    <d v="2017-09-07T00:00:00"/>
    <n v="35000"/>
    <x v="39"/>
    <x v="36"/>
    <s v="Calle Güigüe Nro. 88-111"/>
    <s v="Cancelación Vigilancia, mes de Julio/2017"/>
    <s v="Vigilancia"/>
    <m/>
    <s v="00549"/>
    <s v="07 de septiembre de 2017"/>
    <d v="2017-09-01T00:00:00"/>
    <s v="35.000,00"/>
    <s v="Treinta y Cinco Mil Bolívares con 00/100"/>
  </r>
  <r>
    <n v="550"/>
    <m/>
    <s v="ü"/>
    <d v="2017-09-10T00:00:00"/>
    <n v="15000"/>
    <x v="32"/>
    <x v="30"/>
    <s v="Calle Güigüe Nro. 89-120"/>
    <s v="Colaboración Vigilancia, mes de Agosto/2017"/>
    <s v="Vigilancia"/>
    <m/>
    <s v="00550"/>
    <s v="10 de septiembre de 2017"/>
    <d v="2017-09-01T00:00:00"/>
    <s v="15.000,00"/>
    <s v="Quince Mil Bolívares con 00/100"/>
  </r>
  <r>
    <n v="551"/>
    <m/>
    <s v="ü"/>
    <d v="2017-09-11T00:00:00"/>
    <n v="60000"/>
    <x v="60"/>
    <x v="54"/>
    <s v="Calle Guacara Nro. 88-51"/>
    <s v="Colaboración Vigilancia, meses de Julio y Agosto/2017"/>
    <s v="Vigilancia"/>
    <m/>
    <s v="00551"/>
    <s v="11 de septiembre de 2017"/>
    <d v="2017-09-01T00:00:00"/>
    <s v="60.000,00"/>
    <s v="Sesenta Mil Bolívares con 00/100"/>
  </r>
  <r>
    <n v="552"/>
    <m/>
    <s v="ü"/>
    <d v="2017-09-12T00:00:00"/>
    <n v="35000"/>
    <x v="60"/>
    <x v="54"/>
    <s v="Calle Guacara Nro. 88-51"/>
    <s v="Cancelación Vigilancia, mes de Septiembre/2017"/>
    <s v="Vigilancia"/>
    <m/>
    <s v="00552"/>
    <s v="12 de septiembre de 2017"/>
    <d v="2017-09-01T00:00:00"/>
    <s v="35.000,00"/>
    <s v="Treinta y Cinco Mil Bolívares con 00/100"/>
  </r>
  <r>
    <n v="553"/>
    <m/>
    <s v="ü"/>
    <d v="2017-09-13T00:00:00"/>
    <n v="9000"/>
    <x v="21"/>
    <x v="19"/>
    <s v="Calle Güigüe Nro. 89-105"/>
    <s v="Cancelación saldo Vigilancia, mes de Julio/2017"/>
    <s v="Vigilancia"/>
    <m/>
    <s v="00553"/>
    <s v="13 de septiembre de 2017"/>
    <d v="2017-09-01T00:00:00"/>
    <s v="9.000,00"/>
    <s v="Nueve Mil Bolívares con 00/100"/>
  </r>
  <r>
    <n v="554"/>
    <m/>
    <s v="ü"/>
    <d v="2017-09-13T00:00:00"/>
    <n v="35000"/>
    <x v="18"/>
    <x v="16"/>
    <s v="Calle Guacara Nro. 87-100"/>
    <s v="Cancelación Vigilancia, mes de Septiembre/2017"/>
    <s v="Vigilancia"/>
    <m/>
    <s v="00554"/>
    <s v="13 de septiembre de 2017"/>
    <d v="2017-09-01T00:00:00"/>
    <s v="35.000,00"/>
    <s v="Treinta y Cinco Mil Bolívares con 00/100"/>
  </r>
  <r>
    <n v="555"/>
    <m/>
    <s v="ü"/>
    <d v="2017-09-13T00:00:00"/>
    <n v="3000"/>
    <x v="17"/>
    <x v="16"/>
    <s v="Av. &quot;M&quot; Nro. 146-20"/>
    <s v="Colaboración Vigilancia, mes de Septiembre/2017"/>
    <s v="Vigilancia"/>
    <m/>
    <s v="00555"/>
    <s v="13 de septiembre de 2017"/>
    <d v="2017-09-01T00:00:00"/>
    <s v="3.000,00"/>
    <s v="Tres Mil Bolívares con 00/100"/>
  </r>
  <r>
    <n v="556"/>
    <m/>
    <s v="ü"/>
    <d v="2017-09-13T00:00:00"/>
    <n v="105000"/>
    <x v="83"/>
    <x v="70"/>
    <s v="Calle Güigüe Nro. 89-22"/>
    <s v="Cancelación Vigilancia, meses de Julio, Agosto y Septiembre/2017"/>
    <s v="Vigilancia"/>
    <m/>
    <s v="00556"/>
    <s v="13 de septiembre de 2017"/>
    <d v="2017-09-01T00:00:00"/>
    <s v="105.000,00"/>
    <s v="Ciento Cinco Mil Bolívares con 00/100"/>
  </r>
  <r>
    <n v="557"/>
    <m/>
    <s v="ü"/>
    <d v="2017-09-14T00:00:00"/>
    <n v="14900"/>
    <x v="67"/>
    <x v="2"/>
    <s v="Calle Guacara Nro. 90-93"/>
    <s v="Colaboración Vigilancia, mes de Septiembre/2017"/>
    <s v="Vigilancia"/>
    <m/>
    <s v="00557"/>
    <s v="14 de septiembre de 2017"/>
    <d v="2017-09-01T00:00:00"/>
    <s v="14.900,00"/>
    <s v="Catorce Mil Novecientos Bolívares con 00/100"/>
  </r>
  <r>
    <n v="558"/>
    <m/>
    <s v="ü"/>
    <d v="2017-09-14T00:00:00"/>
    <n v="20000"/>
    <x v="2"/>
    <x v="2"/>
    <s v="Calle Guacara Nro. 88-19"/>
    <s v="Colaboración Vigilancia, mes de Septiembre/2017"/>
    <s v="Vigilancia"/>
    <m/>
    <s v="00558"/>
    <s v="14 de septiembre de 2017"/>
    <d v="2017-09-01T00:00:00"/>
    <s v="20.000,00"/>
    <s v="Veinte Mil Bolívares con 00/100"/>
  </r>
  <r>
    <n v="559"/>
    <m/>
    <s v="ü"/>
    <d v="2017-09-15T00:00:00"/>
    <n v="35000"/>
    <x v="19"/>
    <x v="17"/>
    <s v="Calle Guacara Nro. 89-130"/>
    <s v="Cancelación Vigilancia, mes de Septiembre/2017"/>
    <s v="Vigilancia"/>
    <m/>
    <s v="00559"/>
    <s v="15 de septiembre de 2017"/>
    <d v="2017-09-01T00:00:00"/>
    <s v="35.000,00"/>
    <s v="Treinta y Cinco Mil Bolívares con 00/100"/>
  </r>
  <r>
    <n v="560"/>
    <m/>
    <s v="ü"/>
    <d v="2017-09-15T00:00:00"/>
    <n v="35000"/>
    <x v="23"/>
    <x v="21"/>
    <s v="Calle Güigüe Nro. 88-116"/>
    <s v="Cancelación Vigilancia, mes de Septiembre/2017"/>
    <s v="Vigilancia"/>
    <m/>
    <s v="00560"/>
    <s v="15 de septiembre de 2017"/>
    <d v="2017-09-01T00:00:00"/>
    <s v="35.000,00"/>
    <s v="Treinta y Cinco Mil Bolívares con 00/100"/>
  </r>
  <r>
    <n v="561"/>
    <m/>
    <s v="ü"/>
    <d v="2017-09-15T00:00:00"/>
    <n v="17000"/>
    <x v="68"/>
    <x v="60"/>
    <s v="Calle Güigüe Nro. 89-29"/>
    <s v="Colaboración Vigilancia, mes de Septiembre/2017"/>
    <s v="Vigilancia"/>
    <m/>
    <s v="00561"/>
    <s v="15 de septiembre de 2017"/>
    <d v="2017-09-01T00:00:00"/>
    <s v="17.000,00"/>
    <s v="Diecisiete Mil Bolívares con 00/100"/>
  </r>
  <r>
    <n v="562"/>
    <m/>
    <s v="ü"/>
    <d v="2017-09-15T00:00:00"/>
    <n v="35000"/>
    <x v="30"/>
    <x v="28"/>
    <s v="Calle Güigüe Nro. 89-04"/>
    <s v="Cancelación Vigilancia, mes de Septiembre/2017"/>
    <s v="Vigilancia"/>
    <m/>
    <s v="00562"/>
    <s v="15 de septiembre de 2017"/>
    <d v="2017-09-01T00:00:00"/>
    <s v="35.000,00"/>
    <s v="Treinta y Cinco Mil Bolívares con 00/100"/>
  </r>
  <r>
    <n v="563"/>
    <m/>
    <s v="ü"/>
    <d v="2017-09-16T00:00:00"/>
    <n v="20000"/>
    <x v="35"/>
    <x v="32"/>
    <s v="Calle Güigüe Nro. 89-80"/>
    <s v="Colaboración Vigilancia, mes de Septiembre/2017"/>
    <s v="Vigilancia"/>
    <m/>
    <s v="00563"/>
    <s v="16 de septiembre de 2017"/>
    <d v="2017-09-01T00:00:00"/>
    <s v="20.000,00"/>
    <s v="Veinte Mil Bolívares con 00/100"/>
  </r>
  <r>
    <n v="564"/>
    <m/>
    <s v="ü"/>
    <d v="2017-09-18T00:00:00"/>
    <n v="35000"/>
    <x v="38"/>
    <x v="35"/>
    <s v="Calle Guacara Nro. 89-78"/>
    <s v="Cancelación Vigilancia, mes de Agosto/2017"/>
    <s v="Vigilancia"/>
    <m/>
    <s v="00564"/>
    <s v="18 de septiembre de 2017"/>
    <d v="2017-09-01T00:00:00"/>
    <s v="35.000,00"/>
    <s v="Treinta y Cinco Mil Bolívares con 00/100"/>
  </r>
  <r>
    <n v="565"/>
    <m/>
    <s v="ü"/>
    <d v="2017-09-18T00:00:00"/>
    <n v="35000"/>
    <x v="20"/>
    <x v="18"/>
    <s v="Calle Guacara Nro. 89-30"/>
    <s v="Cancelación Vigilancia, mes de Septiembre/2017"/>
    <s v="Vigilancia"/>
    <m/>
    <s v="00565"/>
    <s v="18 de septiembre de 2017"/>
    <d v="2017-09-01T00:00:00"/>
    <s v="35.000,00"/>
    <s v="Treinta y Cinco Mil Bolívares con 00/100"/>
  </r>
  <r>
    <n v="566"/>
    <m/>
    <s v="ü"/>
    <d v="2017-09-18T00:00:00"/>
    <n v="20000"/>
    <x v="53"/>
    <x v="48"/>
    <s v="Calle Guacara Nro. 88-91"/>
    <s v="Colaboración Vigilancia, meses de Julio y Agosto/2017"/>
    <s v="Vigilancia"/>
    <m/>
    <s v="00566"/>
    <s v="18 de septiembre de 2017"/>
    <d v="2017-09-01T00:00:00"/>
    <s v="20.000,00"/>
    <s v="Veinte Mil Bolívares con 00/100"/>
  </r>
  <r>
    <n v="567"/>
    <m/>
    <s v="ü"/>
    <d v="2017-09-18T00:00:00"/>
    <n v="35000"/>
    <x v="4"/>
    <x v="4"/>
    <s v="Calle Güigüe Nro. 89-55"/>
    <s v="Cancelación Vigilancia, mes de Septiembre/2017, transferencia y contra factura"/>
    <s v="Vigilancia"/>
    <m/>
    <s v="00567"/>
    <s v="18 de septiembre de 2017"/>
    <d v="2017-09-01T00:00:00"/>
    <s v="35.000,00"/>
    <s v="Treinta y Cinco Mil Bolívares con 00/100"/>
  </r>
  <r>
    <n v="568"/>
    <m/>
    <s v="ü"/>
    <d v="2017-09-19T00:00:00"/>
    <n v="35000"/>
    <x v="5"/>
    <x v="5"/>
    <s v="Calle Güigüe Nro. 88-120"/>
    <s v="Cancelación Vigilancia, mes de Septiembre/2017"/>
    <s v="Vigilancia"/>
    <m/>
    <s v="00568"/>
    <s v="19 de septiembre de 2017"/>
    <d v="2017-09-01T00:00:00"/>
    <s v="35.000,00"/>
    <s v="Treinta y Cinco Mil Bolívares con 00/100"/>
  </r>
  <r>
    <n v="569"/>
    <m/>
    <s v="ü"/>
    <d v="2017-09-19T00:00:00"/>
    <n v="35000"/>
    <x v="40"/>
    <x v="37"/>
    <s v="Calle Güigüe Nro. 88-101"/>
    <s v="Cancelación Vigilancia, mes de Septiembre/2017"/>
    <s v="Vigilancia"/>
    <m/>
    <s v="00569"/>
    <s v="19 de septiembre de 2017"/>
    <d v="2017-09-01T00:00:00"/>
    <s v="35.000,00"/>
    <s v="Treinta y Cinco Mil Bolívares con 00/100"/>
  </r>
  <r>
    <n v="570"/>
    <m/>
    <s v="ü"/>
    <d v="2017-09-19T00:00:00"/>
    <n v="70000"/>
    <x v="54"/>
    <x v="50"/>
    <s v="Calle Güigüe Nro. 89-21"/>
    <s v="Cancelación Vigilancia, meses de Julio y Agosto/2017"/>
    <s v="Vigilancia"/>
    <m/>
    <s v="00570"/>
    <s v="19 de septiembre de 2017"/>
    <d v="2017-09-01T00:00:00"/>
    <s v="70.000,00"/>
    <s v="Setenta Mil Bolívares con 00/100"/>
  </r>
  <r>
    <n v="571"/>
    <m/>
    <s v="ü"/>
    <d v="2017-09-20T00:00:00"/>
    <n v="35000"/>
    <x v="26"/>
    <x v="24"/>
    <s v="Calle Güigüe Nro. 89-96"/>
    <s v="Cancelación Vigilancia, mes de Septiembre/2017"/>
    <s v="Vigilancia"/>
    <m/>
    <s v="00571"/>
    <s v="20 de septiembre de 2017"/>
    <d v="2017-09-01T00:00:00"/>
    <s v="35.000,00"/>
    <s v="Treinta y Cinco Mil Bolívares con 00/100"/>
  </r>
  <r>
    <n v="572"/>
    <m/>
    <s v="ü"/>
    <d v="2017-09-20T00:00:00"/>
    <n v="35000"/>
    <x v="76"/>
    <x v="66"/>
    <s v="Calle Güigüe Nro. 89-90"/>
    <s v="Cancelación Vigilancia, mes de Septiembre/2017"/>
    <s v="Vigilancia"/>
    <m/>
    <s v="00572"/>
    <s v="20 de septiembre de 2017"/>
    <d v="2017-09-01T00:00:00"/>
    <s v="35.000,00"/>
    <s v="Treinta y Cinco Mil Bolívares con 00/100"/>
  </r>
  <r>
    <n v="573"/>
    <m/>
    <s v="ü"/>
    <d v="2017-09-20T00:00:00"/>
    <n v="35000"/>
    <x v="43"/>
    <x v="40"/>
    <s v="Calle Güigüe Nro. 88-50"/>
    <s v="Cancelación Vigilancia, mes de Agosto/2017"/>
    <s v="Vigilancia"/>
    <m/>
    <s v="00573"/>
    <s v="20 de septiembre de 2017"/>
    <d v="2017-09-01T00:00:00"/>
    <s v="35.000,00"/>
    <s v="Treinta y Cinco Mil Bolívares con 00/100"/>
  </r>
  <r>
    <n v="574"/>
    <m/>
    <s v="ü"/>
    <d v="2017-09-21T00:00:00"/>
    <n v="35000"/>
    <x v="0"/>
    <x v="0"/>
    <s v="Calle Guacara Nro. 88-45"/>
    <s v="Anticipo Vigilancia (saldo a favor: Bs. 105.000)"/>
    <s v="Anticipo"/>
    <m/>
    <s v="00574"/>
    <s v="21 de septiembre de 2017"/>
    <d v="2017-09-01T00:00:00"/>
    <s v="35.000,00"/>
    <s v="Treinta y Cinco Mil Bolívares con 00/100"/>
  </r>
  <r>
    <n v="575"/>
    <m/>
    <s v="ü"/>
    <d v="2017-09-21T00:00:00"/>
    <n v="10000"/>
    <x v="57"/>
    <x v="9"/>
    <s v="Calle Güigüe Nro. 88-40"/>
    <s v="Colaboración Vigilancia, mes de Agosto/2017"/>
    <s v="Vigilancia"/>
    <m/>
    <s v="00575"/>
    <s v="21 de septiembre de 2017"/>
    <d v="2017-09-01T00:00:00"/>
    <s v="10.000,00"/>
    <s v="Diez Mil Bolívares con 00/100"/>
  </r>
  <r>
    <n v="576"/>
    <m/>
    <s v="ü"/>
    <d v="2017-09-21T00:00:00"/>
    <n v="35000"/>
    <x v="37"/>
    <x v="34"/>
    <s v="Av. &quot;I&quot; Nro. 146-40"/>
    <s v="Cancelación saldo Vigilancia, mes de Agosto/2017 y anticipo mes de Septiembre/2017 (Bs. 1.000)"/>
    <s v="Vigilancia"/>
    <m/>
    <s v="00576"/>
    <s v="21 de septiembre de 2017"/>
    <d v="2017-09-01T00:00:00"/>
    <s v="35.000,00"/>
    <s v="Treinta y Cinco Mil Bolívares con 00/100"/>
  </r>
  <r>
    <n v="577"/>
    <m/>
    <s v="ü"/>
    <d v="2017-09-21T00:00:00"/>
    <n v="25000"/>
    <x v="63"/>
    <x v="56"/>
    <s v="Calle Guacara Nro. 88-85"/>
    <s v="Colaboración Vigilancia, mes de Julio/2017"/>
    <s v="Vigilancia"/>
    <m/>
    <s v="00577"/>
    <s v="21 de septiembre de 2017"/>
    <d v="2017-09-01T00:00:00"/>
    <s v="25.000,00"/>
    <s v="Veinticinco Mil Bolívares con 00/100"/>
  </r>
  <r>
    <n v="578"/>
    <m/>
    <s v="ü"/>
    <d v="2017-09-21T00:00:00"/>
    <n v="30000"/>
    <x v="63"/>
    <x v="56"/>
    <s v="Calle Guacara Nro. 88-85"/>
    <s v="Colaboración Vigilancia, mes de Agosto/2017"/>
    <s v="Vigilancia"/>
    <m/>
    <s v="00578"/>
    <s v="21 de septiembre de 2017"/>
    <d v="2017-09-01T00:00:00"/>
    <s v="30.000,00"/>
    <s v="Treinta Mil Bolívares con 00/100"/>
  </r>
  <r>
    <n v="579"/>
    <m/>
    <s v="ü"/>
    <d v="2017-09-22T00:00:00"/>
    <n v="35000"/>
    <x v="59"/>
    <x v="9"/>
    <s v="Calle Guacara Nro. 90-35"/>
    <s v="Cancelación Vigilancia, mes de Septiembre/2017"/>
    <s v="Vigilancia"/>
    <m/>
    <s v="00579"/>
    <s v="22 de septiembre de 2017"/>
    <d v="2017-09-01T00:00:00"/>
    <s v="35.000,00"/>
    <s v="Treinta y Cinco Mil Bolívares con 00/100"/>
  </r>
  <r>
    <n v="580"/>
    <m/>
    <s v="ü"/>
    <d v="2017-09-23T00:00:00"/>
    <n v="21000"/>
    <x v="74"/>
    <x v="64"/>
    <s v="Calle Güigüe Nro. 88-20"/>
    <s v="Colaboración Vigilancia, meses de Abril a Octubre/2017"/>
    <s v="Vigilancia"/>
    <m/>
    <s v="00580"/>
    <s v="23 de septiembre de 2017"/>
    <d v="2017-09-01T00:00:00"/>
    <s v="21.000,00"/>
    <s v="Veintiun Mil Bolívares con 00/100"/>
  </r>
  <r>
    <n v="581"/>
    <m/>
    <s v="ü"/>
    <d v="2017-09-25T00:00:00"/>
    <n v="40000"/>
    <x v="9"/>
    <x v="9"/>
    <s v="Av. &quot;M&quot; Nro. 146-30"/>
    <s v="Cancelación Vigilancia, mes de Septiembre/2017"/>
    <s v="Vigilancia"/>
    <m/>
    <s v="00581"/>
    <s v="25 de septiembre de 2017"/>
    <d v="2017-09-01T00:00:00"/>
    <s v="40.000,00"/>
    <s v="Cuarenta Mil Bolívares con 00/100"/>
  </r>
  <r>
    <n v="582"/>
    <m/>
    <s v="ü"/>
    <d v="2017-09-25T00:00:00"/>
    <n v="35000"/>
    <x v="34"/>
    <x v="9"/>
    <s v="Av. &quot;O&quot; Nro. 146-11"/>
    <s v="Cancelación Vigilancia, mes de Agosto/2017"/>
    <s v="Vigilancia"/>
    <m/>
    <s v="00582"/>
    <s v="25 de septiembre de 2017"/>
    <d v="2017-09-01T00:00:00"/>
    <s v="35.000,00"/>
    <s v="Treinta y Cinco Mil Bolívares con 00/100"/>
  </r>
  <r>
    <n v="583"/>
    <m/>
    <s v="ü"/>
    <d v="2017-09-25T00:00:00"/>
    <n v="35000"/>
    <x v="65"/>
    <x v="58"/>
    <s v="Calle Güigüe Nro. 88-10"/>
    <s v="Cancelación Vigilancia, mes de Agosto/2017"/>
    <s v="Vigilancia"/>
    <m/>
    <s v="00583"/>
    <s v="25 de septiembre de 2017"/>
    <d v="2017-09-01T00:00:00"/>
    <s v="35.000,00"/>
    <s v="Treinta y Cinco Mil Bolívares con 00/100"/>
  </r>
  <r>
    <n v="584"/>
    <m/>
    <s v="ü"/>
    <d v="2017-09-26T00:00:00"/>
    <n v="35000"/>
    <x v="52"/>
    <x v="49"/>
    <s v="Calle Güigüe Nro. 89-45"/>
    <s v="Cancelación Vigilancia, mes de Septiembre/2017"/>
    <s v="Vigilancia"/>
    <m/>
    <s v="00584"/>
    <s v="26 de septiembre de 2017"/>
    <d v="2017-09-01T00:00:00"/>
    <s v="35.000,00"/>
    <s v="Treinta y Cinco Mil Bolívares con 00/100"/>
  </r>
  <r>
    <n v="585"/>
    <m/>
    <s v="ü"/>
    <d v="2017-09-29T00:00:00"/>
    <n v="35000"/>
    <x v="10"/>
    <x v="10"/>
    <s v="Av. &quot;M&quot; Nro. 146-15"/>
    <s v="Cancelación Vigilancia, mes de Septiembre/2017"/>
    <s v="Vigilancia"/>
    <m/>
    <s v="00585"/>
    <s v="29 de septiembre de 2017"/>
    <d v="2017-09-01T00:00:00"/>
    <s v="35.000,00"/>
    <s v="Treinta y Cinco Mil Bolívares con 00/100"/>
  </r>
  <r>
    <n v="586"/>
    <m/>
    <s v="ü"/>
    <d v="2017-10-02T00:00:00"/>
    <n v="35000"/>
    <x v="69"/>
    <x v="61"/>
    <s v="Calle Güigüe Nro. 89-40"/>
    <s v="Cancelación Vigilancia, mes de Septiembre/2017"/>
    <s v="Vigilancia"/>
    <m/>
    <s v="00586"/>
    <s v="02 de octubre de 2017"/>
    <d v="2017-10-01T00:00:00"/>
    <s v="35.000,00"/>
    <s v="Treinta y Cinco Mil Bolívares con 00/100"/>
  </r>
  <r>
    <n v="587"/>
    <m/>
    <s v="ü"/>
    <d v="2017-10-02T00:00:00"/>
    <n v="35000"/>
    <x v="29"/>
    <x v="27"/>
    <s v="Calle Guacara Nro. 88-75"/>
    <s v="Cancelación saldo Vigilancia, mes de Agosto/2017, y anticipo del mes de Septiembre/2017"/>
    <s v="Vigilancia"/>
    <m/>
    <s v="00587"/>
    <s v="02 de octubre de 2017"/>
    <d v="2017-10-01T00:00:00"/>
    <s v="35.000,00"/>
    <s v="Treinta y Cinco Mil Bolívares con 00/100"/>
  </r>
  <r>
    <n v="588"/>
    <m/>
    <s v="ü"/>
    <d v="2017-10-03T00:00:00"/>
    <n v="35000"/>
    <x v="6"/>
    <x v="6"/>
    <s v="Calle Guacara Nro. 89-60"/>
    <s v="Cancelación Vigilancia, mes de Octubre/2017"/>
    <s v="Vigilancia"/>
    <m/>
    <s v="00588"/>
    <s v="03 de octubre de 2017"/>
    <d v="2017-10-01T00:00:00"/>
    <s v="35.000,00"/>
    <s v="Treinta y Cinco Mil Bolívares con 00/100"/>
  </r>
  <r>
    <n v="589"/>
    <m/>
    <s v="ü"/>
    <d v="2017-10-03T00:00:00"/>
    <n v="22000"/>
    <x v="62"/>
    <x v="55"/>
    <s v="Av. &quot;M&quot; Nro. 145-10"/>
    <s v="Cancelación saldo Vigilancia, mes de Julio/2017"/>
    <s v="Vigilancia"/>
    <m/>
    <s v="00589"/>
    <s v="03 de octubre de 2017"/>
    <d v="2017-10-01T00:00:00"/>
    <s v="22.000,00"/>
    <s v="Veintidos Mil Bolívares con 00/100"/>
  </r>
  <r>
    <n v="590"/>
    <m/>
    <s v="ü"/>
    <d v="2017-10-03T00:00:00"/>
    <n v="35000"/>
    <x v="62"/>
    <x v="55"/>
    <s v="Av. &quot;M&quot; Nro. 145-10"/>
    <s v="Cancelación Vigilancia, mes de Agosto/2017"/>
    <s v="Vigilancia"/>
    <m/>
    <s v="00590"/>
    <s v="03 de octubre de 2017"/>
    <d v="2017-10-01T00:00:00"/>
    <s v="35.000,00"/>
    <s v="Treinta y Cinco Mil Bolívares con 00/100"/>
  </r>
  <r>
    <n v="591"/>
    <m/>
    <s v="ü"/>
    <d v="2017-10-03T00:00:00"/>
    <n v="20000"/>
    <x v="22"/>
    <x v="20"/>
    <s v="Calle Guacara Nro. 88-25"/>
    <s v="Colaboración Vigilancia, mes de Septiembre/2017"/>
    <s v="Vigilancia"/>
    <m/>
    <s v="00591"/>
    <s v="03 de octubre de 2017"/>
    <d v="2017-10-01T00:00:00"/>
    <s v="20.000,00"/>
    <s v="Veinte Mil Bolívares con 00/100"/>
  </r>
  <r>
    <n v="592"/>
    <m/>
    <s v="ü"/>
    <d v="2017-10-03T00:00:00"/>
    <n v="70000"/>
    <x v="46"/>
    <x v="43"/>
    <s v="Av. &quot;I&quot; Nro. 146-20"/>
    <s v="Cancelación Vigilancia, meses de Septiembre y Octubre/2017"/>
    <s v="Vigilancia"/>
    <m/>
    <s v="00592"/>
    <s v="03 de octubre de 2017"/>
    <d v="2017-10-01T00:00:00"/>
    <s v="70.000,00"/>
    <s v="Setenta Mil Bolívares con 00/100"/>
  </r>
  <r>
    <n v="593"/>
    <m/>
    <s v="ü"/>
    <d v="2017-10-04T00:00:00"/>
    <n v="15000"/>
    <x v="7"/>
    <x v="7"/>
    <s v="Calle Guacara Nro. 87-86"/>
    <s v="Colaboración Vigilancia, mes de Octubre/2017"/>
    <s v="Vigilancia"/>
    <m/>
    <s v="00593"/>
    <s v="04 de octubre de 2017"/>
    <d v="2017-10-01T00:00:00"/>
    <s v="15.000,00"/>
    <s v="Quince Mil Bolívares con 00/100"/>
  </r>
  <r>
    <n v="594"/>
    <m/>
    <s v="ü"/>
    <d v="2017-10-04T00:00:00"/>
    <n v="35000"/>
    <x v="14"/>
    <x v="13"/>
    <s v="Calle Güigüe Nro. 89-83"/>
    <s v="Cancelación Vigilancia, mes de Octubre/2017"/>
    <s v="Vigilancia"/>
    <m/>
    <s v="00594"/>
    <s v="04 de octubre de 2017"/>
    <d v="2017-10-01T00:00:00"/>
    <s v="35.000,00"/>
    <s v="Treinta y Cinco Mil Bolívares con 00/100"/>
  </r>
  <r>
    <n v="595"/>
    <m/>
    <s v="ü"/>
    <d v="2017-10-04T00:00:00"/>
    <n v="70000"/>
    <x v="49"/>
    <x v="46"/>
    <s v="Av. &quot;O&quot; Nro. 146-17"/>
    <s v="Cancelación Vigilancia, meses de Agosto y Septiembre/2017"/>
    <s v="Vigilancia"/>
    <m/>
    <s v="00595"/>
    <s v="04 de octubre de 2017"/>
    <d v="2017-10-01T00:00:00"/>
    <s v="70.000,00"/>
    <s v="Setenta Mil Bolívares con 00/100"/>
  </r>
  <r>
    <n v="596"/>
    <m/>
    <s v="ü"/>
    <d v="2017-10-04T00:00:00"/>
    <n v="35000"/>
    <x v="12"/>
    <x v="12"/>
    <s v="Calle Guacara Nro. 89-20"/>
    <s v="Cancelación Vigilancia, mes de Octubre/2017"/>
    <s v="Vigilancia"/>
    <m/>
    <s v="00596"/>
    <s v="04 de octubre de 2017"/>
    <d v="2017-10-01T00:00:00"/>
    <s v="35.000,00"/>
    <s v="Treinta y Cinco Mil Bolívares con 00/100"/>
  </r>
  <r>
    <n v="597"/>
    <m/>
    <s v="ü"/>
    <d v="2017-10-04T00:00:00"/>
    <n v="25000"/>
    <x v="15"/>
    <x v="14"/>
    <s v="Calle Guacara Nro. 89-94"/>
    <s v="Colaboración Vigilancia, mes de Octubre/2017"/>
    <s v="Vigilancia"/>
    <m/>
    <s v="00597"/>
    <s v="04 de octubre de 2017"/>
    <d v="2017-10-01T00:00:00"/>
    <s v="25.000,00"/>
    <s v="Veinticinco Mil Bolívares con 00/100"/>
  </r>
  <r>
    <n v="598"/>
    <m/>
    <s v="ü"/>
    <d v="2017-10-05T00:00:00"/>
    <n v="35000"/>
    <x v="0"/>
    <x v="0"/>
    <s v="Calle Guacara Nro. 88-45"/>
    <s v="Cancelación Vigilancia, mes de Octubre/2017 (saldo a favor: Bs. 70.000)"/>
    <s v="Vigilancia"/>
    <m/>
    <s v="00598"/>
    <s v="05 de octubre de 2017"/>
    <d v="2017-10-01T00:00:00"/>
    <s v="35.000,00"/>
    <s v="Treinta y Cinco Mil Bolívares con 00/100"/>
  </r>
  <r>
    <n v="599"/>
    <m/>
    <s v="ü"/>
    <d v="2017-10-05T00:00:00"/>
    <n v="35000"/>
    <x v="75"/>
    <x v="65"/>
    <s v="Av. &quot;Ñ&quot; Nro. 145-25"/>
    <s v="Cancelación Vigilancia, mes de Octubre/2017 (saldo a favor: Bs. 9.000)"/>
    <s v="Vigilancia"/>
    <m/>
    <s v="00599"/>
    <s v="05 de octubre de 2017"/>
    <d v="2017-10-01T00:00:00"/>
    <s v="35.000,00"/>
    <s v="Treinta y Cinco Mil Bolívares con 00/100"/>
  </r>
  <r>
    <n v="600"/>
    <m/>
    <s v="ü"/>
    <d v="2017-09-20T00:00:00"/>
    <n v="10000"/>
    <x v="28"/>
    <x v="26"/>
    <s v="Calle Güigüe Nro. 88-30"/>
    <s v="Colaboración Vigilancia, mes de Septiembre/2017"/>
    <s v="Vigilancia"/>
    <m/>
    <s v="00600"/>
    <s v="20 de septiembre de 2017"/>
    <d v="2017-09-01T00:00:00"/>
    <s v="10.000,00"/>
    <s v="Diez Mil Bolívares con 00/100"/>
  </r>
  <r>
    <n v="601"/>
    <m/>
    <s v="ü"/>
    <d v="2017-10-05T00:00:00"/>
    <n v="10000"/>
    <x v="28"/>
    <x v="26"/>
    <s v="Calle Güigüe Nro. 88-30"/>
    <s v="Colaboración Vigilancia, mes de Octubre/2017"/>
    <s v="Vigilancia"/>
    <m/>
    <s v="00601"/>
    <s v="05 de octubre de 2017"/>
    <d v="2017-10-01T00:00:00"/>
    <s v="10.000,00"/>
    <s v="Diez Mil Bolívares con 00/100"/>
  </r>
  <r>
    <n v="602"/>
    <m/>
    <s v="ü"/>
    <d v="2017-10-06T00:00:00"/>
    <n v="10000"/>
    <x v="72"/>
    <x v="63"/>
    <s v="Calle Güigüe Nro. 89-35"/>
    <s v="Colaboración Vigilancia, mes de Septiembre/2017"/>
    <s v="Vigilancia"/>
    <m/>
    <s v="00602"/>
    <s v="06 de octubre de 2017"/>
    <d v="2017-10-01T00:00:00"/>
    <s v="10.000,00"/>
    <s v="Diez Mil Bolívares con 00/100"/>
  </r>
  <r>
    <n v="603"/>
    <m/>
    <s v="ü"/>
    <d v="2017-10-06T00:00:00"/>
    <n v="35000"/>
    <x v="24"/>
    <x v="22"/>
    <s v="Calle Güigüe Nro. 88-54"/>
    <s v="Cancelación Vigilancia, mes de Septiembre/2017"/>
    <s v="Vigilancia"/>
    <m/>
    <s v="00603"/>
    <s v="06 de octubre de 2017"/>
    <d v="2017-10-01T00:00:00"/>
    <s v="35.000,00"/>
    <s v="Treinta y Cinco Mil Bolívares con 00/100"/>
  </r>
  <r>
    <n v="604"/>
    <m/>
    <s v="ü"/>
    <d v="2017-10-06T00:00:00"/>
    <n v="54000"/>
    <x v="73"/>
    <x v="9"/>
    <s v="Calle Güigüe Nros. 88-71 y 88-81"/>
    <s v="Cancelación Vigilancia, mes de Octubre/2017"/>
    <s v="Vigilancia"/>
    <m/>
    <s v="00604"/>
    <s v="06 de octubre de 2017"/>
    <d v="2017-10-01T00:00:00"/>
    <s v="54.000,00"/>
    <s v="Cincuenta y Cuatro Mil Bolívares con 00/100"/>
  </r>
  <r>
    <n v="605"/>
    <m/>
    <s v="ü"/>
    <d v="2017-10-09T00:00:00"/>
    <n v="156000"/>
    <x v="75"/>
    <x v="65"/>
    <s v="Av. &quot;Ñ&quot; Nro. 145-25"/>
    <s v="Anticipo Vigilancia (saldo a favor: Bs. 165.000)"/>
    <s v="Anticipo"/>
    <m/>
    <s v="00605"/>
    <s v="09 de octubre de 2017"/>
    <d v="2017-10-01T00:00:00"/>
    <s v="156.000,00"/>
    <s v="Ciento Cincuenta y Seis Mil Bolívares con 00/100"/>
  </r>
  <r>
    <n v="606"/>
    <m/>
    <s v="ü"/>
    <d v="2017-10-10T00:00:00"/>
    <n v="35000"/>
    <x v="1"/>
    <x v="1"/>
    <s v="Calle Güigüe Nro. 88-44"/>
    <s v="Cancelación Vigilancia, mes de Octubre/2017"/>
    <s v="Vigilancia"/>
    <m/>
    <s v="00606"/>
    <s v="10 de octubre de 2017"/>
    <d v="2017-10-01T00:00:00"/>
    <s v="35.000,00"/>
    <s v="Treinta y Cinco Mil Bolívares con 00/100"/>
  </r>
  <r>
    <n v="607"/>
    <m/>
    <s v="ü"/>
    <d v="2017-10-11T00:00:00"/>
    <n v="35000"/>
    <x v="18"/>
    <x v="16"/>
    <s v="Calle Guacara Nro. 87-100"/>
    <s v="Cancelación Vigilancia, mes de Octubre/2017"/>
    <s v="Vigilancia"/>
    <m/>
    <s v="00607"/>
    <s v="11 de octubre de 2017"/>
    <d v="2017-10-01T00:00:00"/>
    <s v="35.000,00"/>
    <s v="Treinta y Cinco Mil Bolívares con 00/100"/>
  </r>
  <r>
    <n v="608"/>
    <m/>
    <s v="ü"/>
    <d v="2017-10-11T00:00:00"/>
    <n v="5000"/>
    <x v="17"/>
    <x v="16"/>
    <s v="Av. &quot;M&quot; Nro. 146-20"/>
    <s v="Colaboración Vigilancia, mes de Octubre/2017"/>
    <s v="Vigilancia"/>
    <m/>
    <s v="00608"/>
    <s v="11 de octubre de 2017"/>
    <d v="2017-10-01T00:00:00"/>
    <s v="5.000,00"/>
    <s v="Cinco Mil Bolívares con 00/100"/>
  </r>
  <r>
    <n v="609"/>
    <m/>
    <s v="ü"/>
    <d v="2017-10-11T00:00:00"/>
    <n v="35000"/>
    <x v="19"/>
    <x v="17"/>
    <s v="Calle Guacara Nro. 89-130"/>
    <s v="Cancelación Vigilancia, mes de Octubre/2017"/>
    <s v="Vigilancia"/>
    <m/>
    <s v="00609"/>
    <s v="11 de octubre de 2017"/>
    <d v="2017-10-01T00:00:00"/>
    <s v="35.000,00"/>
    <s v="Treinta y Cinco Mil Bolívares con 00/100"/>
  </r>
  <r>
    <n v="610"/>
    <m/>
    <s v="ü"/>
    <d v="2017-10-11T00:00:00"/>
    <n v="35000"/>
    <x v="29"/>
    <x v="27"/>
    <s v="Calle Guacara Nro. 88-75"/>
    <s v="Cancelación saldo Vigilancia, mes de Septiembre/2017, y anticipo del mes de Octubre/2017"/>
    <s v="Vigilancia"/>
    <m/>
    <s v="00610"/>
    <s v="11 de octubre de 2017"/>
    <d v="2017-10-01T00:00:00"/>
    <s v="35.000,00"/>
    <s v="Treinta y Cinco Mil Bolívares con 00/100"/>
  </r>
  <r>
    <n v="611"/>
    <m/>
    <s v="ü"/>
    <d v="2017-10-12T00:00:00"/>
    <n v="70000"/>
    <x v="27"/>
    <x v="25"/>
    <s v="Calle Güigüe Nro. 89-106"/>
    <s v="Cancelación Vigilancia, meses de Septiembre y Octubre/2017"/>
    <s v="Vigilancia"/>
    <m/>
    <s v="00611"/>
    <s v="12 de octubre de 2017"/>
    <d v="2017-10-01T00:00:00"/>
    <s v="70.000,00"/>
    <s v="Setenta Mil Bolívares con 00/100"/>
  </r>
  <r>
    <n v="612"/>
    <m/>
    <s v="ü"/>
    <d v="2017-10-15T00:00:00"/>
    <n v="35000"/>
    <x v="40"/>
    <x v="37"/>
    <s v="Calle Güigüe Nro. 88-101"/>
    <s v="Cancelación Vigilancia, mes de Octubre/2017"/>
    <s v="Vigilancia"/>
    <m/>
    <s v="00612"/>
    <s v="15 de octubre de 2017"/>
    <d v="2017-10-01T00:00:00"/>
    <s v="35.000,00"/>
    <s v="Treinta y Cinco Mil Bolívares con 00/100"/>
  </r>
  <r>
    <n v="613"/>
    <m/>
    <s v="ü"/>
    <d v="2017-10-15T00:00:00"/>
    <n v="35000"/>
    <x v="76"/>
    <x v="66"/>
    <s v="Calle Güigüe Nro. 89-90"/>
    <s v="Cancelación Vigilancia, mes de Octubre/2017"/>
    <s v="Vigilancia"/>
    <m/>
    <s v="00613"/>
    <s v="15 de octubre de 2017"/>
    <d v="2017-10-01T00:00:00"/>
    <s v="35.000,00"/>
    <s v="Treinta y Cinco Mil Bolívares con 00/100"/>
  </r>
  <r>
    <n v="614"/>
    <m/>
    <s v="ü"/>
    <d v="2017-10-14T00:00:00"/>
    <n v="35000"/>
    <x v="4"/>
    <x v="4"/>
    <s v="Calle Güigüe Nro. 89-55"/>
    <s v="Cancelación Vigilancia, mes de Octubre/2017, transferencia y Bs. 7.868 contra factura"/>
    <s v="Vigilancia"/>
    <m/>
    <s v="00614"/>
    <s v="14 de octubre de 2017"/>
    <d v="2017-10-01T00:00:00"/>
    <s v="35.000,00"/>
    <s v="Treinta y Cinco Mil Bolívares con 00/100"/>
  </r>
  <r>
    <n v="615"/>
    <m/>
    <s v="ü"/>
    <d v="2017-10-16T00:00:00"/>
    <n v="35000"/>
    <x v="30"/>
    <x v="28"/>
    <s v="Calle Güigüe Nro. 89-04"/>
    <s v="Cancelación Vigilancia, mes de Octubre/2017, transferencia y Bs. 12.000 contra factura"/>
    <s v="Vigilancia"/>
    <m/>
    <s v="00615"/>
    <s v="16 de octubre de 2017"/>
    <d v="2017-10-01T00:00:00"/>
    <s v="35.000,00"/>
    <s v="Treinta y Cinco Mil Bolívares con 00/100"/>
  </r>
  <r>
    <n v="616"/>
    <m/>
    <s v="ü"/>
    <d v="2017-10-16T00:00:00"/>
    <n v="35000"/>
    <x v="81"/>
    <x v="69"/>
    <s v="Calle Güigüe Nro. 89-65"/>
    <s v="Cancelación Vigilancia, mes de Septiembre/2017"/>
    <s v="Vigilancia"/>
    <m/>
    <s v="00616"/>
    <s v="16 de octubre de 2017"/>
    <d v="2017-10-01T00:00:00"/>
    <s v="35.000,00"/>
    <s v="Treinta y Cinco Mil Bolívares con 00/100"/>
  </r>
  <r>
    <n v="617"/>
    <m/>
    <s v="ü"/>
    <d v="2017-10-16T00:00:00"/>
    <n v="15000"/>
    <x v="68"/>
    <x v="60"/>
    <s v="Calle Güigüe Nro. 89-29"/>
    <s v="Colaboración Vigilancia, mes de Octubre/2017"/>
    <s v="Vigilancia"/>
    <m/>
    <s v="00617"/>
    <s v="16 de octubre de 2017"/>
    <d v="2017-10-01T00:00:00"/>
    <s v="15.000,00"/>
    <s v="Quince Mil Bolívares con 00/100"/>
  </r>
  <r>
    <n v="618"/>
    <m/>
    <s v="ü"/>
    <d v="2017-10-16T00:00:00"/>
    <n v="20000"/>
    <x v="25"/>
    <x v="23"/>
    <s v="Calle Güigüe Nro. 88-58"/>
    <s v="Colaboración Vigilancia, mes de Octubre/2017"/>
    <s v="Vigilancia"/>
    <m/>
    <s v="00618"/>
    <s v="16 de octubre de 2017"/>
    <d v="2017-10-01T00:00:00"/>
    <s v="20.000,00"/>
    <s v="Veinte Mil Bolívares con 00/100"/>
  </r>
  <r>
    <n v="619"/>
    <m/>
    <s v="ü"/>
    <d v="2017-10-18T00:00:00"/>
    <n v="20000"/>
    <x v="25"/>
    <x v="23"/>
    <s v="Calle Güigüe Nro. 88-58"/>
    <s v="Colaboración Vigilancia, mes de Septiembre/2017"/>
    <s v="Vigilancia"/>
    <m/>
    <s v="00619"/>
    <s v="18 de octubre de 2017"/>
    <d v="2017-10-01T00:00:00"/>
    <s v="20.000,00"/>
    <s v="Veinte Mil Bolívares con 00/100"/>
  </r>
  <r>
    <n v="620"/>
    <m/>
    <s v="ü"/>
    <d v="2017-10-18T00:00:00"/>
    <n v="35000"/>
    <x v="36"/>
    <x v="33"/>
    <s v="Calle Güigüe Nro. 89-10"/>
    <s v="Cancelación Vigilancia, mes de Septiembre/2017"/>
    <s v="Vigilancia"/>
    <m/>
    <s v="00620"/>
    <s v="18 de octubre de 2017"/>
    <d v="2017-10-01T00:00:00"/>
    <s v="35.000,00"/>
    <s v="Treinta y Cinco Mil Bolívares con 00/100"/>
  </r>
  <r>
    <n v="621"/>
    <m/>
    <s v="ü"/>
    <d v="2017-10-19T00:00:00"/>
    <n v="35000"/>
    <x v="23"/>
    <x v="21"/>
    <s v="Calle Güigüe Nro. 88-116"/>
    <s v="Cancelación Vigilancia, mes de Octubre/2017"/>
    <s v="Vigilancia"/>
    <m/>
    <s v="00621"/>
    <s v="19 de octubre de 2017"/>
    <d v="2017-10-01T00:00:00"/>
    <s v="35.000,00"/>
    <s v="Treinta y Cinco Mil Bolívares con 00/100"/>
  </r>
  <r>
    <n v="622"/>
    <m/>
    <s v="ü"/>
    <d v="2017-10-20T00:00:00"/>
    <n v="40000"/>
    <x v="9"/>
    <x v="9"/>
    <s v="Av. &quot;M&quot; Nro. 146-30"/>
    <s v="Cancelación Vigilancia, mes de Octubre/2017"/>
    <s v="Vigilancia"/>
    <m/>
    <s v="00622"/>
    <s v="20 de octubre de 2017"/>
    <d v="2017-10-01T00:00:00"/>
    <s v="40.000,00"/>
    <s v="Cuarenta Mil Bolívares con 00/100"/>
  </r>
  <r>
    <n v="623"/>
    <m/>
    <s v="ü"/>
    <d v="2017-10-21T00:00:00"/>
    <n v="70000"/>
    <x v="8"/>
    <x v="8"/>
    <s v="Calle Guacara Nro. 90-51"/>
    <s v="Cancelación Vigilancia, meses de Septiembre y Octubre/2017"/>
    <s v="Vigilancia"/>
    <m/>
    <s v="00623"/>
    <s v="21 de octubre de 2017"/>
    <d v="2017-10-01T00:00:00"/>
    <s v="70.000,00"/>
    <s v="Setenta Mil Bolívares con 00/100"/>
  </r>
  <r>
    <n v="624"/>
    <m/>
    <s v="ü"/>
    <d v="2017-10-21T00:00:00"/>
    <n v="35000"/>
    <x v="38"/>
    <x v="35"/>
    <s v="Calle Guacara Nro. 89-78"/>
    <s v="Cancelación Vigilancia, mes de Septiembre/2017"/>
    <s v="Vigilancia"/>
    <m/>
    <s v="00624"/>
    <s v="21 de octubre de 2017"/>
    <d v="2017-10-01T00:00:00"/>
    <s v="35.000,00"/>
    <s v="Treinta y Cinco Mil Bolívares con 00/100"/>
  </r>
  <r>
    <n v="625"/>
    <m/>
    <s v="ü"/>
    <d v="2017-10-21T00:00:00"/>
    <n v="35000"/>
    <x v="43"/>
    <x v="40"/>
    <s v="Calle Güigüe Nro. 88-50"/>
    <s v="Cancelación Vigilancia, mes de Septiembre/2017"/>
    <s v="Vigilancia"/>
    <m/>
    <s v="00625"/>
    <s v="21 de octubre de 2017"/>
    <d v="2017-10-01T00:00:00"/>
    <s v="35.000,00"/>
    <s v="Treinta y Cinco Mil Bolívares con 00/100"/>
  </r>
  <r>
    <n v="626"/>
    <m/>
    <s v="ü"/>
    <d v="2017-10-23T00:00:00"/>
    <n v="35000"/>
    <x v="26"/>
    <x v="24"/>
    <s v="Calle Güigüe Nro. 89-96"/>
    <s v="Cancelación Vigilancia, mes de Octubre/2017"/>
    <s v="Vigilancia"/>
    <m/>
    <s v="00626"/>
    <s v="23 de octubre de 2017"/>
    <d v="2017-10-01T00:00:00"/>
    <s v="35.000,00"/>
    <s v="Treinta y Cinco Mil Bolívares con 00/100"/>
  </r>
  <r>
    <n v="627"/>
    <m/>
    <s v="ü"/>
    <d v="2017-10-23T00:00:00"/>
    <n v="35000"/>
    <x v="20"/>
    <x v="18"/>
    <s v="Calle Guacara Nro. 89-30"/>
    <s v="Cancelación Vigilancia, mes de Octubre/2017"/>
    <s v="Vigilancia"/>
    <m/>
    <s v="00627"/>
    <s v="23 de octubre de 2017"/>
    <d v="2017-10-01T00:00:00"/>
    <s v="35.000,00"/>
    <s v="Treinta y Cinco Mil Bolívares con 00/100"/>
  </r>
  <r>
    <n v="628"/>
    <m/>
    <s v="ü"/>
    <d v="2017-10-23T00:00:00"/>
    <n v="35000"/>
    <x v="5"/>
    <x v="5"/>
    <s v="Calle Güigüe Nro. 88-120"/>
    <s v="Cancelación Vigilancia, mes de Octubre/2017"/>
    <s v="Vigilancia"/>
    <m/>
    <s v="00628"/>
    <s v="23 de octubre de 2017"/>
    <d v="2017-10-01T00:00:00"/>
    <s v="35.000,00"/>
    <s v="Treinta y Cinco Mil Bolívares con 00/100"/>
  </r>
  <r>
    <n v="629"/>
    <m/>
    <s v="ü"/>
    <d v="2017-10-23T00:00:00"/>
    <n v="70000"/>
    <x v="65"/>
    <x v="58"/>
    <s v="Calle Güigüe Nro. 88-10"/>
    <s v="Cancelación Vigilancia, meses de Septiembre y Octubre/2017"/>
    <s v="Vigilancia"/>
    <m/>
    <s v="00629"/>
    <s v="23 de octubre de 2017"/>
    <d v="2017-10-01T00:00:00"/>
    <s v="70.000,00"/>
    <s v="Setenta Mil Bolívares con 00/100"/>
  </r>
  <r>
    <n v="630"/>
    <m/>
    <s v="ü"/>
    <d v="2017-10-23T00:00:00"/>
    <n v="70000"/>
    <x v="44"/>
    <x v="41"/>
    <s v="Calle Guacara Nro. 89-40"/>
    <s v="Cancelación Vigilancia, meses de Agosto y Septiembre/2017"/>
    <s v="Vigilancia"/>
    <m/>
    <s v="00630"/>
    <s v="23 de octubre de 2017"/>
    <d v="2017-10-01T00:00:00"/>
    <s v="70.000,00"/>
    <s v="Setenta Mil Bolívares con 00/100"/>
  </r>
  <r>
    <n v="631"/>
    <m/>
    <s v="ü"/>
    <d v="2017-10-25T00:00:00"/>
    <n v="30000"/>
    <x v="63"/>
    <x v="56"/>
    <s v="Calle Guacara Nro. 88-85"/>
    <s v="Colaboración Vigilancia, mes de Septiembre/2017"/>
    <s v="Vigilancia"/>
    <m/>
    <s v="00631"/>
    <s v="25 de octubre de 2017"/>
    <d v="2017-10-01T00:00:00"/>
    <s v="30.000,00"/>
    <s v="Treinta Mil Bolívares con 00/100"/>
  </r>
  <r>
    <n v="632"/>
    <m/>
    <s v="ü"/>
    <d v="2017-10-26T00:00:00"/>
    <n v="15000"/>
    <x v="32"/>
    <x v="30"/>
    <s v="Calle Güigüe Nro. 89-120"/>
    <s v="Colaboración Vigilancia, mes de Septiembre/2017"/>
    <s v="Vigilancia"/>
    <m/>
    <s v="00632"/>
    <s v="26 de octubre de 2017"/>
    <d v="2017-10-01T00:00:00"/>
    <s v="15.000,00"/>
    <s v="Quince Mil Bolívares con 00/100"/>
  </r>
  <r>
    <n v="633"/>
    <m/>
    <s v="ü"/>
    <d v="2017-10-27T00:00:00"/>
    <n v="35000"/>
    <x v="24"/>
    <x v="22"/>
    <s v="Calle Güigüe Nro. 88-54"/>
    <s v="Cancelación Vigilancia, mes de Octubre/2017"/>
    <s v="Vigilancia"/>
    <m/>
    <s v="00633"/>
    <s v="27 de octubre de 2017"/>
    <d v="2017-10-01T00:00:00"/>
    <s v="35.000,00"/>
    <s v="Treinta y Cinco Mil Bolívares con 00/100"/>
  </r>
  <r>
    <n v="634"/>
    <m/>
    <s v="ü"/>
    <d v="2017-10-27T00:00:00"/>
    <n v="105000"/>
    <x v="45"/>
    <x v="42"/>
    <s v="Calle Güigüe Nro. 87-A-11"/>
    <s v="Cancelación Vigilancia, meses de Septiembre y Octubre/2017, y Anticipo Vigilancia, mes de Noviembre/2017"/>
    <s v="Vigilancia"/>
    <m/>
    <s v="00634"/>
    <s v="27 de octubre de 2017"/>
    <d v="2017-10-01T00:00:00"/>
    <s v="105.000,00"/>
    <s v="Ciento Cinco Mil Bolívares con 00/100"/>
  </r>
  <r>
    <n v="635"/>
    <m/>
    <s v="ü"/>
    <d v="2017-10-27T00:00:00"/>
    <n v="70000"/>
    <x v="37"/>
    <x v="34"/>
    <s v="Av. &quot;I&quot; Nro. 146-40"/>
    <s v="Cancelación saldo Vigilancia, mes de Septiembre, cancelación mes de Octubre y anticipo mes de Noviembre/2017 (Bs. 1.000)"/>
    <s v="Vigilancia"/>
    <m/>
    <s v="00635"/>
    <s v="27 de octubre de 2017"/>
    <d v="2017-10-01T00:00:00"/>
    <s v="70.000,00"/>
    <s v="Setenta Mil Bolívares con 00/100"/>
  </r>
  <r>
    <n v="636"/>
    <m/>
    <s v="ü"/>
    <d v="2017-10-29T00:00:00"/>
    <n v="60000"/>
    <x v="71"/>
    <x v="62"/>
    <s v="Calle Güigüe Nro. 89-71"/>
    <s v="Colaboración Vigilancia, meses de Junio, Julio, Agosto y Septiembre/2017"/>
    <s v="Vigilancia"/>
    <m/>
    <s v="00636"/>
    <s v="29 de octubre de 2017"/>
    <d v="2017-10-01T00:00:00"/>
    <s v="60.000,00"/>
    <s v="Sesenta Mil Bolívares con 00/100"/>
  </r>
  <r>
    <n v="637"/>
    <m/>
    <s v="ü"/>
    <d v="2017-10-30T00:00:00"/>
    <n v="20000"/>
    <x v="67"/>
    <x v="2"/>
    <s v="Calle Guacara Nro. 90-93"/>
    <s v="Colaboración Vigilancia, mes de Octubre/2017"/>
    <s v="Vigilancia"/>
    <m/>
    <s v="00637"/>
    <s v="30 de octubre de 2017"/>
    <d v="2017-10-01T00:00:00"/>
    <s v="20.000,00"/>
    <s v="Veinte Mil Bolívares con 00/100"/>
  </r>
  <r>
    <n v="638"/>
    <m/>
    <s v="ü"/>
    <d v="2017-10-30T00:00:00"/>
    <n v="20000"/>
    <x v="2"/>
    <x v="2"/>
    <s v="Calle Guacara Nro. 88-19"/>
    <s v="Colaboración Vigilancia, mes de Octubre/2017"/>
    <s v="Vigilancia"/>
    <m/>
    <s v="00638"/>
    <s v="30 de octubre de 2017"/>
    <d v="2017-10-01T00:00:00"/>
    <s v="20.000,00"/>
    <s v="Veinte Mil Bolívares con 00/100"/>
  </r>
  <r>
    <n v="639"/>
    <m/>
    <s v="ü"/>
    <d v="2017-10-31T00:00:00"/>
    <n v="35000"/>
    <x v="56"/>
    <x v="52"/>
    <s v="Calle Güigüe Nro. 88-70"/>
    <s v="Cancelación Vigilancia, mes de Octubre/2017"/>
    <s v="Vigilancia"/>
    <m/>
    <s v="00639"/>
    <s v="31 de octubre de 2017"/>
    <d v="2017-10-01T00:00:00"/>
    <s v="35.000,00"/>
    <s v="Treinta y Cinco Mil Bolívares con 00/100"/>
  </r>
  <r>
    <n v="640"/>
    <m/>
    <s v="ü"/>
    <d v="2017-10-19T00:00:00"/>
    <n v="20000"/>
    <x v="35"/>
    <x v="32"/>
    <s v="Calle Güigüe Nro. 89-80"/>
    <s v="Colaboración Vigilancia, mes de Octubre/2017"/>
    <s v="Vigilancia"/>
    <m/>
    <s v="00640"/>
    <s v="19 de octubre de 2017"/>
    <d v="2017-10-01T00:00:00"/>
    <s v="20.000,00"/>
    <s v="Veinte Mil Bolívares con 00/100"/>
  </r>
  <r>
    <n v="641"/>
    <m/>
    <s v="ü"/>
    <d v="2017-11-01T00:00:00"/>
    <n v="35000"/>
    <x v="10"/>
    <x v="10"/>
    <s v="Av. &quot;M&quot; Nro. 146-15"/>
    <s v="Cancelación Vigilancia, mes de Octubre/2017"/>
    <s v="Vigilancia"/>
    <m/>
    <s v="00641"/>
    <s v="01 de noviembre de 2017"/>
    <d v="2017-11-01T00:00:00"/>
    <s v="35.000,00"/>
    <s v="Treinta y Cinco Mil Bolívares con 00/100"/>
  </r>
  <r>
    <n v="642"/>
    <m/>
    <s v="ü"/>
    <d v="2017-11-01T00:00:00"/>
    <n v="35000"/>
    <x v="14"/>
    <x v="13"/>
    <s v="Calle Güigüe Nro. 89-83"/>
    <s v="Anticipo Vigilancia, mes de Noviembre/2017"/>
    <s v="Vigilancia"/>
    <m/>
    <s v="00642"/>
    <s v="01 de noviembre de 2017"/>
    <d v="2017-11-01T00:00:00"/>
    <s v="35.000,00"/>
    <s v="Treinta y Cinco Mil Bolívares con 00/100"/>
  </r>
  <r>
    <n v="643"/>
    <m/>
    <s v="ü"/>
    <d v="2017-11-02T00:00:00"/>
    <n v="35000"/>
    <x v="6"/>
    <x v="6"/>
    <s v="Calle Guacara Nro. 89-60"/>
    <s v="Anticipo Vigilancia, mes de Noviembre/2017"/>
    <s v="Vigilancia"/>
    <m/>
    <s v="00643"/>
    <s v="02 de noviembre de 2017"/>
    <d v="2017-11-01T00:00:00"/>
    <s v="35.000,00"/>
    <s v="Treinta y Cinco Mil Bolívares con 00/100"/>
  </r>
  <r>
    <n v="644"/>
    <m/>
    <s v="ü"/>
    <d v="2017-11-01T00:00:00"/>
    <n v="68000"/>
    <x v="48"/>
    <x v="9"/>
    <s v="Calle Güigüe Nro. 88-90"/>
    <s v="Cancelación saldo Vigilancia, mes de Septiembre/2017 y Cancelación Vigilancia, mes de Octubre/2017"/>
    <s v="Vigilancia"/>
    <m/>
    <s v="00644"/>
    <s v="01 de noviembre de 2017"/>
    <d v="2017-11-01T00:00:00"/>
    <s v="68.000,00"/>
    <s v="Sesenta y Ocho Mil Bolívares con 00/100"/>
  </r>
  <r>
    <n v="645"/>
    <m/>
    <s v="ü"/>
    <d v="2017-11-02T00:00:00"/>
    <n v="70000"/>
    <x v="31"/>
    <x v="29"/>
    <s v="Calle Güigüe Nro. 89-95"/>
    <s v="Cancelación Vigilancia, meses de Agosto y Septiembre/2017"/>
    <s v="Vigilancia"/>
    <m/>
    <s v="00645"/>
    <s v="02 de noviembre de 2017"/>
    <d v="2017-11-01T00:00:00"/>
    <s v="70.000,00"/>
    <s v="Setenta Mil Bolívares con 00/100"/>
  </r>
  <r>
    <n v="646"/>
    <m/>
    <s v="ü"/>
    <d v="2017-11-02T00:00:00"/>
    <n v="35000"/>
    <x v="5"/>
    <x v="5"/>
    <s v="Calle Güigüe Nro. 88-120"/>
    <s v="Anticipo Vigilancia, mes de Noviembre/2017"/>
    <s v="Vigilancia"/>
    <m/>
    <s v="00646"/>
    <s v="02 de noviembre de 2017"/>
    <d v="2017-11-01T00:00:00"/>
    <s v="35.000,00"/>
    <s v="Treinta y Cinco Mil Bolívares con 00/100"/>
  </r>
  <r>
    <n v="647"/>
    <m/>
    <s v="ü"/>
    <d v="2017-11-02T00:00:00"/>
    <n v="70000"/>
    <x v="52"/>
    <x v="49"/>
    <s v="Calle Güigüe Nro. 89-45"/>
    <s v="Cancelación Vigilancia, mes de Octubre/2017, y Anticipo Vigilancia, mes de Noviembre/2017"/>
    <s v="Vigilancia"/>
    <m/>
    <s v="00647"/>
    <s v="02 de noviembre de 2017"/>
    <d v="2017-11-01T00:00:00"/>
    <s v="70.000,00"/>
    <s v="Setenta Mil Bolívares con 00/100"/>
  </r>
  <r>
    <n v="648"/>
    <m/>
    <s v="ü"/>
    <d v="2017-11-02T00:00:00"/>
    <n v="50000"/>
    <x v="84"/>
    <x v="71"/>
    <s v="Calle Güigüe Nro. 89-54"/>
    <s v="Cancelación Vigilancia, mes de Noviembre/2017"/>
    <s v="Vigilancia"/>
    <m/>
    <s v="00648"/>
    <s v="02 de noviembre de 2017"/>
    <d v="2017-11-01T00:00:00"/>
    <s v="50.000,00"/>
    <s v="Cincuenta Mil Bolívares con 00/100"/>
  </r>
  <r>
    <n v="649"/>
    <m/>
    <s v="ü"/>
    <d v="2017-11-03T00:00:00"/>
    <n v="50000"/>
    <x v="1"/>
    <x v="1"/>
    <s v="Calle Güigüe Nro. 88-44"/>
    <s v="Cancelación Vigilancia, mes de Noviembre/2017"/>
    <s v="Vigilancia"/>
    <m/>
    <s v="00649"/>
    <s v="03 de noviembre de 2017"/>
    <d v="2017-11-01T00:00:00"/>
    <s v="50.000,00"/>
    <s v="Cincuenta Mil Bolívares con 00/100"/>
  </r>
  <r>
    <n v="650"/>
    <m/>
    <s v="ü"/>
    <d v="2017-11-04T00:00:00"/>
    <n v="105000"/>
    <x v="58"/>
    <x v="53"/>
    <s v="Calle Güigüe Nro. 88-51"/>
    <s v="Cancelación Vigilancia, meses de Agosto, Septiembre y Octubre/2017"/>
    <s v="Vigilancia"/>
    <m/>
    <s v="00650"/>
    <s v="04 de noviembre de 2017"/>
    <d v="2017-11-01T00:00:00"/>
    <s v="105.000,00"/>
    <s v="Ciento Cinco Mil Bolívares con 00/100"/>
  </r>
  <r>
    <n v="651"/>
    <m/>
    <s v="ü"/>
    <d v="2017-11-08T00:00:00"/>
    <n v="35000"/>
    <x v="60"/>
    <x v="54"/>
    <s v="Calle Guacara Nro. 88-51"/>
    <s v="Cancelación Vigilancia, mes de Octubre y anticipo mes de Noviembre/2017: transferencia y contra factura"/>
    <s v="Vigilancia"/>
    <m/>
    <s v="00651"/>
    <s v="08 de noviembre de 2017"/>
    <d v="2017-11-01T00:00:00"/>
    <s v="35.000,00"/>
    <s v="Treinta y Cinco Mil Bolívares con 00/100"/>
  </r>
  <r>
    <n v="652"/>
    <m/>
    <s v="ü"/>
    <d v="2017-11-07T00:00:00"/>
    <n v="50000"/>
    <x v="0"/>
    <x v="0"/>
    <s v="Calle Guacara Nro. 88-45"/>
    <s v="Cancelación Vigilancia, mes de Noviembre/2017 (saldo a favor: Bs. 20.000)"/>
    <s v="Vigilancia"/>
    <m/>
    <s v="00652"/>
    <s v="07 de noviembre de 2017"/>
    <d v="2017-11-01T00:00:00"/>
    <s v="50.000,00"/>
    <s v="Cincuenta Mil Bolívares con 00/100"/>
  </r>
  <r>
    <n v="653"/>
    <m/>
    <s v="ü"/>
    <d v="2017-11-07T00:00:00"/>
    <n v="50000"/>
    <x v="75"/>
    <x v="65"/>
    <s v="Av. &quot;Ñ&quot; Nro. 145-25"/>
    <s v="Cancelación Vigilancia, mes de Noviembre/2017 (saldo a favor: Bs. 115.000)"/>
    <s v="Vigilancia"/>
    <m/>
    <s v="00653"/>
    <s v="07 de noviembre de 2017"/>
    <d v="2017-11-01T00:00:00"/>
    <s v="50.000,00"/>
    <s v="Cincuenta Mil Bolívares con 00/100"/>
  </r>
  <r>
    <n v="654"/>
    <m/>
    <s v="ü"/>
    <d v="2017-11-08T00:00:00"/>
    <n v="50000"/>
    <x v="12"/>
    <x v="12"/>
    <s v="Calle Guacara Nro. 89-20"/>
    <s v="Cancelación Vigilancia, mes de Noviembre/2017"/>
    <s v="Vigilancia"/>
    <m/>
    <s v="00654"/>
    <s v="08 de noviembre de 2017"/>
    <d v="2017-11-01T00:00:00"/>
    <s v="50.000,00"/>
    <s v="Cincuenta Mil Bolívares con 00/100"/>
  </r>
  <r>
    <n v="655"/>
    <m/>
    <s v="ü"/>
    <d v="2017-11-10T00:00:00"/>
    <n v="30000"/>
    <x v="15"/>
    <x v="14"/>
    <s v="Calle Guacara Nro. 89-94"/>
    <s v="Colaboración Vigilancia, mes de Noviembre/2017"/>
    <s v="Vigilancia"/>
    <m/>
    <s v="00655"/>
    <s v="10 de noviembre de 2017"/>
    <d v="2017-11-01T00:00:00"/>
    <s v="30.000,00"/>
    <s v="Treinta Mil Bolívares con 00/100"/>
  </r>
  <r>
    <n v="656"/>
    <m/>
    <s v="ü"/>
    <d v="2017-11-09T00:00:00"/>
    <n v="50000"/>
    <x v="36"/>
    <x v="33"/>
    <s v="Calle Güigüe Nro. 89-10"/>
    <s v="Cancelación Vigilancia, mes de Noviembre/2017"/>
    <s v="Vigilancia"/>
    <m/>
    <s v="00656"/>
    <s v="09 de noviembre de 2017"/>
    <d v="2017-11-01T00:00:00"/>
    <s v="50.000,00"/>
    <s v="Cincuenta Mil Bolívares con 00/100"/>
  </r>
  <r>
    <n v="657"/>
    <m/>
    <s v="ü"/>
    <d v="2017-11-09T00:00:00"/>
    <n v="85000"/>
    <x v="31"/>
    <x v="29"/>
    <s v="Calle Güigüe Nro. 89-95"/>
    <s v="Cancelación Vigilancia, meses de Octubre y Noviembre/2017"/>
    <s v="Vigilancia"/>
    <m/>
    <s v="00657"/>
    <s v="09 de noviembre de 2017"/>
    <d v="2017-11-01T00:00:00"/>
    <s v="85.000,00"/>
    <s v="Ochenta y Cinco Mil Bolívares con 00/100"/>
  </r>
  <r>
    <n v="658"/>
    <m/>
    <s v="ü"/>
    <d v="2017-11-10T00:00:00"/>
    <n v="135000"/>
    <x v="16"/>
    <x v="15"/>
    <s v="Calle Guacara Nro. 90-81"/>
    <s v="Cancelación Vigilancia, meses de Octubre, Noviembre y Diciembre/2017"/>
    <s v="Vigilancia"/>
    <m/>
    <s v="00658"/>
    <s v="10 de noviembre de 2017"/>
    <d v="2017-11-01T00:00:00"/>
    <s v="135.000,00"/>
    <s v="Ciento Treinta y Cinco Mil Bolívares con 00/100"/>
  </r>
  <r>
    <n v="659"/>
    <m/>
    <s v="ü"/>
    <d v="2017-11-10T00:00:00"/>
    <n v="35000"/>
    <x v="7"/>
    <x v="7"/>
    <s v="Calle Guacara Nro. 87-86"/>
    <s v="Colaboración Vigilancia, mes de Noviembre/2017"/>
    <s v="Vigilancia"/>
    <m/>
    <s v="00659"/>
    <s v="10 de noviembre de 2017"/>
    <d v="2017-11-01T00:00:00"/>
    <s v="35.000,00"/>
    <s v="Treinta y Cinco Mil Bolívares con 00/100"/>
  </r>
  <r>
    <n v="660"/>
    <m/>
    <s v="ü"/>
    <d v="2017-11-11T00:00:00"/>
    <n v="120000"/>
    <x v="54"/>
    <x v="50"/>
    <s v="Calle Güigüe Nro. 89-21"/>
    <s v="Cancelación Vigilancia, meses de Septiembre, Octubre y Noviembre/2017"/>
    <s v="Vigilancia"/>
    <m/>
    <s v="00660"/>
    <s v="11 de noviembre de 2017"/>
    <d v="2017-11-01T00:00:00"/>
    <s v="120.000,00"/>
    <s v="Ciento Veinte Mil Bolívares con 00/100"/>
  </r>
  <r>
    <n v="661"/>
    <m/>
    <s v="ü"/>
    <d v="2017-11-11T00:00:00"/>
    <n v="50000"/>
    <x v="4"/>
    <x v="4"/>
    <s v="Calle Güigüe Nro. 89-55"/>
    <s v="Cancelación Vigilancia, mes de Noviembre/2017"/>
    <s v="Vigilancia"/>
    <m/>
    <s v="00661"/>
    <s v="11 de noviembre de 2017"/>
    <d v="2017-11-01T00:00:00"/>
    <s v="50.000,00"/>
    <s v="Cincuenta Mil Bolívares con 00/100"/>
  </r>
  <r>
    <n v="662"/>
    <m/>
    <s v="ü"/>
    <d v="2017-11-12T00:00:00"/>
    <n v="85000"/>
    <x v="42"/>
    <x v="39"/>
    <s v="Calle Güigüe Nro. 89-79"/>
    <s v="Cancelación Vigilancia, meses de Octubre y Noviembre/2017"/>
    <s v="Vigilancia"/>
    <m/>
    <s v="00662"/>
    <s v="12 de noviembre de 2017"/>
    <d v="2017-11-01T00:00:00"/>
    <s v="85.000,00"/>
    <s v="Ochenta y Cinco Mil Bolívares con 00/100"/>
  </r>
  <r>
    <n v="663"/>
    <m/>
    <s v="ü"/>
    <d v="2017-11-12T00:00:00"/>
    <n v="10000"/>
    <x v="28"/>
    <x v="26"/>
    <s v="Calle Güigüe Nro. 88-30"/>
    <s v="Colaboración Vigilancia, mes de Noviembre/2017"/>
    <s v="Vigilancia"/>
    <m/>
    <s v="00663"/>
    <s v="12 de noviembre de 2017"/>
    <d v="2017-11-01T00:00:00"/>
    <s v="10.000,00"/>
    <s v="Diez Mil Bolívares con 00/100"/>
  </r>
  <r>
    <n v="664"/>
    <m/>
    <s v="ü"/>
    <d v="2017-11-14T00:00:00"/>
    <n v="50000"/>
    <x v="20"/>
    <x v="18"/>
    <s v="Calle Guacara Nro. 89-30"/>
    <s v="Cancelación Vigilancia, mes de Noviembre/2017"/>
    <s v="Vigilancia"/>
    <m/>
    <s v="00664"/>
    <s v="14 de noviembre de 2017"/>
    <d v="2017-11-01T00:00:00"/>
    <s v="50.000,00"/>
    <s v="Cincuenta Mil Bolívares con 00/100"/>
  </r>
  <r>
    <n v="665"/>
    <m/>
    <s v="ü"/>
    <d v="2017-11-13T00:00:00"/>
    <n v="20000"/>
    <x v="22"/>
    <x v="20"/>
    <s v="Calle Guacara Nro. 88-25"/>
    <s v="Colaboración Vigilancia, mes de Octubre/2017"/>
    <s v="Vigilancia"/>
    <m/>
    <s v="00665"/>
    <s v="13 de noviembre de 2017"/>
    <d v="2017-11-01T00:00:00"/>
    <s v="20.000,00"/>
    <s v="Veinte Mil Bolívares con 00/100"/>
  </r>
  <r>
    <n v="666"/>
    <m/>
    <s v="ü"/>
    <d v="2017-11-09T00:00:00"/>
    <n v="35000"/>
    <x v="59"/>
    <x v="9"/>
    <s v="Calle Guacara Nro. 90-35"/>
    <s v="Cancelación Vigilancia, mes de Octubre/2017"/>
    <s v="Vigilancia"/>
    <m/>
    <s v="00666"/>
    <s v="09 de noviembre de 2017"/>
    <d v="2017-11-01T00:00:00"/>
    <s v="35.000,00"/>
    <s v="Treinta y Cinco Mil Bolívares con 00/100"/>
  </r>
  <r>
    <n v="667"/>
    <m/>
    <s v="ü"/>
    <d v="2017-11-14T00:00:00"/>
    <n v="85000"/>
    <x v="49"/>
    <x v="46"/>
    <s v="Av. &quot;O&quot; Nro. 146-17"/>
    <s v="Cancelación Vigilancia, meses de Octubre y Noviembre/2017"/>
    <s v="Vigilancia"/>
    <m/>
    <s v="00667"/>
    <s v="14 de noviembre de 2017"/>
    <d v="2017-11-01T00:00:00"/>
    <s v="85.000,00"/>
    <s v="Ochenta y Cinco Mil Bolívares con 00/100"/>
  </r>
  <r>
    <n v="668"/>
    <m/>
    <s v="ü"/>
    <d v="2017-11-14T00:00:00"/>
    <n v="35000"/>
    <x v="38"/>
    <x v="35"/>
    <s v="Calle Guacara Nro. 89-78"/>
    <s v="Cancelación Vigilancia, mes de Octubre/2017"/>
    <s v="Vigilancia"/>
    <m/>
    <s v="00668"/>
    <s v="14 de noviembre de 2017"/>
    <d v="2017-11-01T00:00:00"/>
    <s v="35.000,00"/>
    <s v="Treinta y Cinco Mil Bolívares con 00/100"/>
  </r>
  <r>
    <n v="669"/>
    <m/>
    <s v="ü"/>
    <d v="2017-11-14T00:00:00"/>
    <n v="100000"/>
    <x v="11"/>
    <x v="11"/>
    <s v="Calle Guacara Nro. 89-86"/>
    <s v="Cancelación Vigilancia, meses de Noviembre y Diciembre/2017"/>
    <s v="Vigilancia"/>
    <m/>
    <s v="00669"/>
    <s v="14 de noviembre de 2017"/>
    <d v="2017-11-01T00:00:00"/>
    <s v="100.000,00"/>
    <s v="Cien Mil Bolívares con 00/100"/>
  </r>
  <r>
    <n v="670"/>
    <m/>
    <s v="ü"/>
    <d v="2017-11-15T00:00:00"/>
    <n v="15000"/>
    <x v="14"/>
    <x v="13"/>
    <s v="Calle Güigüe Nro. 89-83"/>
    <s v="Cancelación saldo Vigilancia, mes de Noviembre/2017"/>
    <s v="Vigilancia"/>
    <m/>
    <s v="00670"/>
    <s v="15 de noviembre de 2017"/>
    <d v="2017-11-01T00:00:00"/>
    <s v="15.000,00"/>
    <s v="Quince Mil Bolívares con 00/100"/>
  </r>
  <r>
    <n v="671"/>
    <m/>
    <s v="ü"/>
    <d v="2017-11-15T00:00:00"/>
    <n v="185000"/>
    <x v="69"/>
    <x v="61"/>
    <s v="Calle Güigüe Nro. 89-40"/>
    <s v="Cancelación Vigilancia, meses de Octubre, Noviembre ,Diciembre/2017 y mes de Enero/2018"/>
    <s v="Vigilancia"/>
    <m/>
    <s v="00671"/>
    <s v="15 de noviembre de 2017"/>
    <d v="2017-11-01T00:00:00"/>
    <s v="185.000,00"/>
    <s v="Ciento Ochenta y Cinco Mil Bolívares con 00/100"/>
  </r>
  <r>
    <n v="672"/>
    <m/>
    <s v="ü"/>
    <d v="2017-11-15T00:00:00"/>
    <n v="15000"/>
    <x v="68"/>
    <x v="60"/>
    <s v="Calle Güigüe Nro. 89-29"/>
    <s v="Colaboración Vigilancia, mes de Noviembre/2017"/>
    <s v="Vigilancia"/>
    <m/>
    <s v="00672"/>
    <s v="15 de noviembre de 2017"/>
    <d v="2017-11-01T00:00:00"/>
    <s v="15.000,00"/>
    <s v="Quince Mil Bolívares con 00/100"/>
  </r>
  <r>
    <n v="673"/>
    <m/>
    <s v="ü"/>
    <d v="2017-11-10T00:00:00"/>
    <n v="15000"/>
    <x v="6"/>
    <x v="6"/>
    <s v="Calle Guacara Nro. 89-60"/>
    <s v="Cancelación saldo Vigilancia, mes de Noviembre/2017"/>
    <s v="Vigilancia"/>
    <m/>
    <s v="00673"/>
    <s v="10 de noviembre de 2017"/>
    <d v="2017-11-01T00:00:00"/>
    <s v="15.000,00"/>
    <s v="Quince Mil Bolívares con 00/100"/>
  </r>
  <r>
    <n v="674"/>
    <m/>
    <s v="ü"/>
    <d v="2017-11-15T00:00:00"/>
    <n v="85000"/>
    <x v="81"/>
    <x v="69"/>
    <s v="Calle Güigüe Nro. 89-65"/>
    <s v="Cancelación Vigilancia, meses de Octubre y Noviembre/2017"/>
    <s v="Vigilancia"/>
    <m/>
    <s v="00674"/>
    <s v="15 de noviembre de 2017"/>
    <d v="2017-11-01T00:00:00"/>
    <s v="85.000,00"/>
    <s v="Ochenta y Cinco Mil Bolívares con 00/100"/>
  </r>
  <r>
    <n v="675"/>
    <m/>
    <s v="ü"/>
    <d v="2017-11-15T00:00:00"/>
    <n v="85000"/>
    <x v="44"/>
    <x v="41"/>
    <s v="Calle Guacara Nro. 89-40"/>
    <s v="Cancelación Vigilancia, meses de Octubre y Noviembre/2017"/>
    <s v="Vigilancia"/>
    <m/>
    <s v="00675"/>
    <s v="15 de noviembre de 2017"/>
    <d v="2017-11-01T00:00:00"/>
    <s v="85.000,00"/>
    <s v="Ochenta y Cinco Mil Bolívares con 00/100"/>
  </r>
  <r>
    <n v="676"/>
    <m/>
    <s v="ü"/>
    <d v="2017-11-15T00:00:00"/>
    <n v="50000"/>
    <x v="18"/>
    <x v="16"/>
    <s v="Calle Guacara Nro. 87-100"/>
    <s v="Cancelación Vigilancia, mes de Noviembre/2017"/>
    <s v="Vigilancia"/>
    <m/>
    <s v="00676"/>
    <s v="15 de noviembre de 2017"/>
    <d v="2017-11-01T00:00:00"/>
    <s v="50.000,00"/>
    <s v="Cincuenta Mil Bolívares con 00/100"/>
  </r>
  <r>
    <n v="677"/>
    <m/>
    <s v="ü"/>
    <d v="2017-11-16T00:00:00"/>
    <n v="54000"/>
    <x v="9"/>
    <x v="9"/>
    <s v="Av. &quot;M&quot; Nro. 146-30"/>
    <s v="Cancelación Vigilancia, mes de Noviembre/2017"/>
    <s v="Vigilancia"/>
    <m/>
    <s v="00677"/>
    <s v="16 de noviembre de 2017"/>
    <d v="2017-11-01T00:00:00"/>
    <s v="54.000,00"/>
    <s v="Cincuenta y Cuatro Mil Bolívares con 00/100"/>
  </r>
  <r>
    <n v="678"/>
    <m/>
    <s v="ü"/>
    <d v="2017-11-16T00:00:00"/>
    <n v="35000"/>
    <x v="83"/>
    <x v="70"/>
    <s v="Calle Güigüe Nro. 89-22"/>
    <s v="Cancelación Vigilancia, mes de Octubre/2017"/>
    <s v="Vigilancia"/>
    <m/>
    <s v="00678"/>
    <s v="16 de noviembre de 2017"/>
    <d v="2017-11-01T00:00:00"/>
    <s v="35.000,00"/>
    <s v="Treinta y Cinco Mil Bolívares con 00/100"/>
  </r>
  <r>
    <n v="679"/>
    <m/>
    <s v="ü"/>
    <d v="2017-11-17T00:00:00"/>
    <n v="50000"/>
    <x v="23"/>
    <x v="21"/>
    <s v="Calle Güigüe Nro. 88-116"/>
    <s v="Cancelación Vigilancia, mes de Noviembre/2017"/>
    <s v="Vigilancia"/>
    <m/>
    <s v="00679"/>
    <s v="17 de noviembre de 2017"/>
    <d v="2017-11-01T00:00:00"/>
    <s v="50.000,00"/>
    <s v="Cincuenta Mil Bolívares con 00/100"/>
  </r>
  <r>
    <n v="680"/>
    <m/>
    <s v="ü"/>
    <d v="2017-11-17T00:00:00"/>
    <n v="50000"/>
    <x v="30"/>
    <x v="28"/>
    <s v="Calle Güigüe Nro. 89-04"/>
    <s v="Cancelación Vigilancia, mes de Noviembre/2017 (transferencia y Bs. 14.600 contra factura)"/>
    <s v="Vigilancia"/>
    <m/>
    <s v="00680"/>
    <s v="17 de noviembre de 2017"/>
    <d v="2017-11-01T00:00:00"/>
    <s v="50.000,00"/>
    <s v="Cincuenta Mil Bolívares con 00/100"/>
  </r>
  <r>
    <n v="681"/>
    <m/>
    <s v="ü"/>
    <d v="2017-11-17T00:00:00"/>
    <n v="50000"/>
    <x v="26"/>
    <x v="24"/>
    <s v="Calle Güigüe Nro. 89-96"/>
    <s v="Cancelación Vigilancia, mes de Noviembre/2017"/>
    <s v="Vigilancia"/>
    <m/>
    <s v="00681"/>
    <s v="17 de noviembre de 2017"/>
    <d v="2017-11-01T00:00:00"/>
    <s v="50.000,00"/>
    <s v="Cincuenta Mil Bolívares con 00/100"/>
  </r>
  <r>
    <n v="682"/>
    <m/>
    <s v="ü"/>
    <d v="2017-11-17T00:00:00"/>
    <n v="100000"/>
    <x v="34"/>
    <x v="9"/>
    <s v="Av. &quot;O&quot; Nro. 146-11"/>
    <s v="Cancelación Vigilancia, meses de Septiembre y Octubre/2017, y anticipo Vigilancia, mes de Noviembre/2017"/>
    <s v="Vigilancia"/>
    <m/>
    <s v="00682"/>
    <s v="17 de noviembre de 2017"/>
    <d v="2017-11-01T00:00:00"/>
    <s v="100.000,00"/>
    <s v="Cien Mil Bolívares con 00/100"/>
  </r>
  <r>
    <n v="683"/>
    <m/>
    <s v="ü"/>
    <d v="2017-11-17T00:00:00"/>
    <n v="40000"/>
    <x v="35"/>
    <x v="32"/>
    <s v="Calle Güigüe Nro. 89-80"/>
    <s v="Colaboración Vigilancia, mes de Noviembre/2017"/>
    <s v="Vigilancia"/>
    <m/>
    <s v="00683"/>
    <s v="17 de noviembre de 2017"/>
    <d v="2017-11-01T00:00:00"/>
    <s v="40.000,00"/>
    <s v="Cuarenta Mil Bolívares con 00/100"/>
  </r>
  <r>
    <n v="684"/>
    <m/>
    <s v="ü"/>
    <d v="2017-11-19T00:00:00"/>
    <n v="35000"/>
    <x v="43"/>
    <x v="40"/>
    <s v="Calle Güigüe Nro. 88-50"/>
    <s v="Cancelación Vigilancia, mes de Octubre/2017"/>
    <s v="Vigilancia"/>
    <m/>
    <s v="00684"/>
    <s v="19 de noviembre de 2017"/>
    <d v="2017-11-01T00:00:00"/>
    <s v="35.000,00"/>
    <s v="Treinta y Cinco Mil Bolívares con 00/100"/>
  </r>
  <r>
    <n v="685"/>
    <m/>
    <s v="ü"/>
    <d v="2017-11-19T00:00:00"/>
    <n v="50000"/>
    <x v="59"/>
    <x v="9"/>
    <s v="Calle Guacara Nro. 90-35"/>
    <s v="Cancelación Vigilancia, mes de Noviembre/2017"/>
    <s v="Vigilancia"/>
    <m/>
    <s v="00685"/>
    <s v="19 de noviembre de 2017"/>
    <d v="2017-11-01T00:00:00"/>
    <s v="50.000,00"/>
    <s v="Cincuenta Mil Bolívares con 00/100"/>
  </r>
  <r>
    <n v="686"/>
    <m/>
    <s v="ü"/>
    <d v="2017-11-20T00:00:00"/>
    <n v="50000"/>
    <x v="84"/>
    <x v="71"/>
    <s v="Calle Güigüe Nro. 89-54"/>
    <s v="Cancelación Vigilancia, mes de Diciembre/2017"/>
    <s v="Vigilancia"/>
    <m/>
    <s v="00686"/>
    <s v="20 de noviembre de 2017"/>
    <d v="2017-11-01T00:00:00"/>
    <s v="50.000,00"/>
    <s v="Cincuenta Mil Bolívares con 00/100"/>
  </r>
  <r>
    <n v="687"/>
    <m/>
    <s v="ü"/>
    <d v="2017-11-20T00:00:00"/>
    <n v="40000"/>
    <x v="57"/>
    <x v="9"/>
    <s v="Calle Güigüe Nro. 88-40"/>
    <s v="Colaboración Vigilancia, meses de Septiembre y Octubre/2017"/>
    <s v="Vigilancia"/>
    <m/>
    <s v="00687"/>
    <s v="20 de noviembre de 2017"/>
    <d v="2017-11-01T00:00:00"/>
    <s v="40.000,00"/>
    <s v="Cuarenta Mil Bolívares con 00/100"/>
  </r>
  <r>
    <n v="688"/>
    <m/>
    <s v="ü"/>
    <d v="2017-11-21T00:00:00"/>
    <n v="170000"/>
    <x v="64"/>
    <x v="57"/>
    <s v="Calle Guacara Nro. 88-35"/>
    <s v="Cancelación Vigilancia, meses de Septiembre, Octubre, Noviembre y Diciembre/2017"/>
    <s v="Vigilancia"/>
    <m/>
    <s v="00688"/>
    <s v="21 de noviembre de 2017"/>
    <d v="2017-11-01T00:00:00"/>
    <s v="170.000,00"/>
    <s v="Ciento Setenta Mil Bolívares con 00/100"/>
  </r>
  <r>
    <n v="689"/>
    <m/>
    <s v="ü"/>
    <d v="2017-11-22T00:00:00"/>
    <n v="30000"/>
    <x v="85"/>
    <x v="72"/>
    <s v="Calle Güigüe Nro. 89-116"/>
    <s v="Colaboración Vigilancia, mes de Noviembre/2017"/>
    <s v="Vigilancia"/>
    <m/>
    <s v="00689"/>
    <s v="22 de noviembre de 2017"/>
    <d v="2017-11-01T00:00:00"/>
    <s v="30.000,00"/>
    <s v="Treinta Mil Bolívares con 00/100"/>
  </r>
  <r>
    <n v="690"/>
    <m/>
    <s v="ü"/>
    <d v="2017-11-22T00:00:00"/>
    <n v="50000"/>
    <x v="19"/>
    <x v="17"/>
    <s v="Calle Guacara Nro. 89-130"/>
    <s v="Cancelación Vigilancia, mes de Noviembre/2017"/>
    <s v="Vigilancia"/>
    <m/>
    <s v="00690"/>
    <s v="22 de noviembre de 2017"/>
    <d v="2017-11-01T00:00:00"/>
    <s v="50.000,00"/>
    <s v="Cincuenta Mil Bolívares con 00/100"/>
  </r>
  <r>
    <n v="691"/>
    <m/>
    <s v="ü"/>
    <d v="2017-11-23T00:00:00"/>
    <n v="50000"/>
    <x v="76"/>
    <x v="66"/>
    <s v="Calle Güigüe Nro. 89-90"/>
    <s v="Cancelación Vigilancia, mes de Noviembre/2017"/>
    <s v="Vigilancia"/>
    <m/>
    <s v="00691"/>
    <s v="23 de noviembre de 2017"/>
    <d v="2017-11-01T00:00:00"/>
    <s v="50.000,00"/>
    <s v="Cincuenta Mil Bolívares con 00/100"/>
  </r>
  <r>
    <n v="692"/>
    <m/>
    <s v="ü"/>
    <d v="2017-11-28T00:00:00"/>
    <n v="65000"/>
    <x v="45"/>
    <x v="42"/>
    <s v="Calle Güigüe Nro. 87-A-11"/>
    <s v="Cancelación Vigilancia, saldo mes de Noviembre y mes de Diciembre/2017"/>
    <s v="Vigilancia"/>
    <m/>
    <s v="00692"/>
    <s v="28 de noviembre de 2017"/>
    <d v="2017-11-01T00:00:00"/>
    <s v="65.000,00"/>
    <s v="Sesenta y Cinco Mil Bolívares con 00/100"/>
  </r>
  <r>
    <n v="693"/>
    <m/>
    <s v="ü"/>
    <d v="2017-11-28T00:00:00"/>
    <n v="100000"/>
    <x v="56"/>
    <x v="52"/>
    <s v="Calle Güigüe Nro. 88-70"/>
    <s v="Cancelación Vigilancia, meses de Noviembre y Diciembre/2017"/>
    <s v="Vigilancia"/>
    <m/>
    <s v="00693"/>
    <s v="28 de noviembre de 2017"/>
    <d v="2017-11-01T00:00:00"/>
    <s v="100.000,00"/>
    <s v="Cien Mil Bolívares con 00/100"/>
  </r>
  <r>
    <n v="694"/>
    <m/>
    <s v="ü"/>
    <d v="2017-11-28T00:00:00"/>
    <n v="100000"/>
    <x v="60"/>
    <x v="54"/>
    <s v="Calle Guacara Nro. 88-51"/>
    <s v="Cancelación Vigilancia, saldo mes de Noviembre, mes de Diciembre/2017 y Anticipo Vigilancia, mes de Enero/2018 (Bs. 5.850)"/>
    <s v="Vigilancia"/>
    <m/>
    <s v="00694"/>
    <s v="28 de noviembre de 2017"/>
    <d v="2017-11-01T00:00:00"/>
    <s v="100.000,00"/>
    <s v="Cien Mil Bolívares con 00/100"/>
  </r>
  <r>
    <n v="695"/>
    <m/>
    <s v="ü"/>
    <d v="2017-11-29T00:00:00"/>
    <n v="50000"/>
    <x v="65"/>
    <x v="58"/>
    <s v="Calle Güigüe Nro. 88-10"/>
    <s v="Cancelación Vigilancia, mes de Noviembre/2017"/>
    <s v="Vigilancia"/>
    <m/>
    <s v="00695"/>
    <s v="29 de noviembre de 2017"/>
    <d v="2017-11-01T00:00:00"/>
    <s v="50.000,00"/>
    <s v="Cincuenta Mil Bolívares con 00/100"/>
  </r>
  <r>
    <n v="696"/>
    <m/>
    <s v="ü"/>
    <d v="2017-12-03T00:00:00"/>
    <n v="100000"/>
    <x v="14"/>
    <x v="13"/>
    <s v="Calle Güigüe Nro. 89-83"/>
    <s v="Cancelación Vigilancia, meses de Diciembre/2017 y Enero/2018"/>
    <s v="Vigilancia"/>
    <m/>
    <s v="00696"/>
    <s v="03 de diciembre de 2017"/>
    <d v="2017-12-01T00:00:00"/>
    <s v="100.000,00"/>
    <s v="Cien Mil Bolívares con 00/100"/>
  </r>
  <r>
    <n v="697"/>
    <m/>
    <s v="ü"/>
    <d v="2017-11-21T00:00:00"/>
    <n v="71000"/>
    <x v="73"/>
    <x v="9"/>
    <s v="Calle Güigüe Nros. 88-71 y 88-81"/>
    <s v="Cancelación Vigilancia, mes de Noviembre/2017"/>
    <s v="Vigilancia"/>
    <m/>
    <s v="00697"/>
    <s v="21 de noviembre de 2017"/>
    <d v="2017-11-01T00:00:00"/>
    <s v="71.000,00"/>
    <s v="Setenta y Un Mil Bolívares con 00/100"/>
  </r>
  <r>
    <n v="698"/>
    <m/>
    <s v="ü"/>
    <d v="2017-12-04T00:00:00"/>
    <n v="50000"/>
    <x v="24"/>
    <x v="22"/>
    <s v="Calle Güigüe Nro. 88-54"/>
    <s v="Cancelación Vigilancia, mes de Noviembre/2017"/>
    <s v="Vigilancia"/>
    <m/>
    <s v="00698"/>
    <s v="04 de diciembre de 2017"/>
    <d v="2017-12-01T00:00:00"/>
    <s v="50.000,00"/>
    <s v="Cincuenta Mil Bolívares con 00/100"/>
  </r>
  <r>
    <n v="699"/>
    <m/>
    <s v="ü"/>
    <d v="2017-12-04T00:00:00"/>
    <n v="32000"/>
    <x v="2"/>
    <x v="2"/>
    <s v="Calle Guacara Nro. 88-19"/>
    <s v="Colaboración Vigilancia, mes de Noviembre/2017"/>
    <s v="Vigilancia"/>
    <m/>
    <s v="00699"/>
    <s v="04 de diciembre de 2017"/>
    <d v="2017-12-01T00:00:00"/>
    <s v="32.000,00"/>
    <s v="Treinta y Dos Mil Bolívares con 00/100"/>
  </r>
  <r>
    <n v="700"/>
    <m/>
    <s v="ü"/>
    <d v="2017-12-04T00:00:00"/>
    <n v="18000"/>
    <x v="67"/>
    <x v="2"/>
    <s v="Calle Guacara Nro. 90-93"/>
    <s v="Colaboración Vigilancia, mes de Noviembre/2017"/>
    <s v="Vigilancia"/>
    <m/>
    <s v="00700"/>
    <s v="04 de diciembre de 2017"/>
    <d v="2017-12-01T00:00:00"/>
    <s v="18.000,00"/>
    <s v="Dieciocho Mil Bolívares con 00/100"/>
  </r>
  <r>
    <n v="701"/>
    <m/>
    <s v="ü"/>
    <d v="2017-12-04T00:00:00"/>
    <n v="25000"/>
    <x v="32"/>
    <x v="30"/>
    <s v="Calle Güigüe Nro. 89-120"/>
    <s v="Colaboración Vigilancia, mes de Octubre/2017"/>
    <s v="Vigilancia"/>
    <m/>
    <s v="00701"/>
    <s v="04 de diciembre de 2017"/>
    <d v="2017-12-01T00:00:00"/>
    <s v="25.000,00"/>
    <s v="Veinticinco Mil Bolívares con 00/100"/>
  </r>
  <r>
    <n v="702"/>
    <m/>
    <s v="ü"/>
    <d v="2017-12-04T00:00:00"/>
    <n v="100000"/>
    <x v="8"/>
    <x v="8"/>
    <s v="Calle Guacara Nro. 90-51"/>
    <s v="Cancelación Vigilancia, meses de Noviembre y Diciembre/2017"/>
    <s v="Vigilancia"/>
    <m/>
    <s v="00702"/>
    <s v="04 de diciembre de 2017"/>
    <d v="2017-12-01T00:00:00"/>
    <s v="100.000,00"/>
    <s v="Cien Mil Bolívares con 00/100"/>
  </r>
  <r>
    <n v="703"/>
    <m/>
    <s v="ü"/>
    <d v="2017-12-04T00:00:00"/>
    <n v="40000"/>
    <x v="52"/>
    <x v="49"/>
    <s v="Calle Güigüe Nro. 89-45"/>
    <s v="Cancelación Vigilancia, saldo mes de Noviembre y anticipo mes de Diciembre/2017"/>
    <s v="Vigilancia"/>
    <m/>
    <s v="00703"/>
    <s v="04 de diciembre de 2017"/>
    <d v="2017-12-01T00:00:00"/>
    <s v="40.000,00"/>
    <s v="Cuarenta Mil Bolívares con 00/100"/>
  </r>
  <r>
    <n v="704"/>
    <m/>
    <s v="ü"/>
    <d v="2017-12-04T00:00:00"/>
    <n v="50000"/>
    <x v="40"/>
    <x v="37"/>
    <s v="Calle Güigüe Nro. 88-101"/>
    <s v="Cancelación Vigilancia, mes de Noviembre/2017"/>
    <s v="Vigilancia"/>
    <m/>
    <s v="00704"/>
    <s v="04 de diciembre de 2017"/>
    <d v="2017-12-01T00:00:00"/>
    <s v="50.000,00"/>
    <s v="Cincuenta Mil Bolívares con 00/100"/>
  </r>
  <r>
    <n v="705"/>
    <m/>
    <s v="ü"/>
    <d v="2017-12-05T00:00:00"/>
    <n v="50000"/>
    <x v="81"/>
    <x v="69"/>
    <s v="Calle Güigüe Nro. 89-65"/>
    <s v="Cancelación Vigilancia, mes de Diciembre/2017"/>
    <s v="Vigilancia"/>
    <m/>
    <s v="00705"/>
    <s v="05 de diciembre de 2017"/>
    <d v="2017-12-01T00:00:00"/>
    <s v="50.000,00"/>
    <s v="Cincuenta Mil Bolívares con 00/100"/>
  </r>
  <r>
    <n v="706"/>
    <m/>
    <s v="ü"/>
    <d v="2017-12-05T00:00:00"/>
    <n v="50000"/>
    <x v="0"/>
    <x v="0"/>
    <s v="Calle Guacara Nro. 88-45"/>
    <s v="Cancelación Vigilancia, mes de Diciembre/2017 (saldo a favor: Bs. 600.000)"/>
    <s v="Vigilancia"/>
    <m/>
    <s v="00706"/>
    <s v="05 de diciembre de 2017"/>
    <d v="2017-12-01T00:00:00"/>
    <s v="50.000,00"/>
    <s v="Cincuenta Mil Bolívares con 00/100"/>
  </r>
  <r>
    <n v="707"/>
    <m/>
    <s v="ü"/>
    <d v="2017-12-05T00:00:00"/>
    <n v="50000"/>
    <x v="75"/>
    <x v="65"/>
    <s v="Av. &quot;Ñ&quot; Nro. 145-25"/>
    <s v="Cancelación Vigilancia, mes de Diciembre/2017 (saldo a favor: Bs. 65.000)"/>
    <s v="Vigilancia"/>
    <m/>
    <s v="00707"/>
    <s v="05 de diciembre de 2017"/>
    <d v="2017-12-01T00:00:00"/>
    <s v="50.000,00"/>
    <s v="Cincuenta Mil Bolívares con 00/100"/>
  </r>
  <r>
    <n v="708"/>
    <m/>
    <s v="ü"/>
    <d v="2017-12-05T00:00:00"/>
    <n v="35000"/>
    <x v="7"/>
    <x v="7"/>
    <s v="Calle Guacara Nro. 87-86"/>
    <s v="Colaboración Vigilancia, mes de Diciembre/2017"/>
    <s v="Vigilancia"/>
    <m/>
    <s v="00708"/>
    <s v="05 de diciembre de 2017"/>
    <d v="2017-12-01T00:00:00"/>
    <s v="35.000,00"/>
    <s v="Treinta y Cinco Mil Bolívares con 00/100"/>
  </r>
  <r>
    <n v="709"/>
    <m/>
    <s v="ü"/>
    <d v="2017-12-05T00:00:00"/>
    <n v="50000"/>
    <x v="12"/>
    <x v="12"/>
    <s v="Calle Guacara Nro. 89-20"/>
    <s v="Cancelación Vigilancia, mes de Diciembre/2017"/>
    <s v="Vigilancia"/>
    <m/>
    <s v="00709"/>
    <s v="05 de diciembre de 2017"/>
    <d v="2017-12-01T00:00:00"/>
    <s v="50.000,00"/>
    <s v="Cincuenta Mil Bolívares con 00/100"/>
  </r>
  <r>
    <n v="710"/>
    <m/>
    <s v="ü"/>
    <d v="2017-12-05T00:00:00"/>
    <n v="50000"/>
    <x v="6"/>
    <x v="6"/>
    <s v="Calle Guacara Nro. 89-60"/>
    <s v="Cancelación Vigilancia, mes de Diciembre/2017"/>
    <s v="Vigilancia"/>
    <m/>
    <s v="00710"/>
    <s v="05 de diciembre de 2017"/>
    <d v="2017-12-01T00:00:00"/>
    <s v="50.000,00"/>
    <s v="Cincuenta Mil Bolívares con 00/100"/>
  </r>
  <r>
    <n v="711"/>
    <m/>
    <s v="ü"/>
    <d v="2017-12-05T00:00:00"/>
    <n v="30000"/>
    <x v="15"/>
    <x v="14"/>
    <s v="Calle Guacara Nro. 89-94"/>
    <s v="Colaboración Vigilancia, mes de Diciembre/2017"/>
    <s v="Vigilancia"/>
    <m/>
    <s v="00711"/>
    <s v="05 de diciembre de 2017"/>
    <d v="2017-12-01T00:00:00"/>
    <s v="30.000,00"/>
    <s v="Treinta Mil Bolívares con 00/100"/>
  </r>
  <r>
    <n v="712"/>
    <m/>
    <s v="ü"/>
    <d v="2017-12-05T00:00:00"/>
    <n v="84000"/>
    <x v="29"/>
    <x v="27"/>
    <s v="Calle Guacara Nro. 88-75"/>
    <s v="Cancelación saldo Vigilancia, mes de Octubre/2017 y anticipo del mes de Noviembre/2017"/>
    <s v="Vigilancia"/>
    <m/>
    <s v="00712"/>
    <s v="05 de diciembre de 2017"/>
    <d v="2017-12-01T00:00:00"/>
    <s v="84.000,00"/>
    <s v="Ochenta y Cuatro Mil Bolívares con 00/100"/>
  </r>
  <r>
    <n v="713"/>
    <m/>
    <s v="ü"/>
    <d v="2017-12-06T00:00:00"/>
    <n v="100000"/>
    <x v="27"/>
    <x v="25"/>
    <s v="Calle Güigüe Nro. 89-106"/>
    <s v="Cancelación Vigilancia, meses de Noviembre y Diciembre/2017"/>
    <s v="Vigilancia"/>
    <m/>
    <s v="00713"/>
    <s v="06 de diciembre de 2017"/>
    <d v="2017-12-01T00:00:00"/>
    <s v="100.000,00"/>
    <s v="Cien Mil Bolívares con 00/100"/>
  </r>
  <r>
    <n v="714"/>
    <m/>
    <s v="ü"/>
    <d v="2017-12-06T00:00:00"/>
    <n v="50000"/>
    <x v="30"/>
    <x v="28"/>
    <s v="Calle Güigüe Nro. 89-04"/>
    <s v="Cancelación Vigilancia, mes de Diciembre/2017 (transferencia y Bs. 15.200 contra factura)"/>
    <s v="Vigilancia"/>
    <m/>
    <s v="00714"/>
    <s v="06 de diciembre de 2017"/>
    <d v="2017-12-01T00:00:00"/>
    <s v="50.000,00"/>
    <s v="Cincuenta Mil Bolívares con 00/100"/>
  </r>
  <r>
    <n v="715"/>
    <m/>
    <s v="ü"/>
    <d v="2017-12-06T00:00:00"/>
    <n v="30000"/>
    <x v="25"/>
    <x v="23"/>
    <s v="Calle Güigüe Nro. 88-58"/>
    <s v="Colaboración Vigilancia, mes de Noviembre/2017"/>
    <s v="Vigilancia"/>
    <m/>
    <s v="00715"/>
    <s v="06 de diciembre de 2017"/>
    <d v="2017-12-01T00:00:00"/>
    <s v="30.000,00"/>
    <s v="Treinta Mil Bolívares con 00/100"/>
  </r>
  <r>
    <n v="716"/>
    <m/>
    <s v="ü"/>
    <d v="2017-12-07T00:00:00"/>
    <n v="35000"/>
    <x v="3"/>
    <x v="3"/>
    <s v="Calle Güigüe Nro. 88-62"/>
    <s v="Cancelación Vigilancia, mes de Agosto/2017"/>
    <s v="Vigilancia"/>
    <m/>
    <s v="00716"/>
    <s v="07 de diciembre de 2017"/>
    <d v="2017-12-01T00:00:00"/>
    <s v="35.000,00"/>
    <s v="Treinta y Cinco Mil Bolívares con 00/100"/>
  </r>
  <r>
    <n v="717"/>
    <m/>
    <s v="ü"/>
    <d v="2017-12-06T00:00:00"/>
    <n v="120000"/>
    <x v="47"/>
    <x v="44"/>
    <s v="Calle Güigüe Nro. 88-80"/>
    <s v="Colaboración Vigilancia, meses de Octubre, Noviembre y Diciembre/2017"/>
    <s v="Vigilancia"/>
    <m/>
    <s v="00717"/>
    <s v="06 de diciembre de 2017"/>
    <d v="2017-12-01T00:00:00"/>
    <s v="120.000,00"/>
    <s v="Ciento Veinte Mil Bolívares con 00/100"/>
  </r>
  <r>
    <n v="718"/>
    <m/>
    <s v="ü"/>
    <d v="2017-12-06T00:00:00"/>
    <n v="100000"/>
    <x v="61"/>
    <x v="14"/>
    <s v="Calle Guacara Nro. 87-07"/>
    <s v="Colaboración Vigilancia, meses de Septiembre, Octubre, Noviembre y Diciembre/2017"/>
    <s v="Vigilancia"/>
    <m/>
    <s v="00718"/>
    <s v="06 de diciembre de 2017"/>
    <d v="2017-12-01T00:00:00"/>
    <s v="100.000,00"/>
    <s v="Cien Mil Bolívares con 00/100"/>
  </r>
  <r>
    <n v="719"/>
    <m/>
    <s v="ü"/>
    <d v="2017-12-07T00:00:00"/>
    <n v="115000"/>
    <x v="5"/>
    <x v="5"/>
    <s v="Calle Güigüe Nro. 88-120"/>
    <s v="Cancelación Vigilancia, saldo mes de Noviembre y meses de Diciembre/2017 y Enero/2018"/>
    <s v="Vigilancia"/>
    <m/>
    <s v="00719"/>
    <s v="07 de diciembre de 2017"/>
    <d v="2017-12-01T00:00:00"/>
    <s v="115.000,00"/>
    <s v="Ciento Quince Mil Bolívares con 00/100"/>
  </r>
  <r>
    <n v="720"/>
    <m/>
    <s v="ü"/>
    <d v="2017-12-07T00:00:00"/>
    <n v="50000"/>
    <x v="10"/>
    <x v="10"/>
    <s v="Av. &quot;M&quot; Nro. 146-15"/>
    <s v="Cancelación Vigilancia, mes de Noviembre/2017"/>
    <s v="Vigilancia"/>
    <m/>
    <s v="00720"/>
    <s v="07 de diciembre de 2017"/>
    <d v="2017-12-01T00:00:00"/>
    <s v="50.000,00"/>
    <s v="Cincuenta Mil Bolívares con 00/100"/>
  </r>
  <r>
    <n v="721"/>
    <m/>
    <s v="ü"/>
    <d v="2017-12-07T00:00:00"/>
    <n v="50000"/>
    <x v="1"/>
    <x v="1"/>
    <s v="Calle Güigüe Nro. 88-44"/>
    <s v="Cancelación Vigilancia, mes de Diciembre/2017"/>
    <s v="Vigilancia"/>
    <m/>
    <s v="00721"/>
    <s v="07 de diciembre de 2017"/>
    <d v="2017-12-01T00:00:00"/>
    <s v="50.000,00"/>
    <s v="Cincuenta Mil Bolívares con 00/100"/>
  </r>
  <r>
    <n v="722"/>
    <m/>
    <s v="ü"/>
    <d v="2017-12-08T00:00:00"/>
    <n v="54000"/>
    <x v="9"/>
    <x v="9"/>
    <s v="Av. &quot;M&quot; Nro. 146-30"/>
    <s v="Cancelación Vigilancia, mes de Diciembre/2017"/>
    <s v="Vigilancia"/>
    <m/>
    <s v="00722"/>
    <s v="08 de diciembre de 2017"/>
    <d v="2017-12-01T00:00:00"/>
    <s v="54.000,00"/>
    <s v="Cincuenta y Cuatro Mil Bolívares con 00/100"/>
  </r>
  <r>
    <n v="723"/>
    <m/>
    <s v="ü"/>
    <d v="2017-12-08T00:00:00"/>
    <n v="50000"/>
    <x v="20"/>
    <x v="18"/>
    <s v="Calle Guacara Nro. 89-30"/>
    <s v="Cancelación Vigilancia, mes de Diciembre/2017"/>
    <s v="Vigilancia"/>
    <m/>
    <s v="00723"/>
    <s v="08 de diciembre de 2017"/>
    <d v="2017-12-01T00:00:00"/>
    <s v="50.000,00"/>
    <s v="Cincuenta Mil Bolívares con 00/100"/>
  </r>
  <r>
    <n v="724"/>
    <m/>
    <s v="ü"/>
    <d v="2017-12-08T00:00:00"/>
    <n v="20000"/>
    <x v="67"/>
    <x v="2"/>
    <s v="Calle Guacara Nro. 90-93"/>
    <s v="Colaboración Vigilancia, mes de Diciembre/2017"/>
    <s v="Vigilancia"/>
    <m/>
    <s v="00724"/>
    <s v="08 de diciembre de 2017"/>
    <d v="2017-12-01T00:00:00"/>
    <s v="20.000,00"/>
    <s v="Veinte Mil Bolívares con 00/100"/>
  </r>
  <r>
    <n v="725"/>
    <m/>
    <s v="ü"/>
    <d v="2017-12-12T00:00:00"/>
    <n v="71000"/>
    <x v="73"/>
    <x v="9"/>
    <s v="Calle Güigüe Nros. 88-71 y 88-81"/>
    <s v="Cancelación Vigilancia, mes de Diciembre/2017"/>
    <s v="Vigilancia"/>
    <m/>
    <s v="00725"/>
    <s v="12 de diciembre de 2017"/>
    <d v="2017-12-01T00:00:00"/>
    <s v="71.000,00"/>
    <s v="Setenta y Un Mil Bolívares con 00/100"/>
  </r>
  <r>
    <n v="726"/>
    <m/>
    <s v="ü"/>
    <d v="2017-12-12T00:00:00"/>
    <n v="50000"/>
    <x v="18"/>
    <x v="16"/>
    <s v="Calle Guacara Nro. 87-100"/>
    <s v="Cancelación Vigilancia, mes de Diciembre/2017"/>
    <s v="Vigilancia"/>
    <m/>
    <s v="00726"/>
    <s v="12 de diciembre de 2017"/>
    <d v="2017-12-01T00:00:00"/>
    <s v="50.000,00"/>
    <s v="Cincuenta Mil Bolívares con 00/100"/>
  </r>
  <r>
    <n v="727"/>
    <m/>
    <s v="ü"/>
    <d v="2017-12-12T00:00:00"/>
    <n v="40000"/>
    <x v="35"/>
    <x v="32"/>
    <s v="Calle Güigüe Nro. 89-80"/>
    <s v="Colaboración Vigilancia, mes de Diciembre/2017"/>
    <s v="Vigilancia"/>
    <m/>
    <s v="00727"/>
    <s v="12 de diciembre de 2017"/>
    <d v="2017-12-01T00:00:00"/>
    <s v="40.000,00"/>
    <s v="Cuarenta Mil Bolívares con 00/100"/>
  </r>
  <r>
    <n v="728"/>
    <m/>
    <s v="ü"/>
    <d v="2017-12-13T00:00:00"/>
    <n v="50000"/>
    <x v="4"/>
    <x v="4"/>
    <s v="Calle Güigüe Nro. 89-55"/>
    <s v="Cancelación Vigilancia, mes de Diciembre/2017"/>
    <s v="Vigilancia"/>
    <m/>
    <s v="00728"/>
    <s v="13 de diciembre de 2017"/>
    <d v="2017-12-01T00:00:00"/>
    <s v="50.000,00"/>
    <s v="Cincuenta Mil Bolívares con 00/100"/>
  </r>
  <r>
    <n v="729"/>
    <m/>
    <s v="ü"/>
    <d v="2017-12-11T00:00:00"/>
    <n v="30000"/>
    <x v="63"/>
    <x v="56"/>
    <s v="Calle Guacara Nro. 88-85"/>
    <s v="Colaboración Vigilancia, mes de Octubre/2017"/>
    <s v="Vigilancia"/>
    <m/>
    <s v="00729"/>
    <s v="11 de diciembre de 2017"/>
    <d v="2017-12-01T00:00:00"/>
    <s v="30.000,00"/>
    <s v="Treinta Mil Bolívares con 00/100"/>
  </r>
  <r>
    <n v="730"/>
    <m/>
    <s v="ü"/>
    <d v="2017-12-11T00:00:00"/>
    <n v="40000"/>
    <x v="63"/>
    <x v="56"/>
    <s v="Calle Guacara Nro. 88-85"/>
    <s v="Colaboración Vigilancia, mes de Noviembre/2017"/>
    <s v="Vigilancia"/>
    <m/>
    <s v="00730"/>
    <s v="11 de diciembre de 2017"/>
    <d v="2017-12-01T00:00:00"/>
    <s v="40.000,00"/>
    <s v="Cuarenta Mil Bolívares con 00/100"/>
  </r>
  <r>
    <n v="731"/>
    <m/>
    <s v="ü"/>
    <d v="2017-12-10T00:00:00"/>
    <n v="85000"/>
    <x v="36"/>
    <x v="33"/>
    <s v="Calle Güigüe Nro. 89-10"/>
    <s v="Cancelación Vigilancia, meses de Octubre y Diciembre/2017"/>
    <s v="Vigilancia"/>
    <m/>
    <s v="00731"/>
    <s v="10 de diciembre de 2017"/>
    <d v="2017-12-01T00:00:00"/>
    <s v="85.000,00"/>
    <s v="Ochenta y Cinco Mil Bolívares con 00/100"/>
  </r>
  <r>
    <n v="732"/>
    <m/>
    <s v="ü"/>
    <d v="2017-12-13T00:00:00"/>
    <n v="50000"/>
    <x v="24"/>
    <x v="22"/>
    <s v="Calle Güigüe Nro. 88-54"/>
    <s v="Cancelación Vigilancia, mes de Diciembre/2017"/>
    <s v="Vigilancia"/>
    <m/>
    <s v="00732"/>
    <s v="13 de diciembre de 2017"/>
    <d v="2017-12-01T00:00:00"/>
    <s v="50.000,00"/>
    <s v="Cincuenta Mil Bolívares con 00/100"/>
  </r>
  <r>
    <n v="733"/>
    <m/>
    <s v="ü"/>
    <d v="2017-12-15T00:00:00"/>
    <n v="100000"/>
    <x v="38"/>
    <x v="35"/>
    <s v="Calle Guacara Nro. 89-78"/>
    <s v="Cancelación Vigilancia, meses de Noviembre y Diciembre/2017"/>
    <s v="Vigilancia"/>
    <m/>
    <s v="00733"/>
    <s v="15 de diciembre de 2017"/>
    <d v="2017-12-01T00:00:00"/>
    <s v="100.000,00"/>
    <s v="Cien Mil Bolívares con 00/100"/>
  </r>
  <r>
    <n v="734"/>
    <m/>
    <s v="ü"/>
    <d v="2017-10-11T00:00:00"/>
    <n v="35000"/>
    <x v="39"/>
    <x v="36"/>
    <s v="Calle Güigüe Nro. 88-111"/>
    <s v="Cancelación Vigilancia, mes de Agosto/2017"/>
    <s v="Vigilancia"/>
    <m/>
    <s v="00734"/>
    <s v="11 de octubre de 2017"/>
    <d v="2017-10-01T00:00:00"/>
    <s v="35.000,00"/>
    <s v="Treinta y Cinco Mil Bolívares con 00/100"/>
  </r>
  <r>
    <n v="735"/>
    <m/>
    <s v="ü"/>
    <d v="2017-07-07T00:00:00"/>
    <n v="3000"/>
    <x v="28"/>
    <x v="26"/>
    <s v="Calle Güigüe Nro. 88-30"/>
    <s v="Colaboración Vigilancia, mes de Junio/2017"/>
    <s v="Vigilancia"/>
    <m/>
    <s v="00735"/>
    <s v="07 de julio de 2017"/>
    <d v="2017-07-01T00:00:00"/>
    <s v="3.000,00"/>
    <s v="Tres Mil Bolívares con 00/100"/>
  </r>
  <r>
    <n v="736"/>
    <m/>
    <s v="ü"/>
    <d v="2017-12-17T00:00:00"/>
    <n v="50000"/>
    <x v="23"/>
    <x v="21"/>
    <s v="Calle Güigüe Nro. 88-116"/>
    <s v="Cancelación Vigilancia, mes de Diciembre/2017"/>
    <s v="Vigilancia"/>
    <m/>
    <s v="00736"/>
    <s v="17 de diciembre de 2017"/>
    <d v="2017-12-01T00:00:00"/>
    <s v="50.000,00"/>
    <s v="Cincuenta Mil Bolívares con 00/100"/>
  </r>
  <r>
    <n v="737"/>
    <m/>
    <s v="ü"/>
    <d v="2017-12-18T00:00:00"/>
    <n v="50000"/>
    <x v="86"/>
    <x v="73"/>
    <s v="Calle Guacara Nro. 89-50"/>
    <s v="Cancelación Vigilancia, mes de Diciembre/2017"/>
    <s v="Vigilancia"/>
    <m/>
    <s v="00737"/>
    <s v="18 de diciembre de 2017"/>
    <d v="2017-12-01T00:00:00"/>
    <s v="50.000,00"/>
    <s v="Cincuenta Mil Bolívares con 00/100"/>
  </r>
  <r>
    <n v="738"/>
    <m/>
    <s v="ü"/>
    <d v="2017-12-19T00:00:00"/>
    <n v="60000"/>
    <x v="71"/>
    <x v="62"/>
    <s v="Calle Güigüe Nro. 89-71"/>
    <s v="Colaboración Vigilancia, meses de Octubre, Noviembre y Diciembre/2017"/>
    <s v="Vigilancia"/>
    <m/>
    <s v="00738"/>
    <s v="19 de diciembre de 2017"/>
    <d v="2017-12-01T00:00:00"/>
    <s v="60.000,00"/>
    <s v="Sesenta Mil Bolívares con 00/100"/>
  </r>
  <r>
    <n v="739"/>
    <m/>
    <s v="ü"/>
    <d v="2017-12-20T00:00:00"/>
    <n v="135000"/>
    <x v="21"/>
    <x v="19"/>
    <s v="Calle Güigüe Nro. 89-105"/>
    <s v="Cancelación Vigilancia, meses de Octubre, Noviembre y Diciembre/2017"/>
    <s v="Vigilancia"/>
    <m/>
    <s v="00739"/>
    <s v="20 de diciembre de 2017"/>
    <d v="2017-12-01T00:00:00"/>
    <s v="135.000,00"/>
    <s v="Ciento Treinta y Cinco Mil Bolívares con 00/100"/>
  </r>
  <r>
    <n v="740"/>
    <m/>
    <s v="ü"/>
    <d v="2017-12-20T00:00:00"/>
    <n v="40000"/>
    <x v="63"/>
    <x v="56"/>
    <s v="Calle Guacara Nro. 88-85"/>
    <s v="Colaboración Vigilancia, mes de Diciembre/2017"/>
    <s v="Vigilancia"/>
    <m/>
    <s v="00740"/>
    <s v="20 de diciembre de 2017"/>
    <d v="2017-12-01T00:00:00"/>
    <s v="40.000,00"/>
    <s v="Cuarenta Mil Bolívares con 00/100"/>
  </r>
  <r>
    <n v="741"/>
    <m/>
    <s v="ü"/>
    <d v="2017-12-20T00:00:00"/>
    <n v="25000"/>
    <x v="52"/>
    <x v="49"/>
    <s v="Calle Güigüe Nro. 89-45"/>
    <s v="Cancelación Vigilancia, saldo mes de Diciembre/2017"/>
    <s v="Vigilancia"/>
    <m/>
    <s v="00741"/>
    <s v="20 de diciembre de 2017"/>
    <d v="2017-12-01T00:00:00"/>
    <s v="25.000,00"/>
    <s v="Veinticinco Mil Bolívares con 00/100"/>
  </r>
  <r>
    <n v="742"/>
    <m/>
    <s v="ü"/>
    <d v="2017-12-22T00:00:00"/>
    <n v="17000"/>
    <x v="68"/>
    <x v="60"/>
    <s v="Calle Güigüe Nro. 89-29"/>
    <s v="Colaboración Vigilancia, mes de Diciembre/2017"/>
    <s v="Vigilancia"/>
    <m/>
    <s v="00742"/>
    <s v="22 de diciembre de 2017"/>
    <d v="2017-12-01T00:00:00"/>
    <s v="17.000,00"/>
    <s v="Diecisiete Mil Bolívares con 00/100"/>
  </r>
  <r>
    <n v="743"/>
    <m/>
    <s v="ü"/>
    <d v="2017-12-22T00:00:00"/>
    <n v="15000"/>
    <x v="22"/>
    <x v="20"/>
    <s v="Calle Guacara Nro. 88-25"/>
    <s v="Colaboración Vigilancia, mes de Noviembre/2017"/>
    <s v="Vigilancia"/>
    <m/>
    <s v="00743"/>
    <s v="22 de diciembre de 2017"/>
    <d v="2017-12-01T00:00:00"/>
    <s v="15.000,00"/>
    <s v="Quince Mil Bolívares con 00/100"/>
  </r>
  <r>
    <n v="744"/>
    <m/>
    <s v="ü"/>
    <d v="2017-12-23T00:00:00"/>
    <n v="100000"/>
    <x v="54"/>
    <x v="50"/>
    <s v="Calle Güigüe Nro. 89-21"/>
    <s v="Cancelación Vigilancia, meses de Diciembre/2017 y Enero/2018"/>
    <s v="Vigilancia"/>
    <m/>
    <s v="00744"/>
    <s v="23 de diciembre de 2017"/>
    <d v="2017-12-01T00:00:00"/>
    <s v="100.000,00"/>
    <s v="Cien Mil Bolívares con 00/100"/>
  </r>
  <r>
    <n v="745"/>
    <m/>
    <s v="ü"/>
    <d v="2017-12-26T00:00:00"/>
    <n v="100000"/>
    <x v="34"/>
    <x v="9"/>
    <s v="Av. &quot;O&quot; Nro. 146-11"/>
    <s v="Cancelación Vigilancia, ajuste mes de Noviembre, cancelación mes de Diciembre/2017 y anticipo mes de Enero/2018"/>
    <s v="Vigilancia"/>
    <m/>
    <s v="00745"/>
    <s v="26 de diciembre de 2017"/>
    <d v="2017-12-01T00:00:00"/>
    <s v="100.000,00"/>
    <s v="Cien Mil Bolívares con 00/100"/>
  </r>
  <r>
    <n v="746"/>
    <m/>
    <s v="ü"/>
    <d v="2017-12-26T00:00:00"/>
    <n v="50000"/>
    <x v="19"/>
    <x v="17"/>
    <s v="Calle Guacara Nro. 89-130"/>
    <s v="Cancelación Vigilancia, mes de Diciembre/2017"/>
    <s v="Vigilancia"/>
    <m/>
    <s v="00746"/>
    <s v="26 de diciembre de 2017"/>
    <d v="2017-12-01T00:00:00"/>
    <s v="50.000,00"/>
    <s v="Cincuenta Mil Bolívares con 00/100"/>
  </r>
  <r>
    <n v="747"/>
    <m/>
    <s v="ü"/>
    <d v="2017-12-23T00:00:00"/>
    <n v="50000"/>
    <x v="40"/>
    <x v="37"/>
    <s v="Calle Güigüe Nro. 88-101"/>
    <s v="Cancelación Vigilancia, mes de Diciembre/2017"/>
    <s v="Vigilancia"/>
    <m/>
    <s v="00747"/>
    <s v="23 de diciembre de 2017"/>
    <d v="2017-12-01T00:00:00"/>
    <s v="50.000,00"/>
    <s v="Cincuenta Mil Bolívares con 00/100"/>
  </r>
  <r>
    <n v="748"/>
    <m/>
    <s v="ü"/>
    <d v="2017-12-26T00:00:00"/>
    <n v="20000"/>
    <x v="74"/>
    <x v="64"/>
    <s v="Calle Güigüe Nro. 88-20"/>
    <s v="Colaboración Vigilancia, meses de Noviembre y Diciembre/2017"/>
    <s v="Vigilancia"/>
    <m/>
    <s v="00748"/>
    <s v="26 de diciembre de 2017"/>
    <d v="2017-12-01T00:00:00"/>
    <s v="20.000,00"/>
    <s v="Veinte Mil Bolívares con 00/100"/>
  </r>
  <r>
    <n v="749"/>
    <m/>
    <s v="ü"/>
    <d v="2017-12-26T00:00:00"/>
    <n v="50000"/>
    <x v="84"/>
    <x v="71"/>
    <s v="Calle Güigüe Nro. 89-54"/>
    <s v="Cancelación Vigilancia, mes de Enero/2018"/>
    <s v="Vigilancia"/>
    <m/>
    <s v="00749"/>
    <s v="26 de diciembre de 2017"/>
    <d v="2017-12-01T00:00:00"/>
    <s v="50.000,00"/>
    <s v="Cincuenta Mil Bolívares con 00/100"/>
  </r>
  <r>
    <n v="750"/>
    <m/>
    <s v="ü"/>
    <d v="2017-12-27T00:00:00"/>
    <n v="25000"/>
    <x v="57"/>
    <x v="9"/>
    <s v="Calle Güigüe Nro. 88-40"/>
    <s v="Colaboración Vigilancia, mes de Noviembre/2017"/>
    <s v="Vigilancia"/>
    <m/>
    <s v="00750"/>
    <s v="27 de diciembre de 2017"/>
    <d v="2017-12-01T00:00:00"/>
    <s v="25.000,00"/>
    <s v="Veinticinco Mil Bolívares con 00/100"/>
  </r>
  <r>
    <n v="751"/>
    <m/>
    <s v="ü"/>
    <d v="2017-12-29T00:00:00"/>
    <n v="100000"/>
    <x v="46"/>
    <x v="43"/>
    <s v="Av. &quot;I&quot; Nro. 146-20"/>
    <s v="Cancelación Vigilancia, meses de Noviembre y Diciembre/2017"/>
    <s v="Vigilancia"/>
    <m/>
    <s v="00751"/>
    <s v="29 de diciembre de 2017"/>
    <d v="2017-12-01T00:00:00"/>
    <s v="100.000,00"/>
    <s v="Cien Mil Bolívares con 00/100"/>
  </r>
  <r>
    <n v="752"/>
    <m/>
    <s v="ü"/>
    <d v="2018-01-02T00:00:00"/>
    <n v="30000"/>
    <x v="15"/>
    <x v="14"/>
    <s v="Calle Guacara Nro. 89-94"/>
    <s v="Colaboración Vigilancia, mes de Enero/2018"/>
    <s v="Vigilancia"/>
    <m/>
    <s v="00752"/>
    <s v="02 de enero de 2018"/>
    <d v="2018-01-01T00:00:00"/>
    <s v="30.000,00"/>
    <s v="Treinta Mil Bolívares con 00/100"/>
  </r>
  <r>
    <n v="753"/>
    <m/>
    <s v="ü"/>
    <d v="2018-01-02T00:00:00"/>
    <n v="30000"/>
    <x v="2"/>
    <x v="2"/>
    <s v="Calle Guacara Nro. 88-19"/>
    <s v="Colaboración Vigilancia, mes de Diciembre/2017"/>
    <s v="Vigilancia"/>
    <m/>
    <s v="00753"/>
    <s v="02 de enero de 2018"/>
    <d v="2018-01-01T00:00:00"/>
    <s v="30.000,00"/>
    <s v="Treinta Mil Bolívares con 00/100"/>
  </r>
  <r>
    <n v="754"/>
    <m/>
    <s v="ü"/>
    <d v="2018-01-04T00:00:00"/>
    <n v="45000"/>
    <x v="22"/>
    <x v="20"/>
    <s v="Calle Guacara Nro. 88-25"/>
    <s v="Colaboración Vigilancia, mes de Diciembre/2017"/>
    <s v="Vigilancia"/>
    <m/>
    <s v="00754"/>
    <s v="04 de enero de 2018"/>
    <d v="2018-01-01T00:00:00"/>
    <s v="45.000,00"/>
    <s v="Cuarenta y Cinco Mil Bolívares con 00/100"/>
  </r>
  <r>
    <n v="755"/>
    <m/>
    <s v="ü"/>
    <d v="2017-12-29T00:00:00"/>
    <n v="50000"/>
    <x v="6"/>
    <x v="6"/>
    <s v="Calle Guacara Nro. 89-60"/>
    <s v="Anticipo Vigilancia, mes de Enero/2018"/>
    <s v="Vigilancia"/>
    <m/>
    <s v="00755"/>
    <s v="29 de diciembre de 2017"/>
    <d v="2017-12-01T00:00:00"/>
    <s v="50.000,00"/>
    <s v="Cincuenta Mil Bolívares con 00/100"/>
  </r>
  <r>
    <n v="756"/>
    <m/>
    <s v="ü"/>
    <d v="2018-01-07T00:00:00"/>
    <n v="50000"/>
    <x v="12"/>
    <x v="12"/>
    <s v="Calle Guacara Nro. 89-20"/>
    <s v="Anticipo Vigilancia, mes de Enero/2018"/>
    <s v="Vigilancia"/>
    <m/>
    <s v="00756"/>
    <s v="07 de enero de 2018"/>
    <d v="2018-01-01T00:00:00"/>
    <s v="50.000,00"/>
    <s v="Cincuenta Mil Bolívares con 00/100"/>
  </r>
  <r>
    <n v="757"/>
    <m/>
    <s v="ü"/>
    <d v="2018-01-10T00:00:00"/>
    <n v="50000"/>
    <x v="42"/>
    <x v="39"/>
    <s v="Calle Güigüe Nro. 89-79"/>
    <s v="Cancelación Vigilancia, mes de Diciembre/2017"/>
    <s v="Vigilancia"/>
    <m/>
    <s v="00757"/>
    <s v="10 de enero de 2018"/>
    <d v="2018-01-01T00:00:00"/>
    <s v="50.000,00"/>
    <s v="Cincuenta Mil Bolívares con 00/100"/>
  </r>
  <r>
    <n v="758"/>
    <m/>
    <s v="ü"/>
    <d v="2018-01-10T00:00:00"/>
    <n v="30000"/>
    <x v="12"/>
    <x v="12"/>
    <s v="Calle Guacara Nro. 89-20"/>
    <s v="Cancelación saldo Vigilancia, mes de Enero/2018"/>
    <s v="Vigilancia"/>
    <m/>
    <s v="00758"/>
    <s v="10 de enero de 2018"/>
    <d v="2018-01-01T00:00:00"/>
    <s v="30.000,00"/>
    <s v="Treinta Mil Bolívares con 00/100"/>
  </r>
  <r>
    <n v="759"/>
    <m/>
    <s v="ü"/>
    <d v="2018-01-10T00:00:00"/>
    <n v="30000"/>
    <x v="84"/>
    <x v="71"/>
    <s v="Calle Güigüe Nro. 89-54"/>
    <s v="Cancelación saldo Vigilancia, mes de Enero/2018"/>
    <s v="Vigilancia"/>
    <m/>
    <s v="00759"/>
    <s v="10 de enero de 2018"/>
    <d v="2018-01-01T00:00:00"/>
    <s v="30.000,00"/>
    <s v="Treinta Mil Bolívares con 00/100"/>
  </r>
  <r>
    <n v="760"/>
    <m/>
    <s v="ü"/>
    <d v="2018-01-10T00:00:00"/>
    <n v="80000"/>
    <x v="0"/>
    <x v="0"/>
    <s v="Calle Guacara Nro. 88-45"/>
    <s v="Cancelación Vigilancia, mes de Enero/2018 (saldo a favor: Bs. 880.000)"/>
    <s v="Vigilancia"/>
    <m/>
    <s v="00760"/>
    <s v="10 de enero de 2018"/>
    <d v="2018-01-01T00:00:00"/>
    <s v="80.000,00"/>
    <s v="Ochenta Mil Bolívares con 00/100"/>
  </r>
  <r>
    <n v="761"/>
    <m/>
    <s v="ü"/>
    <d v="2018-01-10T00:00:00"/>
    <n v="50000"/>
    <x v="65"/>
    <x v="58"/>
    <s v="Calle Güigüe Nro. 88-10"/>
    <s v="Cancelación Vigilancia, mes de Diciembre/2017"/>
    <s v="Vigilancia"/>
    <m/>
    <s v="00761"/>
    <s v="10 de enero de 2018"/>
    <d v="2018-01-01T00:00:00"/>
    <s v="50.000,00"/>
    <s v="Cincuenta Mil Bolívares con 00/100"/>
  </r>
  <r>
    <n v="762"/>
    <m/>
    <s v="ü"/>
    <d v="2018-01-10T00:00:00"/>
    <n v="130000"/>
    <x v="29"/>
    <x v="27"/>
    <s v="Calle Guacara Nro. 88-75"/>
    <s v="Cancelación Vigilancia, meses de Diciembre/2017 y Enero/2018"/>
    <s v="Vigilancia"/>
    <m/>
    <s v="00762"/>
    <s v="10 de enero de 2018"/>
    <d v="2018-01-01T00:00:00"/>
    <s v="130.000,00"/>
    <s v="Ciento Treinta Mil Bolívares con 00/100"/>
  </r>
  <r>
    <n v="763"/>
    <m/>
    <s v="ü"/>
    <d v="2018-01-10T00:00:00"/>
    <n v="80000"/>
    <x v="20"/>
    <x v="18"/>
    <s v="Calle Guacara Nro. 89-30"/>
    <s v="Cancelación Vigilancia, mes de Enero/2018"/>
    <s v="Vigilancia"/>
    <m/>
    <s v="00763"/>
    <s v="10 de enero de 2018"/>
    <d v="2018-01-01T00:00:00"/>
    <s v="80.000,00"/>
    <s v="Ochenta Mil Bolívares con 00/100"/>
  </r>
  <r>
    <n v="764"/>
    <m/>
    <s v="ü"/>
    <d v="2018-01-10T00:00:00"/>
    <n v="70000"/>
    <x v="37"/>
    <x v="34"/>
    <s v="Av. &quot;I&quot; Nro. 146-40"/>
    <s v="Cancelación Vigilancia, mes de Noviembre y anticipo mes de Diciembre/2017 (Bs. 21.000)"/>
    <s v="Vigilancia"/>
    <m/>
    <s v="00764"/>
    <s v="10 de enero de 2018"/>
    <d v="2018-01-01T00:00:00"/>
    <s v="70.000,00"/>
    <s v="Setenta Mil Bolívares con 00/100"/>
  </r>
  <r>
    <n v="765"/>
    <m/>
    <s v="ü"/>
    <d v="2018-01-11T00:00:00"/>
    <n v="160000"/>
    <x v="60"/>
    <x v="54"/>
    <s v="Calle Guacara Nro. 88-51"/>
    <s v="Cancelación Vigilancia, saldo mes de Enero, y Anticipo Vigilancia meses de Febrero/2018 (Bs. 80.000) y Febrero/2018 (Bs. 5.850)"/>
    <s v="Vigilancia"/>
    <m/>
    <s v="00765"/>
    <s v="11 de enero de 2018"/>
    <d v="2018-01-01T00:00:00"/>
    <s v="160.000,00"/>
    <s v="Ciento Sesenta Mil Bolívares con 00/100"/>
  </r>
  <r>
    <n v="766"/>
    <m/>
    <s v="ü"/>
    <d v="2018-01-11T00:00:00"/>
    <n v="80000"/>
    <x v="30"/>
    <x v="28"/>
    <s v="Calle Güigüe Nro. 89-04"/>
    <s v="Cancelación Vigilancia, mes de Enero/2018"/>
    <s v="Vigilancia"/>
    <m/>
    <s v="00766"/>
    <s v="11 de enero de 2018"/>
    <d v="2018-01-01T00:00:00"/>
    <s v="80.000,00"/>
    <s v="Ochenta Mil Bolívares con 00/100"/>
  </r>
  <r>
    <n v="767"/>
    <m/>
    <s v="ü"/>
    <d v="2018-01-11T00:00:00"/>
    <n v="80000"/>
    <x v="17"/>
    <x v="74"/>
    <s v="Av. &quot;M&quot; Nro. 146-20"/>
    <s v="Cancelación Vigilancia, mes de Enero/2018"/>
    <s v="Vigilancia"/>
    <m/>
    <s v="00767"/>
    <s v="11 de enero de 2018"/>
    <d v="2018-01-01T00:00:00"/>
    <s v="80.000,00"/>
    <s v="Ochenta Mil Bolívares con 00/100"/>
  </r>
  <r>
    <n v="768"/>
    <m/>
    <s v="ü"/>
    <d v="2018-01-11T00:00:00"/>
    <n v="100000"/>
    <x v="43"/>
    <x v="40"/>
    <s v="Calle Güigüe Nro. 88-50"/>
    <s v="Cancelación Vigilancia, meses de Noviembre y Diciembre/2017"/>
    <s v="Vigilancia"/>
    <m/>
    <s v="00768"/>
    <s v="11 de enero de 2018"/>
    <d v="2018-01-01T00:00:00"/>
    <s v="100.000,00"/>
    <s v="Cien Mil Bolívares con 00/100"/>
  </r>
  <r>
    <n v="769"/>
    <m/>
    <s v="ü"/>
    <d v="2018-01-11T00:00:00"/>
    <n v="80000"/>
    <x v="65"/>
    <x v="58"/>
    <s v="Calle Güigüe Nro. 88-10"/>
    <s v="Cancelación Vigilancia, mes de Enero/2018"/>
    <s v="Vigilancia"/>
    <m/>
    <s v="00769"/>
    <s v="11 de enero de 2018"/>
    <d v="2018-01-01T00:00:00"/>
    <s v="80.000,00"/>
    <s v="Ochenta Mil Bolívares con 00/100"/>
  </r>
  <r>
    <n v="770"/>
    <m/>
    <s v="ü"/>
    <d v="2018-01-11T00:00:00"/>
    <n v="80000"/>
    <x v="45"/>
    <x v="42"/>
    <s v="Calle Güigüe Nro. 87-A-11"/>
    <s v="Cancelación Vigilancia, mes de Enero/2018"/>
    <s v="Vigilancia"/>
    <m/>
    <s v="00770"/>
    <s v="11 de enero de 2018"/>
    <d v="2018-01-01T00:00:00"/>
    <s v="80.000,00"/>
    <s v="Ochenta Mil Bolívares con 00/100"/>
  </r>
  <r>
    <n v="771"/>
    <m/>
    <s v="ü"/>
    <d v="2018-01-11T00:00:00"/>
    <n v="80000"/>
    <x v="1"/>
    <x v="1"/>
    <s v="Calle Güigüe Nro. 88-44"/>
    <s v="Cancelación Vigilancia, mes de Enero/2018"/>
    <s v="Vigilancia"/>
    <m/>
    <s v="00771"/>
    <s v="11 de enero de 2018"/>
    <d v="2018-01-01T00:00:00"/>
    <s v="80.000,00"/>
    <s v="Ochenta Mil Bolívares con 00/100"/>
  </r>
  <r>
    <n v="772"/>
    <m/>
    <s v="ü"/>
    <d v="2018-01-12T00:00:00"/>
    <n v="160000"/>
    <x v="11"/>
    <x v="11"/>
    <s v="Calle Guacara Nro. 89-86"/>
    <s v="Cancelación Vigilancia, meses de Enero y Febrero/2018"/>
    <s v="Vigilancia"/>
    <m/>
    <s v="00772"/>
    <s v="12 de enero de 2018"/>
    <d v="2018-01-01T00:00:00"/>
    <s v="160.000,00"/>
    <s v="Ciento Sesenta Mil Bolívares con 00/100"/>
  </r>
  <r>
    <n v="773"/>
    <m/>
    <s v="ü"/>
    <d v="2018-01-13T00:00:00"/>
    <n v="80000"/>
    <x v="19"/>
    <x v="17"/>
    <s v="Calle Guacara Nro. 89-130"/>
    <s v="Cancelación Vigilancia, mes de Enero/2018"/>
    <s v="Vigilancia"/>
    <m/>
    <s v="00773"/>
    <s v="13 de enero de 2018"/>
    <d v="2018-01-01T00:00:00"/>
    <s v="80.000,00"/>
    <s v="Ochenta Mil Bolívares con 00/100"/>
  </r>
  <r>
    <n v="774"/>
    <m/>
    <s v="ü"/>
    <d v="2018-01-14T00:00:00"/>
    <n v="100000"/>
    <x v="86"/>
    <x v="73"/>
    <s v="Calle Guacara Nro. 89-50"/>
    <s v="Colaboración Vigilancia, meses de Enero y Febrero/2018"/>
    <s v="Vigilancia"/>
    <m/>
    <s v="00774"/>
    <s v="14 de enero de 2018"/>
    <d v="2018-01-01T00:00:00"/>
    <s v="100.000,00"/>
    <s v="Cien Mil Bolívares con 00/100"/>
  </r>
  <r>
    <n v="775"/>
    <m/>
    <s v="ü"/>
    <d v="2018-01-16T00:00:00"/>
    <n v="40000"/>
    <x v="25"/>
    <x v="23"/>
    <s v="Calle Güigüe Nro. 88-58"/>
    <s v="Colaboración Vigilancia, mes de Enero/2018"/>
    <s v="Vigilancia"/>
    <m/>
    <s v="00775"/>
    <s v="16 de enero de 2018"/>
    <d v="2018-01-01T00:00:00"/>
    <s v="40.000,00"/>
    <s v="Cuarenta Mil Bolívares con 00/100"/>
  </r>
  <r>
    <n v="776"/>
    <m/>
    <s v="ü"/>
    <d v="2018-01-17T00:00:00"/>
    <n v="80000"/>
    <x v="23"/>
    <x v="21"/>
    <s v="Calle Güigüe Nro. 88-116"/>
    <s v="Cancelación Vigilancia, mes de Enero/2018"/>
    <s v="Vigilancia"/>
    <m/>
    <s v="00776"/>
    <s v="17 de enero de 2018"/>
    <d v="2018-01-01T00:00:00"/>
    <s v="80.000,00"/>
    <s v="Ochenta Mil Bolívares con 00/100"/>
  </r>
  <r>
    <n v="777"/>
    <m/>
    <s v="ü"/>
    <d v="2018-01-18T00:00:00"/>
    <n v="80000"/>
    <x v="42"/>
    <x v="39"/>
    <s v="Calle Güigüe Nro. 89-79"/>
    <s v="Cancelación Vigilancia, mes de Enero/2018"/>
    <s v="Vigilancia"/>
    <m/>
    <s v="00777"/>
    <s v="18 de enero de 2018"/>
    <d v="2018-01-01T00:00:00"/>
    <s v="80.000,00"/>
    <s v="Ochenta Mil Bolívares con 00/100"/>
  </r>
  <r>
    <n v="778"/>
    <m/>
    <s v="ü"/>
    <d v="2018-01-18T00:00:00"/>
    <n v="40000"/>
    <x v="68"/>
    <x v="60"/>
    <s v="Calle Güigüe Nro. 89-29"/>
    <s v="Colaboración Vigilancia, mes de Enero/2018"/>
    <s v="Vigilancia"/>
    <m/>
    <s v="00778"/>
    <s v="18 de enero de 2018"/>
    <d v="2018-01-01T00:00:00"/>
    <s v="40.000,00"/>
    <s v="Cuarenta Mil Bolívares con 00/100"/>
  </r>
  <r>
    <n v="779"/>
    <m/>
    <s v="ü"/>
    <d v="2018-01-18T00:00:00"/>
    <n v="80000"/>
    <x v="4"/>
    <x v="4"/>
    <s v="Calle Güigüe Nro. 89-55"/>
    <s v="Cancelación Vigilancia, mes de Enero/2018"/>
    <s v="Vigilancia"/>
    <m/>
    <s v="00779"/>
    <s v="18 de enero de 2018"/>
    <d v="2018-01-01T00:00:00"/>
    <s v="80.000,00"/>
    <s v="Ochenta Mil Bolívares con 00/100"/>
  </r>
  <r>
    <n v="780"/>
    <m/>
    <s v="ü"/>
    <d v="2018-01-18T00:00:00"/>
    <n v="100000"/>
    <x v="52"/>
    <x v="9"/>
    <s v="Calle Güigüe Nro. 89-45"/>
    <s v="Cancelación Vigilancia, mes de Enero y anticipo mes de Febrero/2018"/>
    <s v="Vigilancia"/>
    <m/>
    <s v="00780"/>
    <s v="18 de enero de 2018"/>
    <d v="2018-01-01T00:00:00"/>
    <s v="100.000,00"/>
    <s v="Cien Mil Bolívares con 00/100"/>
  </r>
  <r>
    <n v="781"/>
    <m/>
    <s v="ü"/>
    <d v="2018-01-18T00:00:00"/>
    <n v="80000"/>
    <x v="35"/>
    <x v="32"/>
    <s v="Calle Güigüe Nro. 89-80"/>
    <s v="Cancelación Vigilancia, mes de Enero/2018"/>
    <s v="Vigilancia"/>
    <m/>
    <s v="00781"/>
    <s v="18 de enero de 2018"/>
    <d v="2018-01-01T00:00:00"/>
    <s v="80.000,00"/>
    <s v="Ochenta Mil Bolívares con 00/100"/>
  </r>
  <r>
    <n v="782"/>
    <m/>
    <s v="ü"/>
    <d v="2018-01-18T00:00:00"/>
    <n v="80000"/>
    <x v="75"/>
    <x v="65"/>
    <s v="Av. &quot;Ñ&quot; Nro. 145-25"/>
    <s v="Cancelación Vigilancia, mes de Enero/2018 (saldo a favor: Bs. 945.000)"/>
    <s v="Vigilancia"/>
    <m/>
    <s v="00782"/>
    <s v="18 de enero de 2018"/>
    <d v="2018-01-01T00:00:00"/>
    <s v="80.000,00"/>
    <s v="Ochenta Mil Bolívares con 00/100"/>
  </r>
  <r>
    <n v="783"/>
    <m/>
    <s v="ü"/>
    <d v="2018-01-18T00:00:00"/>
    <n v="35000"/>
    <x v="7"/>
    <x v="7"/>
    <s v="Calle Guacara Nro. 87-86"/>
    <s v="Colaboración Vigilancia, mes de Enero/2018"/>
    <s v="Vigilancia"/>
    <m/>
    <s v="00783"/>
    <s v="18 de enero de 2018"/>
    <d v="2018-01-01T00:00:00"/>
    <s v="35.000,00"/>
    <s v="Treinta y Cinco Mil Bolívares con 00/100"/>
  </r>
  <r>
    <n v="784"/>
    <m/>
    <s v="ü"/>
    <d v="2018-01-18T00:00:00"/>
    <n v="80000"/>
    <x v="38"/>
    <x v="35"/>
    <s v="Calle Guacara Nro. 89-78"/>
    <s v="Cancelación Vigilancia, mes de Enero/2018"/>
    <s v="Vigilancia"/>
    <m/>
    <s v="00784"/>
    <s v="18 de enero de 2018"/>
    <d v="2018-01-01T00:00:00"/>
    <s v="80.000,00"/>
    <s v="Ochenta Mil Bolívares con 00/100"/>
  </r>
  <r>
    <n v="785"/>
    <m/>
    <s v="ü"/>
    <d v="2018-01-18T00:00:00"/>
    <n v="80000"/>
    <x v="16"/>
    <x v="15"/>
    <s v="Calle Guacara Nro. 90-81"/>
    <s v="Cancelación Vigilancia, mes de Enero/2018"/>
    <s v="Vigilancia"/>
    <m/>
    <s v="00785"/>
    <s v="18 de enero de 2018"/>
    <d v="2018-01-01T00:00:00"/>
    <s v="80.000,00"/>
    <s v="Ochenta Mil Bolívares con 00/100"/>
  </r>
  <r>
    <n v="786"/>
    <m/>
    <s v="ü"/>
    <d v="2018-01-19T00:00:00"/>
    <n v="80000"/>
    <x v="43"/>
    <x v="40"/>
    <s v="Calle Güigüe Nro. 88-50"/>
    <s v="Cancelación Vigilancia, mes de Enero/2018"/>
    <s v="Vigilancia"/>
    <m/>
    <s v="00786"/>
    <s v="19 de enero de 2018"/>
    <d v="2018-01-01T00:00:00"/>
    <s v="80.000,00"/>
    <s v="Ochenta Mil Bolívares con 00/100"/>
  </r>
  <r>
    <n v="787"/>
    <m/>
    <s v="ü"/>
    <d v="2018-01-19T00:00:00"/>
    <n v="280000"/>
    <x v="87"/>
    <x v="75"/>
    <s v="Calle Güigüe Nro. 88-06"/>
    <s v="Cancelación Vigilancia, meses de Octubre/2017 a Enero/2018 y anticipo Febrero/2018 (Bs. 65.000)"/>
    <s v="Vigilancia"/>
    <m/>
    <s v="00787"/>
    <s v="19 de enero de 2018"/>
    <d v="2018-01-01T00:00:00"/>
    <s v="280.000,00"/>
    <s v="Doscientos Ochenta Mil Bolívares con 00/100"/>
  </r>
  <r>
    <n v="788"/>
    <m/>
    <s v="ü"/>
    <d v="2018-01-19T00:00:00"/>
    <n v="40000"/>
    <x v="32"/>
    <x v="30"/>
    <s v="Calle Güigüe Nro. 89-120"/>
    <s v="Colaboración Vigilancia, mes de Enero/2018"/>
    <s v="Vigilancia"/>
    <m/>
    <s v="00788"/>
    <s v="19 de enero de 2018"/>
    <d v="2018-01-01T00:00:00"/>
    <s v="40.000,00"/>
    <s v="Cuarenta Mil Bolívares con 00/100"/>
  </r>
  <r>
    <n v="789"/>
    <m/>
    <s v="ü"/>
    <d v="2018-01-22T00:00:00"/>
    <n v="80000"/>
    <x v="84"/>
    <x v="71"/>
    <s v="Calle Güigüe Nro. 89-54"/>
    <s v="Cancelación Vigilancia, mes de Febrero/2018"/>
    <s v="Vigilancia"/>
    <m/>
    <s v="00789"/>
    <s v="22 de enero de 2018"/>
    <d v="2018-01-01T00:00:00"/>
    <s v="80.000,00"/>
    <s v="Ochenta Mil Bolívares con 00/100"/>
  </r>
  <r>
    <n v="790"/>
    <m/>
    <s v="ü"/>
    <d v="2018-01-22T00:00:00"/>
    <n v="80000"/>
    <x v="59"/>
    <x v="9"/>
    <s v="Calle Guacara Nro. 90-35"/>
    <s v="Cancelación Vigilancia, mes de Enero/2018"/>
    <s v="Vigilancia"/>
    <m/>
    <s v="00790"/>
    <s v="22 de enero de 2018"/>
    <d v="2018-01-01T00:00:00"/>
    <s v="80.000,00"/>
    <s v="Ochenta Mil Bolívares con 00/100"/>
  </r>
  <r>
    <n v="791"/>
    <m/>
    <s v="ü"/>
    <d v="2018-01-22T00:00:00"/>
    <n v="80000"/>
    <x v="81"/>
    <x v="69"/>
    <s v="Calle Güigüe Nro. 89-65"/>
    <s v="Cancelación Vigilancia, mes de Enero/2018"/>
    <s v="Vigilancia"/>
    <m/>
    <s v="00791"/>
    <s v="22 de enero de 2018"/>
    <d v="2018-01-01T00:00:00"/>
    <s v="80.000,00"/>
    <s v="Ochenta Mil Bolívares con 00/100"/>
  </r>
  <r>
    <n v="792"/>
    <m/>
    <s v="ü"/>
    <d v="2018-01-22T00:00:00"/>
    <n v="150000"/>
    <x v="6"/>
    <x v="6"/>
    <s v="Calle Guacara Nro. 89-60"/>
    <s v="Cancelación Vigilancia, saldo mes de Enero, Febrero/2018 y colaboración adicional"/>
    <s v="Vigilancia"/>
    <m/>
    <s v="00792"/>
    <s v="22 de enero de 2018"/>
    <d v="2018-01-01T00:00:00"/>
    <s v="150.000,00"/>
    <s v="Ciento Cincuenta Mil Bolívares con 00/100"/>
  </r>
  <r>
    <n v="793"/>
    <m/>
    <s v="ü"/>
    <d v="2018-01-15T00:00:00"/>
    <n v="50000"/>
    <x v="59"/>
    <x v="9"/>
    <s v="Calle Guacara Nro. 90-35"/>
    <s v="Cancelación Vigilancia, mes de Diciembre/2017"/>
    <s v="Vigilancia"/>
    <m/>
    <s v="00793"/>
    <s v="15 de enero de 2018"/>
    <d v="2018-01-01T00:00:00"/>
    <s v="50.000,00"/>
    <s v="Cincuenta Mil Bolívares con 00/100"/>
  </r>
  <r>
    <n v="794"/>
    <m/>
    <s v="ü"/>
    <d v="2018-01-23T00:00:00"/>
    <n v="86400"/>
    <x v="9"/>
    <x v="9"/>
    <s v="Av. &quot;M&quot; Nro. 146-30"/>
    <s v="Cancelación Vigilancia, mes de Enero/2018"/>
    <s v="Vigilancia"/>
    <m/>
    <s v="00794"/>
    <s v="23 de enero de 2018"/>
    <d v="2018-01-01T00:00:00"/>
    <s v="86.400,00"/>
    <s v="Ochenta y Seis Mil Cuatrocientos Bolívares con 00/100"/>
  </r>
  <r>
    <n v="795"/>
    <m/>
    <s v="ü"/>
    <d v="2018-01-23T00:00:00"/>
    <n v="80000"/>
    <x v="24"/>
    <x v="22"/>
    <s v="Calle Güigüe Nro. 88-54"/>
    <s v="Cancelación Vigilancia, mes de Enero/2018"/>
    <s v="Vigilancia"/>
    <m/>
    <s v="00795"/>
    <s v="23 de enero de 2018"/>
    <d v="2018-01-01T00:00:00"/>
    <s v="80.000,00"/>
    <s v="Ochenta Mil Bolívares con 00/100"/>
  </r>
  <r>
    <n v="796"/>
    <m/>
    <s v="ü"/>
    <d v="2018-01-24T00:00:00"/>
    <n v="50000"/>
    <x v="10"/>
    <x v="10"/>
    <s v="Av. &quot;M&quot; Nro. 146-15"/>
    <s v="Cancelación Vigilancia, mes de Diciembre/2017"/>
    <s v="Vigilancia"/>
    <m/>
    <s v="00796"/>
    <s v="24 de enero de 2018"/>
    <d v="2018-01-01T00:00:00"/>
    <s v="50.000,00"/>
    <s v="Cincuenta Mil Bolívares con 00/100"/>
  </r>
  <r>
    <n v="797"/>
    <m/>
    <s v="ü"/>
    <d v="2017-12-14T00:00:00"/>
    <n v="50000"/>
    <x v="49"/>
    <x v="46"/>
    <s v="Av. &quot;O&quot; Nro. 146-17"/>
    <s v="Cancelación Vigilancia, mes de Diciembre/2017"/>
    <s v="Vigilancia"/>
    <m/>
    <s v="00797"/>
    <s v="14 de diciembre de 2017"/>
    <d v="2017-12-01T00:00:00"/>
    <s v="50.000,00"/>
    <s v="Cincuenta Mil Bolívares con 00/100"/>
  </r>
  <r>
    <n v="798"/>
    <m/>
    <s v="ü"/>
    <d v="2018-01-23T00:00:00"/>
    <n v="80000"/>
    <x v="49"/>
    <x v="46"/>
    <s v="Av. &quot;O&quot; Nro. 146-17"/>
    <s v="Cancelación Vigilancia, mes de Enero/2018"/>
    <s v="Vigilancia"/>
    <m/>
    <s v="00798"/>
    <s v="23 de enero de 2018"/>
    <d v="2018-01-01T00:00:00"/>
    <s v="80.000,00"/>
    <s v="Ochenta Mil Bolívares con 00/100"/>
  </r>
  <r>
    <n v="799"/>
    <m/>
    <s v="ü"/>
    <d v="2018-01-24T00:00:00"/>
    <n v="130000"/>
    <x v="76"/>
    <x v="66"/>
    <s v="Calle Güigüe Nro. 89-90"/>
    <s v="Cancelación Vigilancia, meses de Diciembre/2017 y Enero/2018"/>
    <s v="Vigilancia"/>
    <m/>
    <s v="00799"/>
    <s v="24 de enero de 2018"/>
    <d v="2018-01-01T00:00:00"/>
    <s v="130.000,00"/>
    <s v="Ciento Treinta Mil Bolívares con 00/100"/>
  </r>
  <r>
    <n v="800"/>
    <m/>
    <s v="ü"/>
    <d v="2018-01-24T00:00:00"/>
    <n v="113600"/>
    <x v="73"/>
    <x v="9"/>
    <s v="Calle Güigüe Nros. 88-71 y 88-81"/>
    <s v="Cancelación Vigilancia, mes de Enero/2018"/>
    <s v="Vigilancia"/>
    <m/>
    <s v="00800"/>
    <s v="24 de enero de 2018"/>
    <d v="2018-01-01T00:00:00"/>
    <s v="113.600,00"/>
    <s v="Ciento Trece Mil Seiscientos Bolívares con 00/100"/>
  </r>
  <r>
    <n v="801"/>
    <m/>
    <s v="ü"/>
    <d v="2018-01-24T00:00:00"/>
    <n v="160000"/>
    <x v="18"/>
    <x v="16"/>
    <s v="Calle Guacara Nro. 87-100"/>
    <s v="Cancelación Vigilancia, meses de Enero y Febrero/2018"/>
    <s v="Vigilancia"/>
    <m/>
    <s v="00801"/>
    <s v="24 de enero de 2018"/>
    <d v="2018-01-01T00:00:00"/>
    <s v="160.000,00"/>
    <s v="Ciento Sesenta Mil Bolívares con 00/100"/>
  </r>
  <r>
    <n v="802"/>
    <m/>
    <s v="ü"/>
    <d v="2018-01-24T00:00:00"/>
    <n v="100000"/>
    <x v="48"/>
    <x v="9"/>
    <s v="Calle Güigüe Nro. 88-90"/>
    <s v="Cancelación Vigilancia, meses de Noviembre y Diciembre/2017"/>
    <s v="Vigilancia"/>
    <m/>
    <s v="00802"/>
    <s v="24 de enero de 2018"/>
    <d v="2018-01-01T00:00:00"/>
    <s v="100.000,00"/>
    <s v="Cien Mil Bolívares con 00/100"/>
  </r>
  <r>
    <n v="803"/>
    <m/>
    <s v="ü"/>
    <d v="2018-01-24T00:00:00"/>
    <n v="20000"/>
    <x v="67"/>
    <x v="2"/>
    <s v="Calle Guacara Nro. 90-93"/>
    <s v="Colaboración Vigilancia, mes de Enero/2018"/>
    <s v="Vigilancia"/>
    <m/>
    <s v="00803"/>
    <s v="24 de enero de 2018"/>
    <d v="2018-01-01T00:00:00"/>
    <s v="20.000,00"/>
    <s v="Veinte Mil Bolívares con 00/100"/>
  </r>
  <r>
    <n v="804"/>
    <m/>
    <s v="ü"/>
    <d v="2018-01-24T00:00:00"/>
    <n v="50000"/>
    <x v="2"/>
    <x v="2"/>
    <s v="Calle Guacara Nro. 88-19"/>
    <s v="Colaboración Vigilancia, mes de Enero/2018"/>
    <s v="Vigilancia"/>
    <m/>
    <s v="00804"/>
    <s v="24 de enero de 2018"/>
    <d v="2018-01-01T00:00:00"/>
    <s v="50.000,00"/>
    <s v="Cincuenta Mil Bolívares con 00/100"/>
  </r>
  <r>
    <n v="805"/>
    <m/>
    <s v="ü"/>
    <d v="2018-01-23T00:00:00"/>
    <n v="30000"/>
    <x v="14"/>
    <x v="13"/>
    <s v="Calle Güigüe Nro. 89-83"/>
    <s v="Cancelación saldo Vigilancia, mes de Enero/2018"/>
    <s v="Vigilancia"/>
    <m/>
    <s v="00805"/>
    <s v="23 de enero de 2018"/>
    <d v="2018-01-01T00:00:00"/>
    <s v="30.000,00"/>
    <s v="Treinta Mil Bolívares con 00/100"/>
  </r>
  <r>
    <n v="806"/>
    <m/>
    <s v="ü"/>
    <d v="2018-01-26T00:00:00"/>
    <n v="100000"/>
    <x v="34"/>
    <x v="9"/>
    <s v="Av. &quot;O&quot; Nro. 146-11"/>
    <s v="Cancelación Vigilancia, saldo mes de Enero y anticipo mes de Febrero/2018"/>
    <s v="Vigilancia"/>
    <m/>
    <s v="00806"/>
    <s v="26 de enero de 2018"/>
    <d v="2018-01-01T00:00:00"/>
    <s v="100.000,00"/>
    <s v="Cien Mil Bolívares con 00/100"/>
  </r>
  <r>
    <n v="807"/>
    <m/>
    <s v="ü"/>
    <d v="2018-01-27T00:00:00"/>
    <n v="80000"/>
    <x v="26"/>
    <x v="24"/>
    <s v="Calle Güigüe Nro. 89-96"/>
    <s v="Cancelación Vigilancia, mes de Enero/2018"/>
    <s v="Vigilancia"/>
    <m/>
    <s v="00807"/>
    <s v="27 de enero de 2018"/>
    <d v="2018-01-01T00:00:00"/>
    <s v="80.000,00"/>
    <s v="Ochenta Mil Bolívares con 00/100"/>
  </r>
  <r>
    <n v="808"/>
    <m/>
    <s v="ü"/>
    <d v="2018-01-29T00:00:00"/>
    <n v="110000"/>
    <x v="5"/>
    <x v="5"/>
    <s v="Calle Güigüe Nro. 88-120"/>
    <s v="Cancelación Vigilancia, saldo mes de Enero y Febrero/2018"/>
    <s v="Vigilancia"/>
    <m/>
    <s v="00808"/>
    <s v="29 de enero de 2018"/>
    <d v="2018-01-01T00:00:00"/>
    <s v="110.000,00"/>
    <s v="Ciento Diez Mil Bolívares con 00/100"/>
  </r>
  <r>
    <n v="809"/>
    <m/>
    <s v="ü"/>
    <d v="2018-01-29T00:00:00"/>
    <n v="80000"/>
    <x v="40"/>
    <x v="37"/>
    <s v="Calle Güigüe Nro. 88-101"/>
    <s v="Cancelación Vigilancia, mes de Enero/2018"/>
    <s v="Vigilancia"/>
    <m/>
    <s v="00809"/>
    <s v="29 de enero de 2018"/>
    <d v="2018-01-01T00:00:00"/>
    <s v="80.000,00"/>
    <s v="Ochenta Mil Bolívares con 00/100"/>
  </r>
  <r>
    <n v="810"/>
    <m/>
    <s v="ü"/>
    <d v="2018-01-30T00:00:00"/>
    <n v="20000"/>
    <x v="74"/>
    <x v="64"/>
    <s v="Calle Güigüe Nro. 88-20"/>
    <s v="Colaboración Vigilancia, meses de Enero y Febrero/2018"/>
    <s v="Vigilancia"/>
    <m/>
    <s v="00810"/>
    <s v="30 de enero de 2018"/>
    <d v="2018-01-01T00:00:00"/>
    <s v="20.000,00"/>
    <s v="Veinte Mil Bolívares con 00/100"/>
  </r>
  <r>
    <n v="811"/>
    <m/>
    <s v="ü"/>
    <d v="2018-01-28T00:00:00"/>
    <n v="40000"/>
    <x v="25"/>
    <x v="23"/>
    <s v="Calle Güigüe Nro. 88-58"/>
    <s v="Colaboración Vigilancia, mes de Diciembre/2017"/>
    <s v="Vigilancia"/>
    <m/>
    <s v="00811"/>
    <s v="28 de enero de 2018"/>
    <d v="2018-01-01T00:00:00"/>
    <s v="40.000,00"/>
    <s v="Cuarenta Mil Bolívares con 00/100"/>
  </r>
  <r>
    <n v="812"/>
    <m/>
    <s v="ü"/>
    <d v="2018-02-01T00:00:00"/>
    <n v="210000"/>
    <x v="37"/>
    <x v="34"/>
    <s v="Av. &quot;I&quot; Nro. 146-40"/>
    <s v="Cancelación Vigilancia, saldo Diciembre/2017 y meses de Enero y Febrero/2018"/>
    <s v="Vigilancia"/>
    <m/>
    <s v="00812"/>
    <s v="01 de febrero de 2018"/>
    <d v="2018-02-01T00:00:00"/>
    <s v="210.000,00"/>
    <s v="Doscientos Diez Mil Bolívares con 00/100"/>
  </r>
  <r>
    <n v="813"/>
    <m/>
    <s v="ü"/>
    <d v="2018-02-01T00:00:00"/>
    <n v="30000"/>
    <x v="57"/>
    <x v="9"/>
    <s v="Calle Güigüe Nro. 88-40"/>
    <s v="Colaboración Vigilancia, mes de Diciembre/2017"/>
    <s v="Vigilancia"/>
    <m/>
    <s v="00813"/>
    <s v="01 de febrero de 2018"/>
    <d v="2018-02-01T00:00:00"/>
    <s v="30.000,00"/>
    <s v="Treinta Mil Bolívares con 00/100"/>
  </r>
  <r>
    <n v="814"/>
    <m/>
    <s v="ü"/>
    <d v="2018-02-01T00:00:00"/>
    <n v="270000"/>
    <x v="69"/>
    <x v="61"/>
    <s v="Calle Güigüe Nro. 89-40"/>
    <s v="Cancelación Vigilancia, saldo Enero/2018 y meses de Febrero, Marzo y Abril/2018"/>
    <s v="Vigilancia"/>
    <m/>
    <s v="00814"/>
    <s v="01 de febrero de 2018"/>
    <d v="2018-02-01T00:00:00"/>
    <s v="270.000,00"/>
    <s v="Doscientos Setenta Mil Bolívares con 00/100"/>
  </r>
  <r>
    <n v="815"/>
    <m/>
    <s v="ü"/>
    <d v="2018-02-01T00:00:00"/>
    <n v="320000"/>
    <x v="64"/>
    <x v="57"/>
    <s v="Calle Guacara Nro. 88-35"/>
    <s v="Cancelación Vigilancia, meses de Enero, Febrero, Marzo y Abril/2018"/>
    <s v="Vigilancia"/>
    <m/>
    <s v="00815"/>
    <s v="01 de febrero de 2018"/>
    <d v="2018-02-01T00:00:00"/>
    <s v="320.000,00"/>
    <s v="Trescientos Veinte Mil Bolívares con 00/100"/>
  </r>
  <r>
    <n v="816"/>
    <m/>
    <s v="ü"/>
    <d v="2018-02-01T00:00:00"/>
    <n v="50000"/>
    <x v="22"/>
    <x v="20"/>
    <s v="Calle Guacara Nro. 88-25"/>
    <s v="Colaboración Vigilancia, mes de Enero/2018"/>
    <s v="Vigilancia"/>
    <m/>
    <s v="00816"/>
    <s v="01 de febrero de 2018"/>
    <d v="2018-02-01T00:00:00"/>
    <s v="50.000,00"/>
    <s v="Cincuenta Mil Bolívares con 00/100"/>
  </r>
  <r>
    <n v="817"/>
    <m/>
    <s v="ü"/>
    <d v="2018-02-02T00:00:00"/>
    <n v="160000"/>
    <x v="8"/>
    <x v="8"/>
    <s v="Calle Guacara Nro. 90-51"/>
    <s v="Cancelación Vigilancia, meses de Enero y Febrero/2018"/>
    <s v="Vigilancia"/>
    <m/>
    <s v="00817"/>
    <s v="02 de febrero de 2018"/>
    <d v="2018-02-01T00:00:00"/>
    <s v="160.000,00"/>
    <s v="Ciento Sesenta Mil Bolívares con 00/100"/>
  </r>
  <r>
    <n v="818"/>
    <m/>
    <s v="ü"/>
    <d v="2018-02-02T00:00:00"/>
    <n v="160000"/>
    <x v="46"/>
    <x v="43"/>
    <s v="Av. &quot;I&quot; Nro. 146-20"/>
    <s v="Cancelación Vigilancia, meses de Enero y Febrero/2018"/>
    <s v="Vigilancia"/>
    <m/>
    <s v="00818"/>
    <s v="02 de febrero de 2018"/>
    <d v="2018-02-01T00:00:00"/>
    <s v="160.000,00"/>
    <s v="Ciento Sesenta Mil Bolívares con 00/100"/>
  </r>
  <r>
    <n v="819"/>
    <m/>
    <s v="ü"/>
    <d v="2018-02-05T00:00:00"/>
    <n v="80000"/>
    <x v="14"/>
    <x v="13"/>
    <s v="Calle Güigüe Nro. 89-83"/>
    <s v="Cancelación Vigilancia, mes de Febrero/2018"/>
    <s v="Vigilancia"/>
    <m/>
    <s v="00819"/>
    <s v="05 de febrero de 2018"/>
    <d v="2018-02-01T00:00:00"/>
    <s v="80.000,00"/>
    <s v="Ochenta Mil Bolívares con 00/100"/>
  </r>
  <r>
    <n v="820"/>
    <m/>
    <s v="ü"/>
    <d v="2018-02-05T00:00:00"/>
    <n v="80000"/>
    <x v="1"/>
    <x v="1"/>
    <s v="Calle Güigüe Nro. 88-44"/>
    <s v="Cancelación Vigilancia, mes de Febrero/2018"/>
    <s v="Vigilancia"/>
    <m/>
    <s v="00820"/>
    <s v="05 de febrero de 2018"/>
    <d v="2018-02-01T00:00:00"/>
    <s v="80.000,00"/>
    <s v="Ochenta Mil Bolívares con 00/100"/>
  </r>
  <r>
    <n v="821"/>
    <m/>
    <s v="ü"/>
    <d v="2018-02-05T00:00:00"/>
    <n v="80000"/>
    <x v="0"/>
    <x v="0"/>
    <s v="Calle Guacara Nro. 88-45"/>
    <s v="Cancelación Vigilancia, mes de Febrero/2018 (saldo a favor: Bs. 800.000)"/>
    <s v="Vigilancia"/>
    <m/>
    <s v="00821"/>
    <s v="05 de febrero de 2018"/>
    <d v="2018-02-01T00:00:00"/>
    <s v="80.000,00"/>
    <s v="Ochenta Mil Bolívares con 00/100"/>
  </r>
  <r>
    <n v="822"/>
    <m/>
    <s v="ü"/>
    <d v="2018-02-05T00:00:00"/>
    <n v="80000"/>
    <x v="75"/>
    <x v="65"/>
    <s v="Av. &quot;Ñ&quot; Nro. 145-25"/>
    <s v="Cancelación Vigilancia, mes de Febrero/2018 (saldo a favor: Bs. 865.000)"/>
    <s v="Vigilancia"/>
    <m/>
    <s v="00822"/>
    <s v="05 de febrero de 2018"/>
    <d v="2018-02-01T00:00:00"/>
    <s v="80.000,00"/>
    <s v="Ochenta Mil Bolívares con 00/100"/>
  </r>
  <r>
    <n v="823"/>
    <m/>
    <s v="ü"/>
    <d v="2018-02-06T00:00:00"/>
    <n v="80000"/>
    <x v="4"/>
    <x v="4"/>
    <s v="Calle Güigüe Nro. 89-55"/>
    <s v="Cancelación Vigilancia, mes de Febrero/2018"/>
    <s v="Vigilancia"/>
    <m/>
    <s v="00823"/>
    <s v="06 de febrero de 2018"/>
    <d v="2018-02-01T00:00:00"/>
    <s v="80.000,00"/>
    <s v="Ochenta Mil Bolívares con 00/100"/>
  </r>
  <r>
    <n v="824"/>
    <m/>
    <s v="ü"/>
    <d v="2018-02-06T00:00:00"/>
    <n v="160000"/>
    <x v="52"/>
    <x v="9"/>
    <s v="Calle Güigüe Nro. 89-45"/>
    <s v="Cancelación Vigilancia, saldo mes de Febrero, mes de Marzo y anticipo mes de Abril/2018"/>
    <s v="Vigilancia"/>
    <m/>
    <s v="00824"/>
    <s v="06 de febrero de 2018"/>
    <d v="2018-02-01T00:00:00"/>
    <s v="160.000,00"/>
    <s v="Ciento Sesenta Mil Bolívares con 00/100"/>
  </r>
  <r>
    <n v="825"/>
    <m/>
    <s v="ü"/>
    <d v="2018-02-08T00:00:00"/>
    <n v="80000"/>
    <x v="76"/>
    <x v="66"/>
    <s v="Calle Güigüe Nro. 89-90"/>
    <s v="Cancelación Vigilancia, mes de Febrero/2018"/>
    <s v="Vigilancia"/>
    <m/>
    <s v="00825"/>
    <s v="08 de febrero de 2018"/>
    <d v="2018-02-01T00:00:00"/>
    <s v="80.000,00"/>
    <s v="Ochenta Mil Bolívares con 00/100"/>
  </r>
  <r>
    <n v="826"/>
    <m/>
    <s v="ü"/>
    <d v="2018-02-09T00:00:00"/>
    <n v="40000"/>
    <x v="32"/>
    <x v="30"/>
    <s v="Calle Güigüe Nro. 89-120"/>
    <s v="Colaboración Vigilancia, mes de Febrero/2018"/>
    <s v="Vigilancia"/>
    <m/>
    <s v="00826"/>
    <s v="09 de febrero de 2018"/>
    <d v="2018-02-01T00:00:00"/>
    <s v="40.000,00"/>
    <s v="Cuarenta Mil Bolívares con 00/100"/>
  </r>
  <r>
    <n v="827"/>
    <m/>
    <s v="ü"/>
    <d v="2018-01-30T00:00:00"/>
    <n v="80000"/>
    <x v="36"/>
    <x v="33"/>
    <s v="Calle Güigüe Nro. 89-10"/>
    <s v="Cancelación Vigilancia, mes de Enero/2018"/>
    <s v="Vigilancia"/>
    <m/>
    <s v="00827"/>
    <s v="30 de enero de 2018"/>
    <d v="2018-01-01T00:00:00"/>
    <s v="80.000,00"/>
    <s v="Ochenta Mil Bolívares con 00/100"/>
  </r>
  <r>
    <n v="828"/>
    <m/>
    <s v="ü"/>
    <d v="2018-01-29T00:00:00"/>
    <n v="80000"/>
    <x v="56"/>
    <x v="52"/>
    <s v="Calle Güigüe Nro. 88-70"/>
    <s v="Cancelación Vigilancia, mes de Enero/2018"/>
    <s v="Vigilancia"/>
    <m/>
    <s v="00828"/>
    <s v="29 de enero de 2018"/>
    <d v="2018-01-01T00:00:00"/>
    <s v="80.000,00"/>
    <s v="Ochenta Mil Bolívares con 00/100"/>
  </r>
  <r>
    <n v="829"/>
    <m/>
    <s v="ü"/>
    <d v="2018-02-08T00:00:00"/>
    <n v="80000"/>
    <x v="12"/>
    <x v="12"/>
    <s v="Calle Guacara Nro. 89-20"/>
    <s v="Cancelación saldo Vigilancia, mes de Febrero/2018"/>
    <s v="Vigilancia"/>
    <m/>
    <s v="00829"/>
    <s v="08 de febrero de 2018"/>
    <d v="2018-02-01T00:00:00"/>
    <s v="80.000,00"/>
    <s v="Ochenta Mil Bolívares con 00/100"/>
  </r>
  <r>
    <n v="830"/>
    <m/>
    <s v="ü"/>
    <d v="2018-02-09T00:00:00"/>
    <n v="80000"/>
    <x v="20"/>
    <x v="18"/>
    <s v="Calle Guacara Nro. 89-30"/>
    <s v="Cancelación Vigilancia, mes de Febrero/2018"/>
    <s v="Vigilancia"/>
    <m/>
    <s v="00830"/>
    <s v="09 de febrero de 2018"/>
    <d v="2018-02-01T00:00:00"/>
    <s v="80.000,00"/>
    <s v="Ochenta Mil Bolívares con 00/100"/>
  </r>
  <r>
    <n v="831"/>
    <m/>
    <s v="ü"/>
    <d v="2018-02-09T00:00:00"/>
    <n v="280000"/>
    <x v="63"/>
    <x v="56"/>
    <s v="Calle Guacara Nro. 88-85"/>
    <s v="Colaboración Vigilancia, meses de Enero, Febrero, Marzo y Abril/2018"/>
    <s v="Vigilancia"/>
    <m/>
    <s v="00831"/>
    <s v="09 de febrero de 2018"/>
    <d v="2018-02-01T00:00:00"/>
    <s v="280.000,00"/>
    <s v="Doscientos Ochenta Mil Bolívares con 00/100"/>
  </r>
  <r>
    <n v="832"/>
    <m/>
    <s v="ü"/>
    <d v="2018-02-10T00:00:00"/>
    <n v="160000"/>
    <x v="27"/>
    <x v="25"/>
    <s v="Calle Güigüe Nro. 89-106"/>
    <s v="Cancelación Vigilancia, meses de Enero y Febrero/2018"/>
    <s v="Vigilancia"/>
    <m/>
    <s v="00832"/>
    <s v="10 de febrero de 2018"/>
    <d v="2018-02-01T00:00:00"/>
    <s v="160.000,00"/>
    <s v="Ciento Sesenta Mil Bolívares con 00/100"/>
  </r>
  <r>
    <n v="833"/>
    <m/>
    <s v="ü"/>
    <d v="2018-01-12T00:00:00"/>
    <n v="100000"/>
    <x v="71"/>
    <x v="62"/>
    <s v="Calle Güigüe Nro. 89-71"/>
    <s v="Colaboración Vigilancia, meses de Enero y Febrero/2018"/>
    <s v="Vigilancia"/>
    <m/>
    <s v="00833"/>
    <s v="12 de enero de 2018"/>
    <d v="2018-01-01T00:00:00"/>
    <s v="100.000,00"/>
    <s v="Cien Mil Bolívares con 00/100"/>
  </r>
  <r>
    <n v="834"/>
    <m/>
    <s v="ü"/>
    <d v="2018-01-14T00:00:00"/>
    <n v="80000"/>
    <x v="38"/>
    <x v="35"/>
    <s v="Calle Guacara Nro. 89-78"/>
    <s v="Cancelación Vigilancia, mes de Febrero/2018"/>
    <s v="Vigilancia"/>
    <m/>
    <s v="00834"/>
    <s v="14 de enero de 2018"/>
    <d v="2018-01-01T00:00:00"/>
    <s v="80.000,00"/>
    <s v="Ochenta Mil Bolívares con 00/100"/>
  </r>
  <r>
    <n v="835"/>
    <m/>
    <s v="ü"/>
    <d v="2018-01-14T00:00:00"/>
    <n v="86400"/>
    <x v="9"/>
    <x v="9"/>
    <s v="Av. &quot;M&quot; Nro. 146-30"/>
    <s v="Cancelación Vigilancia, mes de Febrero/2018"/>
    <s v="Vigilancia"/>
    <m/>
    <s v="00835"/>
    <s v="14 de enero de 2018"/>
    <d v="2018-01-01T00:00:00"/>
    <s v="86.400,00"/>
    <s v="Ochenta y Seis Mil Cuatrocientos Bolívares con 00/100"/>
  </r>
  <r>
    <n v="836"/>
    <m/>
    <s v="ü"/>
    <d v="2018-02-15T00:00:00"/>
    <n v="113600"/>
    <x v="73"/>
    <x v="9"/>
    <s v="Calle Güigüe Nros. 88-71 y 88-81"/>
    <s v="Cancelación Vigilancia, mes de Febrero/2018"/>
    <s v="Vigilancia"/>
    <m/>
    <s v="00836"/>
    <s v="15 de febrero de 2018"/>
    <d v="2018-02-01T00:00:00"/>
    <s v="113.600,00"/>
    <s v="Ciento Trece Mil Seiscientos Bolívares con 00/100"/>
  </r>
  <r>
    <n v="837"/>
    <m/>
    <s v="ü"/>
    <d v="2018-02-15T00:00:00"/>
    <n v="80000"/>
    <x v="45"/>
    <x v="42"/>
    <s v="Calle Güigüe Nro. 87-A-11"/>
    <s v="Cancelación Vigilancia, mes de Febrero/2018"/>
    <s v="Vigilancia"/>
    <m/>
    <s v="00837"/>
    <s v="15 de febrero de 2018"/>
    <d v="2018-02-01T00:00:00"/>
    <s v="80.000,00"/>
    <s v="Ochenta Mil Bolívares con 00/100"/>
  </r>
  <r>
    <n v="838"/>
    <m/>
    <s v="ü"/>
    <d v="2018-02-15T00:00:00"/>
    <n v="80000"/>
    <x v="30"/>
    <x v="28"/>
    <s v="Calle Güigüe Nro. 89-04"/>
    <s v="Cancelación Vigilancia, mes de Febrero/2018"/>
    <s v="Vigilancia"/>
    <m/>
    <s v="00838"/>
    <s v="15 de febrero de 2018"/>
    <d v="2018-02-01T00:00:00"/>
    <s v="80.000,00"/>
    <s v="Ochenta Mil Bolívares con 00/100"/>
  </r>
  <r>
    <n v="839"/>
    <m/>
    <s v="ü"/>
    <d v="2018-02-16T00:00:00"/>
    <n v="80000"/>
    <x v="19"/>
    <x v="17"/>
    <s v="Calle Guacara Nro. 89-130"/>
    <s v="Cancelación Vigilancia, mes de Febrero/2018"/>
    <s v="Vigilancia"/>
    <m/>
    <s v="00839"/>
    <s v="16 de febrero de 2018"/>
    <d v="2018-02-01T00:00:00"/>
    <s v="80.000,00"/>
    <s v="Ochenta Mil Bolívares con 00/100"/>
  </r>
  <r>
    <n v="840"/>
    <m/>
    <s v="ü"/>
    <d v="2018-02-19T00:00:00"/>
    <n v="80000"/>
    <x v="36"/>
    <x v="33"/>
    <s v="Calle Güigüe Nro. 89-10"/>
    <s v="Cancelación Vigilancia, mes de Febrero/2018"/>
    <s v="Vigilancia"/>
    <m/>
    <s v="00840"/>
    <s v="19 de febrero de 2018"/>
    <d v="2018-02-01T00:00:00"/>
    <s v="80.000,00"/>
    <s v="Ochenta Mil Bolívares con 00/100"/>
  </r>
  <r>
    <n v="841"/>
    <m/>
    <s v="ü"/>
    <d v="2018-02-20T00:00:00"/>
    <n v="40000"/>
    <x v="68"/>
    <x v="60"/>
    <s v="Calle Güigüe Nro. 89-29"/>
    <s v="Colaboración Vigilancia, mes de Febrero/2018"/>
    <s v="Vigilancia"/>
    <m/>
    <s v="00841"/>
    <s v="20 de febrero de 2018"/>
    <d v="2018-02-01T00:00:00"/>
    <s v="40.000,00"/>
    <s v="Cuarenta Mil Bolívares con 00/100"/>
  </r>
  <r>
    <n v="842"/>
    <m/>
    <s v="ü"/>
    <d v="2018-02-20T00:00:00"/>
    <n v="80000"/>
    <x v="23"/>
    <x v="21"/>
    <s v="Calle Güigüe Nro. 88-116"/>
    <s v="Cancelación Vigilancia, mes de Febrero/2018"/>
    <s v="Vigilancia"/>
    <m/>
    <s v="00842"/>
    <s v="20 de febrero de 2018"/>
    <d v="2018-02-01T00:00:00"/>
    <s v="80.000,00"/>
    <s v="Ochenta Mil Bolívares con 00/100"/>
  </r>
  <r>
    <n v="843"/>
    <m/>
    <s v="ü"/>
    <d v="2018-02-20T00:00:00"/>
    <n v="80000"/>
    <x v="24"/>
    <x v="22"/>
    <s v="Calle Güigüe Nro. 88-54"/>
    <s v="Cancelación Vigilancia, mes de Febrero/2018"/>
    <s v="Vigilancia"/>
    <m/>
    <s v="00843"/>
    <s v="20 de febrero de 2018"/>
    <d v="2018-02-01T00:00:00"/>
    <s v="80.000,00"/>
    <s v="Ochenta Mil Bolívares con 00/100"/>
  </r>
  <r>
    <n v="844"/>
    <m/>
    <s v="ü"/>
    <d v="2018-02-20T00:00:00"/>
    <n v="50000"/>
    <x v="2"/>
    <x v="2"/>
    <s v="Calle Guacara Nro. 88-19"/>
    <s v="Colaboración Vigilancia, mes de Febrero/2018"/>
    <s v="Vigilancia"/>
    <m/>
    <s v="00844"/>
    <s v="20 de febrero de 2018"/>
    <d v="2018-02-01T00:00:00"/>
    <s v="50.000,00"/>
    <s v="Cincuenta Mil Bolívares con 00/100"/>
  </r>
  <r>
    <n v="845"/>
    <m/>
    <s v="ü"/>
    <d v="2018-02-20T00:00:00"/>
    <n v="20000"/>
    <x v="67"/>
    <x v="2"/>
    <s v="Calle Guacara Nro. 90-93"/>
    <s v="Colaboración Vigilancia, mes de Febrero/2018"/>
    <s v="Vigilancia"/>
    <m/>
    <s v="00845"/>
    <s v="20 de febrero de 2018"/>
    <d v="2018-02-01T00:00:00"/>
    <s v="20.000,00"/>
    <s v="Veinte Mil Bolívares con 00/100"/>
  </r>
  <r>
    <n v="846"/>
    <m/>
    <s v="ü"/>
    <d v="2018-02-21T00:00:00"/>
    <n v="80000"/>
    <x v="25"/>
    <x v="23"/>
    <s v="Calle Güigüe Nro. 88-58"/>
    <s v="Cancelación Vigilancia, mes de Febrero/2018"/>
    <s v="Vigilancia"/>
    <m/>
    <s v="00846"/>
    <s v="21 de febrero de 2018"/>
    <d v="2018-02-01T00:00:00"/>
    <s v="80.000,00"/>
    <s v="Ochenta Mil Bolívares con 00/100"/>
  </r>
  <r>
    <n v="847"/>
    <m/>
    <s v="ü"/>
    <d v="2018-02-22T00:00:00"/>
    <n v="150000"/>
    <x v="3"/>
    <x v="3"/>
    <s v="Calle Güigüe Nro. 88-62"/>
    <s v="Colaboración Vigilancia, meses de Enero y Febrero/2018"/>
    <s v="Vigilancia"/>
    <m/>
    <s v="00847"/>
    <s v="22 de febrero de 2018"/>
    <d v="2018-02-01T00:00:00"/>
    <s v="150.000,00"/>
    <s v="Ciento Cincuenta Mil Bolívares con 00/100"/>
  </r>
  <r>
    <n v="848"/>
    <m/>
    <s v="ü"/>
    <d v="2018-02-23T00:00:00"/>
    <n v="115000"/>
    <x v="29"/>
    <x v="27"/>
    <s v="Calle Guacara Nro. 88-75"/>
    <s v="Cancelación Vigilancia, mes de Febrero/2018"/>
    <s v="Vigilancia"/>
    <m/>
    <s v="00848"/>
    <s v="23 de febrero de 2018"/>
    <d v="2018-02-01T00:00:00"/>
    <s v="115.000,00"/>
    <s v="Ciento Quince Mil Bolívares con 00/100"/>
  </r>
  <r>
    <n v="849"/>
    <m/>
    <s v="ü"/>
    <d v="2018-02-24T00:00:00"/>
    <n v="240000"/>
    <x v="60"/>
    <x v="54"/>
    <s v="Calle Guacara Nro. 88-51"/>
    <s v="Cancelación Vigilancia, meses de Marzo, Abril y Mayo/2018 (saldo a favor: Bs. 5.850)"/>
    <s v="Vigilancia"/>
    <m/>
    <s v="00849"/>
    <s v="24 de febrero de 2018"/>
    <d v="2018-02-01T00:00:00"/>
    <s v="240.000,00"/>
    <s v="Doscientos Cuarenta Mil Bolívares con 00/100"/>
  </r>
  <r>
    <n v="850"/>
    <m/>
    <s v="ü"/>
    <d v="2018-02-24T00:00:00"/>
    <n v="80000"/>
    <x v="42"/>
    <x v="39"/>
    <s v="Calle Güigüe Nro. 89-79"/>
    <s v="Cancelación Vigilancia, mes de Febrero/2018"/>
    <s v="Vigilancia"/>
    <m/>
    <s v="00850"/>
    <s v="24 de febrero de 2018"/>
    <d v="2018-02-01T00:00:00"/>
    <s v="80.000,00"/>
    <s v="Ochenta Mil Bolívares con 00/100"/>
  </r>
  <r>
    <n v="851"/>
    <m/>
    <s v="ü"/>
    <d v="2018-02-25T00:00:00"/>
    <n v="80000"/>
    <x v="43"/>
    <x v="40"/>
    <s v="Calle Güigüe Nro. 88-50"/>
    <s v="Cancelación Vigilancia, mes de Febrero/2018"/>
    <s v="Vigilancia"/>
    <m/>
    <s v="00851"/>
    <s v="25 de febrero de 2018"/>
    <d v="2018-02-01T00:00:00"/>
    <s v="80.000,00"/>
    <s v="Ochenta Mil Bolívares con 00/100"/>
  </r>
  <r>
    <n v="852"/>
    <m/>
    <s v="ü"/>
    <d v="2018-02-25T00:00:00"/>
    <n v="80000"/>
    <x v="18"/>
    <x v="16"/>
    <s v="Calle Guacara Nro. 87-100"/>
    <s v="Cancelación Vigilancia, mes de Marzo/2018"/>
    <s v="Vigilancia"/>
    <m/>
    <s v="00852"/>
    <s v="25 de febrero de 2018"/>
    <d v="2018-02-01T00:00:00"/>
    <s v="80.000,00"/>
    <s v="Ochenta Mil Bolívares con 00/100"/>
  </r>
  <r>
    <n v="853"/>
    <m/>
    <s v="ü"/>
    <d v="2018-02-26T00:00:00"/>
    <n v="80000"/>
    <x v="10"/>
    <x v="10"/>
    <s v="Av. &quot;M&quot; Nro. 146-15"/>
    <s v="Cancelación Vigilancia, mes de Enero/2018"/>
    <s v="Vigilancia"/>
    <m/>
    <s v="00853"/>
    <s v="26 de febrero de 2018"/>
    <d v="2018-02-01T00:00:00"/>
    <s v="80.000,00"/>
    <s v="Ochenta Mil Bolívares con 00/100"/>
  </r>
  <r>
    <n v="854"/>
    <m/>
    <s v="ü"/>
    <d v="2018-02-26T00:00:00"/>
    <n v="80000"/>
    <x v="35"/>
    <x v="32"/>
    <s v="Calle Güigüe Nro. 89-80"/>
    <s v="Cancelación Vigilancia, mes de Febrero/2018"/>
    <s v="Vigilancia"/>
    <m/>
    <s v="00854"/>
    <s v="26 de febrero de 2018"/>
    <d v="2018-02-01T00:00:00"/>
    <s v="80.000,00"/>
    <s v="Ochenta Mil Bolívares con 00/100"/>
  </r>
  <r>
    <n v="855"/>
    <m/>
    <s v="ü"/>
    <d v="2018-02-26T00:00:00"/>
    <n v="260000"/>
    <x v="31"/>
    <x v="29"/>
    <s v="Calle Güigüe Nro. 89-95"/>
    <s v="Cancelación Vigilancia, meses de Diciembre/2017, Enero, Febrero y anticipo de Marzo/2018"/>
    <s v="Vigilancia"/>
    <m/>
    <s v="00855"/>
    <s v="26 de febrero de 2018"/>
    <d v="2018-02-01T00:00:00"/>
    <s v="260.000,00"/>
    <s v="Doscientos Sesenta Mil Bolívares con 00/100"/>
  </r>
  <r>
    <n v="856"/>
    <m/>
    <s v="ü"/>
    <d v="2018-02-24T00:00:00"/>
    <n v="50000"/>
    <x v="86"/>
    <x v="73"/>
    <s v="Calle Guacara Nro. 89-50"/>
    <s v="Colaboración Vigilancia, mes de Marzo/2018"/>
    <s v="Vigilancia"/>
    <m/>
    <s v="00856"/>
    <s v="24 de febrero de 2018"/>
    <d v="2018-02-01T00:00:00"/>
    <s v="50.000,00"/>
    <s v="Cincuenta Mil Bolívares con 00/100"/>
  </r>
  <r>
    <n v="857"/>
    <m/>
    <s v="ü"/>
    <d v="2018-02-25T00:00:00"/>
    <n v="80000"/>
    <x v="88"/>
    <x v="76"/>
    <s v="Calle Güigüe Nro. 88-11"/>
    <s v="Cancelación Vigilancia, mes de Febrero/2018"/>
    <s v="Vigilancia"/>
    <m/>
    <s v="00857"/>
    <s v="25 de febrero de 2018"/>
    <d v="2018-02-01T00:00:00"/>
    <s v="80.000,00"/>
    <s v="Ochenta Mil Bolívares con 00/100"/>
  </r>
  <r>
    <n v="858"/>
    <m/>
    <s v="ü"/>
    <d v="2018-02-26T00:00:00"/>
    <n v="100000"/>
    <x v="16"/>
    <x v="15"/>
    <s v="Calle Guacara Nro. 90-81"/>
    <s v="Cancelación Vigilancia, mes de Febrero/2018"/>
    <s v="Vigilancia"/>
    <m/>
    <s v="00858"/>
    <s v="26 de febrero de 2018"/>
    <d v="2018-02-01T00:00:00"/>
    <s v="100.000,00"/>
    <s v="Cien Mil Bolívares con 00/100"/>
  </r>
  <r>
    <n v="859"/>
    <m/>
    <s v="ü"/>
    <d v="2018-01-22T00:00:00"/>
    <n v="12450"/>
    <x v="54"/>
    <x v="50"/>
    <s v="Calle Güigüe Nro. 89-21"/>
    <s v="Anticipo Vigilancia, mes de Enero/2018 (anticipo al Sr. Francisco en su primer día de trabajo)"/>
    <s v="Vigilancia"/>
    <m/>
    <s v="00859"/>
    <s v="22 de enero de 2018"/>
    <d v="2018-01-01T00:00:00"/>
    <s v="12.450,00"/>
    <s v="Doce Mil Cuatrocientos Cincuenta Bolívares con 00/100"/>
  </r>
  <r>
    <n v="860"/>
    <m/>
    <s v="ü"/>
    <d v="2018-02-26T00:00:00"/>
    <n v="100000"/>
    <x v="54"/>
    <x v="50"/>
    <s v="Calle Güigüe Nro. 89-21"/>
    <s v="Cancelación Vigilancia, saldo mes de Enero, Febrero y anticipo Marzo/2018"/>
    <s v="Vigilancia"/>
    <m/>
    <s v="00860"/>
    <s v="26 de febrero de 2018"/>
    <d v="2018-02-01T00:00:00"/>
    <s v="100.000,00"/>
    <s v="Cien Mil Bolívares con 00/100"/>
  </r>
  <r>
    <n v="861"/>
    <m/>
    <s v="ü"/>
    <d v="2018-02-27T00:00:00"/>
    <n v="160000"/>
    <x v="80"/>
    <x v="9"/>
    <s v="Calle Guacara Nro. 88-55"/>
    <s v="Cancelación Vigilancia, meses de Enero y Febrero/2018"/>
    <s v="Vigilancia"/>
    <m/>
    <s v="00861"/>
    <s v="27 de febrero de 2018"/>
    <d v="2018-02-01T00:00:00"/>
    <s v="160.000,00"/>
    <s v="Ciento Sesenta Mil Bolívares con 00/100"/>
  </r>
  <r>
    <n v="862"/>
    <m/>
    <s v="ü"/>
    <d v="2018-02-27T00:00:00"/>
    <n v="30000"/>
    <x v="28"/>
    <x v="26"/>
    <s v="Calle Güigüe Nro. 88-30"/>
    <s v="Colaboración Vigilancia, meses de Diciembre/2017, Enero y Febrero/2018"/>
    <s v="Vigilancia"/>
    <m/>
    <s v="00862"/>
    <s v="27 de febrero de 2018"/>
    <d v="2018-02-01T00:00:00"/>
    <s v="30.000,00"/>
    <s v="Treinta Mil Bolívares con 00/100"/>
  </r>
  <r>
    <n v="863"/>
    <m/>
    <s v="ü"/>
    <d v="2018-02-27T00:00:00"/>
    <n v="80000"/>
    <x v="40"/>
    <x v="37"/>
    <s v="Calle Güigüe Nro. 88-101"/>
    <s v="Cancelación Vigilancia, mes de Febrero/2018"/>
    <s v="Vigilancia"/>
    <m/>
    <s v="00863"/>
    <s v="27 de febrero de 2018"/>
    <d v="2018-02-01T00:00:00"/>
    <s v="80.000,00"/>
    <s v="Ochenta Mil Bolívares con 00/100"/>
  </r>
  <r>
    <n v="864"/>
    <m/>
    <s v="ü"/>
    <d v="2018-02-27T00:00:00"/>
    <n v="80000"/>
    <x v="56"/>
    <x v="52"/>
    <s v="Calle Güigüe Nro. 88-70"/>
    <s v="Cancelación Vigilancia, mes de Febrero/2018"/>
    <s v="Vigilancia"/>
    <m/>
    <s v="00864"/>
    <s v="27 de febrero de 2018"/>
    <d v="2018-02-01T00:00:00"/>
    <s v="80.000,00"/>
    <s v="Ochenta Mil Bolívares con 00/100"/>
  </r>
  <r>
    <n v="865"/>
    <m/>
    <s v="ü"/>
    <d v="2018-02-28T00:00:00"/>
    <n v="200000"/>
    <x v="6"/>
    <x v="6"/>
    <s v="Calle Guacara Nro. 89-60"/>
    <s v="Cancelación Vigilancia, mes de Marzo/2018 y aporte adicional"/>
    <s v="Vigilancia"/>
    <m/>
    <s v="00865"/>
    <s v="28 de febrero de 2018"/>
    <d v="2018-02-01T00:00:00"/>
    <s v="200.000,00"/>
    <s v="Doscientos Mil Bolívares con 00/100"/>
  </r>
  <r>
    <n v="866"/>
    <m/>
    <s v="ü"/>
    <d v="2018-02-28T00:00:00"/>
    <n v="80000"/>
    <x v="26"/>
    <x v="24"/>
    <s v="Calle Güigüe Nro. 89-96"/>
    <s v="Cancelación Vigilancia, mes de Febrero/2018"/>
    <s v="Vigilancia"/>
    <m/>
    <s v="00866"/>
    <s v="28 de febrero de 2018"/>
    <d v="2018-02-01T00:00:00"/>
    <s v="80.000,00"/>
    <s v="Ochenta Mil Bolívares con 00/100"/>
  </r>
  <r>
    <n v="867"/>
    <m/>
    <s v="ü"/>
    <d v="2018-02-28T00:00:00"/>
    <n v="180000"/>
    <x v="44"/>
    <x v="41"/>
    <s v="Calle Guacara Nro. 89-40"/>
    <s v="Cancelación Vigilancia, meses de Enero y Febrero/2018"/>
    <s v="Vigilancia"/>
    <m/>
    <s v="00867"/>
    <s v="28 de febrero de 2018"/>
    <d v="2018-02-01T00:00:00"/>
    <s v="180.000,00"/>
    <s v="Ciento Ochenta Mil Bolívares con 00/100"/>
  </r>
  <r>
    <n v="868"/>
    <m/>
    <s v="ü"/>
    <d v="2018-02-28T00:00:00"/>
    <n v="160000"/>
    <x v="81"/>
    <x v="69"/>
    <s v="Calle Güigüe Nro. 89-65"/>
    <s v="Cancelación Vigilancia, meses de Febrero y Marzo/2018"/>
    <s v="Vigilancia"/>
    <m/>
    <s v="00868"/>
    <s v="28 de febrero de 2018"/>
    <d v="2018-02-01T00:00:00"/>
    <s v="160.000,00"/>
    <s v="Ciento Sesenta Mil Bolívares con 00/100"/>
  </r>
  <r>
    <n v="869"/>
    <m/>
    <s v="ü"/>
    <d v="2018-03-01T00:00:00"/>
    <n v="130000"/>
    <x v="20"/>
    <x v="18"/>
    <s v="Calle Guacara Nro. 89-30"/>
    <s v="Cancelación Vigilancia, anticipo mes de Marzo/2018"/>
    <s v="Vigilancia"/>
    <m/>
    <s v="00869"/>
    <s v="01 de marzo de 2018"/>
    <d v="2018-03-01T00:00:00"/>
    <s v="130.000,00"/>
    <s v="Ciento Treinta Mil Bolívares con 00/100"/>
  </r>
  <r>
    <n v="870"/>
    <m/>
    <s v="ü"/>
    <d v="2018-03-01T00:00:00"/>
    <n v="140000"/>
    <x v="84"/>
    <x v="71"/>
    <s v="Calle Güigüe Nro. 89-54"/>
    <s v="Cancelación Vigilancia, mes de Marzo/2018"/>
    <s v="Vigilancia"/>
    <m/>
    <s v="00870"/>
    <s v="01 de marzo de 2018"/>
    <d v="2018-03-01T00:00:00"/>
    <s v="140.000,00"/>
    <s v="Ciento Cuarenta Mil Bolívares con 00/100"/>
  </r>
  <r>
    <n v="871"/>
    <m/>
    <s v="ü"/>
    <d v="2018-03-02T00:00:00"/>
    <n v="10000"/>
    <x v="20"/>
    <x v="18"/>
    <s v="Calle Guacara Nro. 89-30"/>
    <s v="Cancelación Vigilancia, saldo mes de Marzo/2018"/>
    <s v="Vigilancia"/>
    <m/>
    <s v="00871"/>
    <s v="02 de marzo de 2018"/>
    <d v="2018-03-01T00:00:00"/>
    <s v="10.000,00"/>
    <s v="Diez Mil Bolívares con 00/100"/>
  </r>
  <r>
    <n v="872"/>
    <m/>
    <s v="ü"/>
    <d v="2018-03-02T00:00:00"/>
    <n v="140000"/>
    <x v="14"/>
    <x v="13"/>
    <s v="Calle Güigüe Nro. 89-83"/>
    <s v="Cancelación Vigilancia, mes de Marzo/2018"/>
    <s v="Vigilancia"/>
    <m/>
    <s v="00872"/>
    <s v="02 de marzo de 2018"/>
    <d v="2018-03-01T00:00:00"/>
    <s v="140.000,00"/>
    <s v="Ciento Cuarenta Mil Bolívares con 00/100"/>
  </r>
  <r>
    <n v="873"/>
    <m/>
    <s v="ü"/>
    <d v="2018-03-02T00:00:00"/>
    <n v="180000"/>
    <x v="52"/>
    <x v="9"/>
    <s v="Calle Güigüe Nro. 89-45"/>
    <s v="Cancelación Vigilancia, saldo meses de Marzo y Abril/2018 (saldo a favor: Bs. 393.000)"/>
    <s v="Vigilancia"/>
    <m/>
    <s v="00873"/>
    <s v="02 de marzo de 2018"/>
    <d v="2018-03-01T00:00:00"/>
    <s v="180.000,00"/>
    <s v="Ciento Ochenta Mil Bolívares con 00/100"/>
  </r>
  <r>
    <n v="874"/>
    <m/>
    <s v="ü"/>
    <d v="2018-03-02T00:00:00"/>
    <n v="170000"/>
    <x v="34"/>
    <x v="9"/>
    <s v="Av. &quot;O&quot; Nro. 146-11"/>
    <s v="Cancelación Vigilancia, saldo mes de Febrero y cancelación mes de Marzo/2018"/>
    <s v="Vigilancia"/>
    <m/>
    <s v="00874"/>
    <s v="02 de marzo de 2018"/>
    <d v="2018-03-01T00:00:00"/>
    <s v="170.000,00"/>
    <s v="Ciento Setenta Mil Bolívares con 00/100"/>
  </r>
  <r>
    <n v="875"/>
    <m/>
    <s v="ü"/>
    <d v="2018-03-02T00:00:00"/>
    <n v="80000"/>
    <x v="65"/>
    <x v="58"/>
    <s v="Calle Güigüe Nro. 88-10"/>
    <s v="Cancelación Vigilancia, mes de Febrero/2018"/>
    <s v="Vigilancia"/>
    <m/>
    <s v="00875"/>
    <s v="02 de marzo de 2018"/>
    <d v="2018-03-01T00:00:00"/>
    <s v="80.000,00"/>
    <s v="Ochenta Mil Bolívares con 00/100"/>
  </r>
  <r>
    <n v="876"/>
    <m/>
    <s v="ü"/>
    <d v="2018-03-02T00:00:00"/>
    <n v="100000"/>
    <x v="15"/>
    <x v="14"/>
    <s v="Calle Guacara Nro. 89-94"/>
    <s v="Colaboración Vigilancia, meses de Febrero y Marzo/2018"/>
    <s v="Vigilancia"/>
    <m/>
    <s v="00876"/>
    <s v="02 de marzo de 2018"/>
    <d v="2018-03-01T00:00:00"/>
    <s v="100.000,00"/>
    <s v="Cien Mil Bolívares con 00/100"/>
  </r>
  <r>
    <n v="877"/>
    <m/>
    <s v="ü"/>
    <d v="2018-03-02T00:00:00"/>
    <n v="140000"/>
    <x v="0"/>
    <x v="0"/>
    <s v="Calle Guacara Nro. 88-45"/>
    <s v="Cancelación Vigilancia, mes de Marzo/2018 (saldo a favor: Bs. 660.000)"/>
    <s v="Vigilancia"/>
    <m/>
    <s v="00877"/>
    <s v="02 de marzo de 2018"/>
    <d v="2018-03-01T00:00:00"/>
    <s v="140.000,00"/>
    <s v="Ciento Cuarenta Mil Bolívares con 00/100"/>
  </r>
  <r>
    <n v="878"/>
    <m/>
    <s v="ü"/>
    <d v="2018-03-05T00:00:00"/>
    <n v="200000"/>
    <x v="7"/>
    <x v="7"/>
    <s v="Calle Guacara Nro. 87-86"/>
    <s v="Colaboración Vigilancia, meses de Febrero y Marzo, y anticipo Abril/2018"/>
    <s v="Vigilancia"/>
    <m/>
    <s v="00878"/>
    <s v="05 de marzo de 2018"/>
    <d v="2018-03-01T00:00:00"/>
    <s v="200.000,00"/>
    <s v="Doscientos Mil Bolívares con 00/100"/>
  </r>
  <r>
    <n v="879"/>
    <m/>
    <s v="ü"/>
    <d v="2018-01-22T00:00:00"/>
    <n v="80000"/>
    <x v="59"/>
    <x v="9"/>
    <s v="Calle Guacara Nro. 90-35"/>
    <s v="Cancelación Vigilancia, mes de Febrero/2018"/>
    <s v="Vigilancia"/>
    <m/>
    <s v="00879"/>
    <s v="22 de enero de 2018"/>
    <d v="2018-01-01T00:00:00"/>
    <s v="80.000,00"/>
    <s v="Ochenta Mil Bolívares con 00/100"/>
  </r>
  <r>
    <n v="880"/>
    <m/>
    <s v="ü"/>
    <d v="2018-03-07T00:00:00"/>
    <n v="140000"/>
    <x v="12"/>
    <x v="12"/>
    <s v="Calle Guacara Nro. 89-20"/>
    <s v="Cancelación saldo Vigilancia, mes de Marzo/2018"/>
    <s v="Vigilancia"/>
    <m/>
    <s v="00880"/>
    <s v="07 de marzo de 2018"/>
    <d v="2018-03-01T00:00:00"/>
    <s v="140.000,00"/>
    <s v="Ciento Cuarenta Mil Bolívares con 00/100"/>
  </r>
  <r>
    <n v="881"/>
    <m/>
    <s v="ü"/>
    <d v="2018-03-07T00:00:00"/>
    <n v="160000"/>
    <x v="48"/>
    <x v="9"/>
    <s v="Calle Güigüe Nro. 88-90"/>
    <s v="Cancelación Vigilancia, meses de Enero y Febrero/2018"/>
    <s v="Vigilancia"/>
    <m/>
    <s v="00881"/>
    <s v="07 de marzo de 2018"/>
    <d v="2018-03-01T00:00:00"/>
    <s v="160.000,00"/>
    <s v="Ciento Sesenta Mil Bolívares con 00/100"/>
  </r>
  <r>
    <n v="882"/>
    <m/>
    <s v="ü"/>
    <d v="2018-03-07T00:00:00"/>
    <n v="140000"/>
    <x v="1"/>
    <x v="1"/>
    <s v="Calle Güigüe Nro. 88-44"/>
    <s v="Cancelación Vigilancia, mes de Marzo/2018"/>
    <s v="Vigilancia"/>
    <m/>
    <s v="00882"/>
    <s v="07 de marzo de 2018"/>
    <d v="2018-03-01T00:00:00"/>
    <s v="140.000,00"/>
    <s v="Ciento Cuarenta Mil Bolívares con 00/100"/>
  </r>
  <r>
    <n v="883"/>
    <m/>
    <s v="ü"/>
    <d v="2018-03-09T00:00:00"/>
    <n v="140000"/>
    <x v="5"/>
    <x v="5"/>
    <s v="Calle Güigüe Nro. 88-120"/>
    <s v="Cancelación Vigilancia, mes de Marzo/2018"/>
    <s v="Vigilancia"/>
    <m/>
    <s v="00883"/>
    <s v="09 de marzo de 2018"/>
    <d v="2018-03-01T00:00:00"/>
    <s v="140.000,00"/>
    <s v="Ciento Cuarenta Mil Bolívares con 00/100"/>
  </r>
  <r>
    <n v="884"/>
    <m/>
    <s v="ü"/>
    <d v="2018-03-09T00:00:00"/>
    <n v="140000"/>
    <x v="75"/>
    <x v="65"/>
    <s v="Av. &quot;Ñ&quot; Nro. 145-25"/>
    <s v="Cancelación Vigilancia, mes de Marzo/2018 (saldo a favor: Bs. 725.000)"/>
    <s v="Vigilancia"/>
    <m/>
    <s v="00884"/>
    <s v="09 de marzo de 2018"/>
    <d v="2018-03-01T00:00:00"/>
    <s v="140.000,00"/>
    <s v="Ciento Cuarenta Mil Bolívares con 00/100"/>
  </r>
  <r>
    <n v="885"/>
    <m/>
    <s v="ü"/>
    <d v="2018-03-12T00:00:00"/>
    <n v="140000"/>
    <x v="35"/>
    <x v="32"/>
    <s v="Calle Güigüe Nro. 89-80"/>
    <s v="Cancelación Vigilancia, mes de Marzo/2018"/>
    <s v="Vigilancia"/>
    <m/>
    <s v="00885"/>
    <s v="12 de marzo de 2018"/>
    <d v="2018-03-01T00:00:00"/>
    <s v="140.000,00"/>
    <s v="Ciento Cuarenta Mil Bolívares con 00/100"/>
  </r>
  <r>
    <n v="886"/>
    <m/>
    <s v="ü"/>
    <d v="2018-03-12T00:00:00"/>
    <n v="80000"/>
    <x v="22"/>
    <x v="20"/>
    <s v="Calle Guacara Nro. 88-25"/>
    <s v="Cancelación Vigilancia, mes de Febrero/2018"/>
    <s v="Vigilancia"/>
    <m/>
    <s v="00886"/>
    <s v="12 de marzo de 2018"/>
    <d v="2018-03-01T00:00:00"/>
    <s v="80.000,00"/>
    <s v="Ochenta Mil Bolívares con 00/100"/>
  </r>
  <r>
    <n v="887"/>
    <m/>
    <s v="ü"/>
    <d v="2018-03-12T00:00:00"/>
    <n v="220000"/>
    <x v="49"/>
    <x v="46"/>
    <s v="Av. &quot;O&quot; Nro. 146-17"/>
    <s v="Cancelación Vigilancia, meses de Febrero y Marzo/2018"/>
    <s v="Vigilancia"/>
    <m/>
    <s v="00887"/>
    <s v="12 de marzo de 2018"/>
    <d v="2018-03-01T00:00:00"/>
    <s v="220.000,00"/>
    <s v="Doscientos Veinte Mil Bolívares con 00/100"/>
  </r>
  <r>
    <n v="888"/>
    <m/>
    <s v="ü"/>
    <d v="2018-02-22T00:00:00"/>
    <n v="30000"/>
    <x v="57"/>
    <x v="9"/>
    <s v="Calle Güigüe Nro. 88-40"/>
    <s v="Colaboración Vigilancia, mes de Enero/2018"/>
    <s v="Vigilancia"/>
    <m/>
    <s v="00888"/>
    <s v="22 de febrero de 2018"/>
    <d v="2018-02-01T00:00:00"/>
    <s v="30.000,00"/>
    <s v="Treinta Mil Bolívares con 00/100"/>
  </r>
  <r>
    <n v="889"/>
    <m/>
    <s v="ü"/>
    <d v="2018-03-02T00:00:00"/>
    <n v="140000"/>
    <x v="19"/>
    <x v="17"/>
    <s v="Calle Guacara Nro. 89-130"/>
    <s v="Cancelación Vigilancia, mes de Marzo/2018"/>
    <s v="Vigilancia"/>
    <m/>
    <s v="00889"/>
    <s v="02 de marzo de 2018"/>
    <d v="2018-03-01T00:00:00"/>
    <s v="140.000,00"/>
    <s v="Ciento Cuarenta Mil Bolívares con 00/100"/>
  </r>
  <r>
    <n v="890"/>
    <m/>
    <s v="ü"/>
    <d v="2018-03-13T00:00:00"/>
    <n v="450000"/>
    <x v="61"/>
    <x v="14"/>
    <s v="Calle Guacara Nro. 87-07"/>
    <s v="Cancelación Vigilancia, meses de Enero, Febrero, Marzo y Abril, y anticipo Mayo/2018"/>
    <s v="Vigilancia"/>
    <m/>
    <s v="00890"/>
    <s v="13 de marzo de 2018"/>
    <d v="2018-03-01T00:00:00"/>
    <s v="450.000,00"/>
    <s v="Cuatrocientos Cincuenta Mil Bolívares con 00/100"/>
  </r>
  <r>
    <n v="891"/>
    <m/>
    <s v="ü"/>
    <d v="2018-03-14T00:00:00"/>
    <n v="140000"/>
    <x v="38"/>
    <x v="35"/>
    <s v="Calle Guacara Nro. 89-78"/>
    <s v="Cancelación Vigilancia, mes de Marzo/2018"/>
    <s v="Vigilancia"/>
    <m/>
    <s v="00891"/>
    <s v="14 de marzo de 2018"/>
    <d v="2018-03-01T00:00:00"/>
    <s v="140.000,00"/>
    <s v="Ciento Cuarenta Mil Bolívares con 00/100"/>
  </r>
  <r>
    <n v="892"/>
    <m/>
    <s v="ü"/>
    <d v="2018-03-14T00:00:00"/>
    <n v="140000"/>
    <x v="24"/>
    <x v="22"/>
    <s v="Calle Güigüe Nro. 88-54"/>
    <s v="Cancelación Vigilancia, mes de Marzo/2018"/>
    <s v="Vigilancia"/>
    <m/>
    <s v="00892"/>
    <s v="14 de marzo de 2018"/>
    <d v="2018-03-01T00:00:00"/>
    <s v="140.000,00"/>
    <s v="Ciento Cuarenta Mil Bolívares con 00/100"/>
  </r>
  <r>
    <n v="893"/>
    <m/>
    <s v="ü"/>
    <d v="2018-03-14T00:00:00"/>
    <n v="300000"/>
    <x v="24"/>
    <x v="22"/>
    <s v="Calle Güigüe Nro. 88-54"/>
    <s v="Venta de tubería "/>
    <s v="Otros"/>
    <m/>
    <s v="00893"/>
    <s v="14 de marzo de 2018"/>
    <d v="2018-03-01T00:00:00"/>
    <s v="300.000,00"/>
    <s v="Trescientos Mil Bolívares con 00/100"/>
  </r>
  <r>
    <n v="894"/>
    <m/>
    <s v="ü"/>
    <d v="2018-03-14T00:00:00"/>
    <n v="140000"/>
    <x v="30"/>
    <x v="28"/>
    <s v="Calle Güigüe Nro. 89-04"/>
    <s v="Cancelación Vigilancia, mes de Marzo/2018"/>
    <s v="Vigilancia"/>
    <m/>
    <s v="00894"/>
    <s v="14 de marzo de 2018"/>
    <d v="2018-03-01T00:00:00"/>
    <s v="140.000,00"/>
    <s v="Ciento Cuarenta Mil Bolívares con 00/100"/>
  </r>
  <r>
    <n v="895"/>
    <m/>
    <s v="ü"/>
    <d v="2018-03-14T00:00:00"/>
    <n v="40000"/>
    <x v="60"/>
    <x v="54"/>
    <s v="Calle Guacara Nro. 88-51"/>
    <s v="Cancelación ajuste de Vigilancia, meses de Marzo y Abril/2018 (saldo a favor: Bs. 5.850)"/>
    <s v="Vigilancia"/>
    <m/>
    <s v="00895"/>
    <s v="14 de marzo de 2018"/>
    <d v="2018-03-01T00:00:00"/>
    <s v="40.000,00"/>
    <s v="Cuarenta Mil Bolívares con 00/100"/>
  </r>
  <r>
    <n v="896"/>
    <m/>
    <s v="ü"/>
    <d v="2018-03-16T00:00:00"/>
    <n v="140000"/>
    <x v="4"/>
    <x v="4"/>
    <s v="Calle Güigüe Nro. 89-55"/>
    <s v="Cancelación Vigilancia, mes de Marzo/2018"/>
    <s v="Vigilancia"/>
    <m/>
    <s v="00896"/>
    <s v="16 de marzo de 2018"/>
    <d v="2018-03-01T00:00:00"/>
    <s v="140.000,00"/>
    <s v="Ciento Cuarenta Mil Bolívares con 00/100"/>
  </r>
  <r>
    <n v="897"/>
    <m/>
    <s v="ü"/>
    <d v="2018-03-16T00:00:00"/>
    <n v="155000"/>
    <x v="9"/>
    <x v="9"/>
    <s v="Av. &quot;M&quot; Nro. 146-30"/>
    <s v="Cancelación Vigilancia, mes de Marzo/2018"/>
    <s v="Vigilancia"/>
    <m/>
    <s v="00897"/>
    <s v="16 de marzo de 2018"/>
    <d v="2018-03-01T00:00:00"/>
    <s v="155.000,00"/>
    <s v="Ciento Cincuenta y Cinco Mil Bolívares con 00/100"/>
  </r>
  <r>
    <n v="898"/>
    <m/>
    <s v="ü"/>
    <d v="2018-03-19T00:00:00"/>
    <n v="80000"/>
    <x v="68"/>
    <x v="60"/>
    <s v="Calle Güigüe Nro. 89-29"/>
    <s v="Colaboración Vigilancia, mes de Marzo/2018"/>
    <s v="Vigilancia"/>
    <m/>
    <s v="00898"/>
    <s v="19 de marzo de 2018"/>
    <d v="2018-03-01T00:00:00"/>
    <s v="80.000,00"/>
    <s v="Ochenta Mil Bolívares con 00/100"/>
  </r>
  <r>
    <n v="899"/>
    <m/>
    <s v="ü"/>
    <d v="2018-03-20T00:00:00"/>
    <n v="470000"/>
    <x v="62"/>
    <x v="55"/>
    <s v="Av. &quot;M&quot; Nro. 145-10"/>
    <s v="Cancelación Vigilancia, meses de Septiembre a Diciembre/2017 y Enero a Marzo/2018"/>
    <s v="Vigilancia"/>
    <m/>
    <s v="00899"/>
    <s v="20 de marzo de 2018"/>
    <d v="2018-03-01T00:00:00"/>
    <s v="470.000,00"/>
    <s v="Cuatrocientos Setenta Mil Bolívares con 00/100"/>
  </r>
  <r>
    <n v="900"/>
    <m/>
    <s v="ü"/>
    <d v="2018-03-20T00:00:00"/>
    <n v="140000"/>
    <x v="45"/>
    <x v="42"/>
    <s v="Calle Güigüe Nro. 87-A-11"/>
    <s v="Cancelación Vigilancia, mes de Marzo/2018"/>
    <s v="Vigilancia"/>
    <m/>
    <s v="00900"/>
    <s v="20 de marzo de 2018"/>
    <d v="2018-03-01T00:00:00"/>
    <s v="140.000,00"/>
    <s v="Ciento Cuarenta Mil Bolívares con 00/100"/>
  </r>
  <r>
    <n v="901"/>
    <m/>
    <s v="ü"/>
    <d v="2018-02-28T00:00:00"/>
    <n v="80000"/>
    <x v="10"/>
    <x v="10"/>
    <s v="Av. &quot;M&quot; Nro. 146-15"/>
    <s v="Cancelación Vigilancia, mes de Febrero/2018"/>
    <s v="Vigilancia"/>
    <m/>
    <s v="00901"/>
    <s v="28 de febrero de 2018"/>
    <d v="2018-02-01T00:00:00"/>
    <s v="80.000,00"/>
    <s v="Ochenta Mil Bolívares con 00/100"/>
  </r>
  <r>
    <n v="902"/>
    <m/>
    <s v="ü"/>
    <d v="2018-03-21T00:00:00"/>
    <n v="200000"/>
    <x v="73"/>
    <x v="9"/>
    <s v="Calle Güigüe Nros. 88-71 y 88-81"/>
    <s v="Cancelación Vigilancia, mes de Marzo/2018"/>
    <s v="Vigilancia"/>
    <m/>
    <s v="00902"/>
    <s v="21 de marzo de 2018"/>
    <d v="2018-03-01T00:00:00"/>
    <s v="200.000,00"/>
    <s v="Doscientos Mil Bolívares con 00/100"/>
  </r>
  <r>
    <n v="903"/>
    <m/>
    <s v="ü"/>
    <d v="2018-03-21T00:00:00"/>
    <n v="300000"/>
    <x v="21"/>
    <x v="19"/>
    <s v="Calle Güigüe Nro. 89-105"/>
    <s v="Cancelación Vigilancia, meses de Enero, Febrero y Marzo/2018"/>
    <s v="Vigilancia"/>
    <m/>
    <s v="00903"/>
    <s v="21 de marzo de 2018"/>
    <d v="2018-03-01T00:00:00"/>
    <s v="300.000,00"/>
    <s v="Trescientos Mil Bolívares con 00/100"/>
  </r>
  <r>
    <n v="904"/>
    <m/>
    <s v="ü"/>
    <d v="2018-03-21T00:00:00"/>
    <n v="220000"/>
    <x v="17"/>
    <x v="74"/>
    <s v="Av. &quot;M&quot; Nro. 146-20"/>
    <s v="Cancelación Vigilancia, meses de Febrero y Marzo/2018"/>
    <s v="Vigilancia"/>
    <m/>
    <s v="00904"/>
    <s v="21 de marzo de 2018"/>
    <d v="2018-03-01T00:00:00"/>
    <s v="220.000,00"/>
    <s v="Doscientos Veinte Mil Bolívares con 00/100"/>
  </r>
  <r>
    <n v="905"/>
    <m/>
    <s v="ü"/>
    <d v="2018-03-21T00:00:00"/>
    <n v="250000"/>
    <x v="31"/>
    <x v="29"/>
    <s v="Calle Güigüe Nro. 89-95"/>
    <s v="Cancelación Vigilancia, saldo mes de Marzo, y anticipo meses de Abril y Mayo/2018"/>
    <s v="Vigilancia"/>
    <m/>
    <s v="00905"/>
    <s v="21 de marzo de 2018"/>
    <d v="2018-03-01T00:00:00"/>
    <s v="250.000,00"/>
    <s v="Doscientos Cincuenta Mil Bolívares con 00/100"/>
  </r>
  <r>
    <n v="906"/>
    <m/>
    <s v="ü"/>
    <d v="2018-03-23T00:00:00"/>
    <n v="180000"/>
    <x v="59"/>
    <x v="9"/>
    <s v="Calle Guacara Nro. 90-35"/>
    <s v="Cancelación Vigilancia, mes de Marzo y anticipo Abril/2018"/>
    <s v="Vigilancia"/>
    <m/>
    <s v="00906"/>
    <s v="23 de marzo de 2018"/>
    <d v="2018-03-01T00:00:00"/>
    <s v="180.000,00"/>
    <s v="Ciento Ochenta Mil Bolívares con 00/100"/>
  </r>
  <r>
    <n v="907"/>
    <m/>
    <s v="ü"/>
    <d v="2018-03-23T00:00:00"/>
    <n v="140000"/>
    <x v="23"/>
    <x v="21"/>
    <s v="Calle Güigüe Nro. 88-116"/>
    <s v="Cancelación Vigilancia, mes de Marzo/2018"/>
    <s v="Vigilancia"/>
    <m/>
    <s v="00907"/>
    <s v="23 de marzo de 2018"/>
    <d v="2018-03-01T00:00:00"/>
    <s v="140.000,00"/>
    <s v="Ciento Cuarenta Mil Bolívares con 00/100"/>
  </r>
  <r>
    <n v="908"/>
    <m/>
    <s v="ü"/>
    <d v="2018-03-26T00:00:00"/>
    <n v="120000"/>
    <x v="69"/>
    <x v="61"/>
    <s v="Calle Güigüe Nro. 89-40"/>
    <s v="Cancelación saldo Vigilancia, meses de Marzo y Abril/2018"/>
    <s v="Vigilancia"/>
    <m/>
    <s v="00908"/>
    <s v="26 de marzo de 2018"/>
    <d v="2018-03-01T00:00:00"/>
    <s v="120.000,00"/>
    <s v="Ciento Veinte Mil Bolívares con 00/100"/>
  </r>
  <r>
    <n v="909"/>
    <m/>
    <s v="ü"/>
    <d v="2018-03-26T00:00:00"/>
    <n v="140000"/>
    <x v="26"/>
    <x v="24"/>
    <s v="Calle Güigüe Nro. 89-96"/>
    <s v="Cancelación Vigilancia, mes de Marzo/2018"/>
    <s v="Vigilancia"/>
    <m/>
    <s v="00909"/>
    <s v="26 de marzo de 2018"/>
    <d v="2018-03-01T00:00:00"/>
    <s v="140.000,00"/>
    <s v="Ciento Cuarenta Mil Bolívares con 00/100"/>
  </r>
  <r>
    <n v="910"/>
    <m/>
    <s v="ü"/>
    <d v="2018-03-26T00:00:00"/>
    <n v="300000"/>
    <x v="47"/>
    <x v="44"/>
    <s v="Calle Güigüe Nro. 88-80"/>
    <s v="Colaboración Vigilancia, meses de Enero, Febrero y Marzo/2017"/>
    <s v="Vigilancia"/>
    <m/>
    <s v="00910"/>
    <s v="26 de marzo de 2018"/>
    <d v="2018-03-01T00:00:00"/>
    <s v="300.000,00"/>
    <s v="Trescientos Mil Bolívares con 00/100"/>
  </r>
  <r>
    <n v="911"/>
    <m/>
    <s v="ü"/>
    <d v="2018-03-26T00:00:00"/>
    <n v="280000"/>
    <x v="27"/>
    <x v="25"/>
    <s v="Calle Güigüe Nro. 89-106"/>
    <s v="Cancelación Vigilancia, meses de Marzo y Abril/2018"/>
    <s v="Vigilancia"/>
    <m/>
    <s v="00911"/>
    <s v="26 de marzo de 2018"/>
    <d v="2018-03-01T00:00:00"/>
    <s v="280.000,00"/>
    <s v="Doscientos Ochenta Mil Bolívares con 00/100"/>
  </r>
  <r>
    <n v="912"/>
    <m/>
    <s v="ü"/>
    <d v="2018-03-26T00:00:00"/>
    <n v="300000"/>
    <x v="28"/>
    <x v="77"/>
    <s v="Calle Güigüe Nro. 88-30"/>
    <s v="Colaboración Vigilancia, meses de Marzo, Abril y Mayo/2018"/>
    <s v="Vigilancia"/>
    <m/>
    <s v="00912"/>
    <s v="26 de marzo de 2018"/>
    <d v="2018-03-01T00:00:00"/>
    <s v="300.000,00"/>
    <s v="Trescientos Mil Bolívares con 00/100"/>
  </r>
  <r>
    <n v="913"/>
    <m/>
    <s v="ü"/>
    <d v="2018-03-26T00:00:00"/>
    <n v="140000"/>
    <x v="36"/>
    <x v="33"/>
    <s v="Calle Güigüe Nro. 89-10"/>
    <s v="Cancelación Vigilancia, mes de Marzo/2018"/>
    <s v="Vigilancia"/>
    <m/>
    <s v="00913"/>
    <s v="26 de marzo de 2018"/>
    <d v="2018-03-01T00:00:00"/>
    <s v="140.000,00"/>
    <s v="Ciento Cuarenta Mil Bolívares con 00/100"/>
  </r>
  <r>
    <n v="914"/>
    <m/>
    <s v="ü"/>
    <d v="2018-03-28T00:00:00"/>
    <n v="140000"/>
    <x v="43"/>
    <x v="40"/>
    <s v="Calle Güigüe Nro. 88-50"/>
    <s v="Cancelación Vigilancia, mes de Marzo/2018"/>
    <s v="Vigilancia"/>
    <m/>
    <s v="00914"/>
    <s v="28 de marzo de 2018"/>
    <d v="2018-03-01T00:00:00"/>
    <s v="140.000,00"/>
    <s v="Ciento Cuarenta Mil Bolívares con 00/100"/>
  </r>
  <r>
    <n v="915"/>
    <m/>
    <s v="ü"/>
    <d v="2018-03-28T00:00:00"/>
    <n v="400000"/>
    <x v="83"/>
    <x v="70"/>
    <s v="Calle Güigüe Nro. 89-22"/>
    <s v="Cancelación Vigilancia, meses de Noviembre y Diciembre/2017 y de Enero a Marzo/2018"/>
    <s v="Vigilancia"/>
    <m/>
    <s v="00915"/>
    <s v="28 de marzo de 2018"/>
    <d v="2018-03-01T00:00:00"/>
    <s v="400.000,00"/>
    <s v="Cuatrocientos Mil Bolívares con 00/100"/>
  </r>
  <r>
    <n v="916"/>
    <m/>
    <s v="ü"/>
    <d v="2018-03-28T00:00:00"/>
    <n v="277550"/>
    <x v="54"/>
    <x v="50"/>
    <s v="Calle Güigüe Nro. 89-21"/>
    <s v="Cancelación Vigilancia, saldo mes de Marzo y mes de Abril/2018"/>
    <s v="Vigilancia"/>
    <m/>
    <s v="00916"/>
    <s v="28 de marzo de 2018"/>
    <d v="2018-03-01T00:00:00"/>
    <s v="277.550,00"/>
    <s v="Doscientos Setenta y Siete Mil Quinientos Cincuenta Bolívares con 00/100"/>
  </r>
  <r>
    <n v="917"/>
    <m/>
    <s v="ü"/>
    <d v="2018-03-28T00:00:00"/>
    <n v="140000"/>
    <x v="56"/>
    <x v="52"/>
    <s v="Calle Güigüe Nro. 88-70"/>
    <s v="Cancelación Vigilancia, mes de Marzo/2018"/>
    <s v="Vigilancia"/>
    <m/>
    <s v="00917"/>
    <s v="28 de marzo de 2018"/>
    <d v="2018-03-01T00:00:00"/>
    <s v="140.000,00"/>
    <s v="Ciento Cuarenta Mil Bolívares con 00/100"/>
  </r>
  <r>
    <n v="918"/>
    <m/>
    <s v="ü"/>
    <d v="2018-03-30T00:00:00"/>
    <n v="140000"/>
    <x v="42"/>
    <x v="39"/>
    <s v="Calle Güigüe Nro. 89-79"/>
    <s v="Cancelación Vigilancia, mes de Marzo/2018 (saldo a favor: Bs. 700.000)"/>
    <s v="Vigilancia"/>
    <m/>
    <s v="00918"/>
    <s v="30 de marzo de 2018"/>
    <d v="2018-03-01T00:00:00"/>
    <s v="140.000,00"/>
    <s v="Ciento Cuarenta Mil Bolívares con 00/100"/>
  </r>
  <r>
    <n v="919"/>
    <m/>
    <s v="ü"/>
    <d v="2018-03-30T00:00:00"/>
    <n v="50000"/>
    <x v="2"/>
    <x v="2"/>
    <s v="Calle Guacara Nro. 88-19"/>
    <s v="Colaboración Vigilancia, mes de Marzo/2018"/>
    <s v="Vigilancia"/>
    <m/>
    <s v="00919"/>
    <s v="30 de marzo de 2018"/>
    <d v="2018-03-01T00:00:00"/>
    <s v="50.000,00"/>
    <s v="Cincuenta Mil Bolívares con 00/100"/>
  </r>
  <r>
    <n v="920"/>
    <m/>
    <s v="ü"/>
    <d v="2018-03-30T00:00:00"/>
    <n v="420000"/>
    <x v="11"/>
    <x v="11"/>
    <s v="Calle Guacara Nro. 89-86"/>
    <s v="Cancelación Vigilancia, meses de Marzo, Abril y Mayo/2018"/>
    <s v="Vigilancia"/>
    <m/>
    <s v="00920"/>
    <s v="30 de marzo de 2018"/>
    <d v="2018-03-01T00:00:00"/>
    <s v="420.000,00"/>
    <s v="Cuatrocientos Veinte Mil Bolívares con 00/100"/>
  </r>
  <r>
    <n v="921"/>
    <m/>
    <s v="ü"/>
    <d v="2018-04-02T00:00:00"/>
    <n v="50000"/>
    <x v="2"/>
    <x v="2"/>
    <s v="Calle Guacara Nro. 88-19"/>
    <s v="Colaboración Vigilancia, complemento mes de Marzo/2018"/>
    <s v="Vigilancia"/>
    <m/>
    <s v="00921"/>
    <s v="02 de abril de 2018"/>
    <d v="2018-04-01T00:00:00"/>
    <s v="50.000,00"/>
    <s v="Cincuenta Mil Bolívares con 00/100"/>
  </r>
  <r>
    <n v="922"/>
    <m/>
    <s v="ü"/>
    <d v="2018-04-04T00:00:00"/>
    <n v="200000"/>
    <x v="18"/>
    <x v="16"/>
    <s v="Calle Guacara Nro. 87-100"/>
    <s v="Vigilancia, saldo mes de Marzo y cancelación mes de Abril/2018"/>
    <s v="Vigilancia"/>
    <m/>
    <s v="00922"/>
    <s v="04 de abril de 2018"/>
    <d v="2018-04-01T00:00:00"/>
    <s v="200.000,00"/>
    <s v="Doscientos Mil Bolívares con 00/100"/>
  </r>
  <r>
    <n v="923"/>
    <m/>
    <s v="ü"/>
    <d v="2018-04-03T00:00:00"/>
    <n v="280000"/>
    <x v="76"/>
    <x v="66"/>
    <s v="Calle Güigüe Nro. 89-90"/>
    <s v="Cancelación Vigilancia, meses de Marzo y Abril/2018"/>
    <s v="Vigilancia"/>
    <m/>
    <s v="00923"/>
    <s v="03 de abril de 2018"/>
    <d v="2018-04-01T00:00:00"/>
    <s v="280.000,00"/>
    <s v="Doscientos Ochenta Mil Bolívares con 00/100"/>
  </r>
  <r>
    <n v="924"/>
    <m/>
    <s v="ü"/>
    <d v="2018-04-04T00:00:00"/>
    <n v="140000"/>
    <x v="1"/>
    <x v="1"/>
    <s v="Calle Güigüe Nro. 88-44"/>
    <s v="Cancelación Vigilancia, mes de Abril/2018"/>
    <s v="Vigilancia"/>
    <m/>
    <s v="00924"/>
    <s v="04 de abril de 2018"/>
    <d v="2018-04-01T00:00:00"/>
    <s v="140.000,00"/>
    <s v="Ciento Cuarenta Mil Bolívares con 00/100"/>
  </r>
  <r>
    <n v="925"/>
    <m/>
    <s v="ü"/>
    <d v="2018-04-04T00:00:00"/>
    <n v="50000"/>
    <x v="86"/>
    <x v="73"/>
    <s v="Calle Guacara Nro. 89-50"/>
    <s v="Colaboración Vigilancia, mes de Abril/2018"/>
    <s v="Vigilancia"/>
    <m/>
    <s v="00925"/>
    <s v="04 de abril de 2018"/>
    <d v="2018-04-01T00:00:00"/>
    <s v="50.000,00"/>
    <s v="Cincuenta Mil Bolívares con 00/100"/>
  </r>
  <r>
    <n v="926"/>
    <m/>
    <s v="ü"/>
    <d v="2018-04-04T00:00:00"/>
    <n v="140000"/>
    <x v="20"/>
    <x v="18"/>
    <s v="Calle Guacara Nro. 89-30"/>
    <s v="Cancelación Vigilancia, mes de Abril/2018"/>
    <s v="Vigilancia"/>
    <m/>
    <s v="00926"/>
    <s v="04 de abril de 2018"/>
    <d v="2018-04-01T00:00:00"/>
    <s v="140.000,00"/>
    <s v="Ciento Cuarenta Mil Bolívares con 00/100"/>
  </r>
  <r>
    <n v="927"/>
    <m/>
    <s v="ü"/>
    <d v="2018-04-04T00:00:00"/>
    <n v="60000"/>
    <x v="20"/>
    <x v="18"/>
    <s v="Calle Guacara Nro. 89-30"/>
    <s v="Anticipo Vigilancia, mes de Junio/2018"/>
    <s v="Vigilancia"/>
    <m/>
    <s v="00927"/>
    <s v="04 de abril de 2018"/>
    <d v="2018-04-01T00:00:00"/>
    <s v="60.000,00"/>
    <s v="Sesenta Mil Bolívares con 00/100"/>
  </r>
  <r>
    <n v="928"/>
    <m/>
    <s v="ü"/>
    <d v="2018-04-04T00:00:00"/>
    <n v="250000"/>
    <x v="6"/>
    <x v="6"/>
    <s v="Calle Guacara Nro. 89-60"/>
    <s v="Cancelación Vigilancia, mes de Abril/2018 y aporte adicional - SUSTITUYE AL ANTERIOR"/>
    <s v="Vigilancia"/>
    <m/>
    <s v="00928"/>
    <s v="04 de abril de 2018"/>
    <d v="2018-04-01T00:00:00"/>
    <s v="250.000,00"/>
    <s v="Doscientos Cincuenta Mil Bolívares con 00/100"/>
  </r>
  <r>
    <n v="929"/>
    <m/>
    <s v="ü"/>
    <d v="2018-04-04T00:00:00"/>
    <n v="140000"/>
    <x v="84"/>
    <x v="71"/>
    <s v="Calle Güigüe Nro. 89-54"/>
    <s v="Cancelación Vigilancia, mes de Abril/2018"/>
    <s v="Vigilancia"/>
    <m/>
    <s v="00929"/>
    <s v="04 de abril de 2018"/>
    <d v="2018-04-01T00:00:00"/>
    <s v="140.000,00"/>
    <s v="Ciento Cuarenta Mil Bolívares con 00/100"/>
  </r>
  <r>
    <n v="930"/>
    <m/>
    <s v="ü"/>
    <d v="2018-04-04T00:00:00"/>
    <n v="280000"/>
    <x v="16"/>
    <x v="15"/>
    <s v="Calle Guacara Nro. 90-81"/>
    <s v="Cancelación Vigilancia, meses de Marzo y Abril/2018"/>
    <s v="Vigilancia"/>
    <m/>
    <s v="00930"/>
    <s v="04 de abril de 2018"/>
    <d v="2018-04-01T00:00:00"/>
    <s v="280.000,00"/>
    <s v="Doscientos Ochenta Mil Bolívares con 00/100"/>
  </r>
  <r>
    <n v="931"/>
    <m/>
    <s v="ü"/>
    <d v="2018-04-04T00:00:00"/>
    <n v="120000"/>
    <x v="16"/>
    <x v="15"/>
    <s v="Calle Guacara Nro. 90-81"/>
    <s v="Colaboración mantenimiento Caseta de Vigilancia"/>
    <s v="Caseta Vigilancia"/>
    <m/>
    <s v="00931"/>
    <s v="04 de abril de 2018"/>
    <d v="2018-04-01T00:00:00"/>
    <s v="120.000,00"/>
    <s v="Ciento Veinte Mil Bolívares con 00/100"/>
  </r>
  <r>
    <n v="932"/>
    <m/>
    <s v="ü"/>
    <d v="2018-04-05T00:00:00"/>
    <n v="140000"/>
    <x v="0"/>
    <x v="0"/>
    <s v="Calle Guacara Nro. 88-45"/>
    <s v="Cancelación Vigilancia, mes de Abril/2018 (saldo a favor: Bs. 520.000)"/>
    <s v="Vigilancia"/>
    <m/>
    <s v="00932"/>
    <s v="05 de abril de 2018"/>
    <d v="2018-04-01T00:00:00"/>
    <s v="140.000,00"/>
    <s v="Ciento Cuarenta Mil Bolívares con 00/100"/>
  </r>
  <r>
    <n v="933"/>
    <m/>
    <s v="ü"/>
    <d v="2018-04-05T00:00:00"/>
    <n v="140000"/>
    <x v="75"/>
    <x v="65"/>
    <s v="Av. &quot;Ñ&quot; Nro. 145-25"/>
    <s v="Cancelación Vigilancia, mes de Abril/2018 (saldo a favor: Bs. 585.000)"/>
    <s v="Vigilancia"/>
    <m/>
    <s v="00933"/>
    <s v="05 de abril de 2018"/>
    <d v="2018-04-01T00:00:00"/>
    <s v="140.000,00"/>
    <s v="Ciento Cuarenta Mil Bolívares con 00/100"/>
  </r>
  <r>
    <n v="934"/>
    <m/>
    <s v="ü"/>
    <d v="2018-04-05T00:00:00"/>
    <n v="140000"/>
    <x v="42"/>
    <x v="39"/>
    <s v="Calle Güigüe Nro. 89-79"/>
    <s v="Cancelación Vigilancia, mes de Abril/2018 (saldo a favor: Bs. 560.000)"/>
    <s v="Vigilancia"/>
    <m/>
    <s v="00934"/>
    <s v="05 de abril de 2018"/>
    <d v="2018-04-01T00:00:00"/>
    <s v="140.000,00"/>
    <s v="Ciento Cuarenta Mil Bolívares con 00/100"/>
  </r>
  <r>
    <n v="935"/>
    <m/>
    <s v="ü"/>
    <d v="2018-04-05T00:00:00"/>
    <n v="300000"/>
    <x v="8"/>
    <x v="78"/>
    <s v="Calle Guacara Nro. 90-51"/>
    <s v="Cancelación Vigilancia, meses de Marzo y Abril/2018 y aporte adicional"/>
    <s v="Vigilancia"/>
    <m/>
    <s v="00935"/>
    <s v="05 de abril de 2018"/>
    <d v="2018-04-01T00:00:00"/>
    <s v="300.000,00"/>
    <s v="Trescientos Mil Bolívares con 00/100"/>
  </r>
  <r>
    <n v="936"/>
    <m/>
    <s v="ü"/>
    <d v="2018-04-05T00:00:00"/>
    <n v="140000"/>
    <x v="12"/>
    <x v="12"/>
    <s v="Calle Guacara Nro. 89-20"/>
    <s v="Cancelación Vigilancia, mes de Abril/2018"/>
    <s v="Vigilancia"/>
    <m/>
    <s v="00936"/>
    <s v="05 de abril de 2018"/>
    <d v="2018-04-01T00:00:00"/>
    <s v="140.000,00"/>
    <s v="Ciento Cuarenta Mil Bolívares con 00/100"/>
  </r>
  <r>
    <n v="937"/>
    <m/>
    <s v="ü"/>
    <d v="2018-04-05T00:00:00"/>
    <n v="140000"/>
    <x v="44"/>
    <x v="41"/>
    <s v="Calle Guacara Nro. 89-40"/>
    <s v="Colaboración Vigilancia, mes de Marzo/2018"/>
    <s v="Vigilancia"/>
    <m/>
    <s v="00937"/>
    <s v="05 de abril de 2018"/>
    <d v="2018-04-01T00:00:00"/>
    <s v="140.000,00"/>
    <s v="Ciento Cuarenta Mil Bolívares con 00/100"/>
  </r>
  <r>
    <n v="938"/>
    <m/>
    <s v="ü"/>
    <d v="2018-04-05T00:00:00"/>
    <n v="280000"/>
    <x v="88"/>
    <x v="76"/>
    <s v="Calle Güigüe Nro. 88-11"/>
    <s v="Cancelación Vigilancia, meses de Marzo y Abril/2018"/>
    <s v="Vigilancia"/>
    <m/>
    <s v="00938"/>
    <s v="05 de abril de 2018"/>
    <d v="2018-04-01T00:00:00"/>
    <s v="280.000,00"/>
    <s v="Doscientos Ochenta Mil Bolívares con 00/100"/>
  </r>
  <r>
    <n v="939"/>
    <m/>
    <s v="ü"/>
    <d v="2018-04-05T00:00:00"/>
    <n v="80000"/>
    <x v="15"/>
    <x v="14"/>
    <s v="Calle Guacara Nro. 89-94"/>
    <s v="Colaboración Vigilancia, mes de Abril/2018"/>
    <s v="Vigilancia"/>
    <m/>
    <s v="00939"/>
    <s v="05 de abril de 2018"/>
    <d v="2018-04-01T00:00:00"/>
    <s v="80.000,00"/>
    <s v="Ochenta Mil Bolívares con 00/100"/>
  </r>
  <r>
    <n v="940"/>
    <m/>
    <s v="ü"/>
    <d v="2018-04-05T00:00:00"/>
    <n v="140000"/>
    <x v="5"/>
    <x v="5"/>
    <s v="Calle Güigüe Nro. 88-120"/>
    <s v="Cancelación Vigilancia, mes de Abril/2018"/>
    <s v="Vigilancia"/>
    <m/>
    <s v="00940"/>
    <s v="05 de abril de 2018"/>
    <d v="2018-04-01T00:00:00"/>
    <s v="140.000,00"/>
    <s v="Ciento Cuarenta Mil Bolívares con 00/100"/>
  </r>
  <r>
    <n v="941"/>
    <m/>
    <s v="ü"/>
    <d v="2018-04-05T00:00:00"/>
    <n v="60000"/>
    <x v="5"/>
    <x v="5"/>
    <s v="Calle Güigüe Nro. 88-120"/>
    <s v="Colaboración mantenimiento Caseta de Vigilancia"/>
    <s v="Caseta Vigilancia"/>
    <m/>
    <s v="00941"/>
    <s v="05 de abril de 2018"/>
    <d v="2018-04-01T00:00:00"/>
    <s v="60.000,00"/>
    <s v="Sesenta Mil Bolívares con 00/100"/>
  </r>
  <r>
    <n v="942"/>
    <m/>
    <s v="ü"/>
    <d v="2017-12-09T00:00:00"/>
    <n v="50000"/>
    <x v="26"/>
    <x v="24"/>
    <s v="Calle Güigüe Nro. 89-96"/>
    <s v="Cancelación Vigilancia, mes de Diciembre/2017"/>
    <s v="Vigilancia"/>
    <m/>
    <s v="00942"/>
    <s v="09 de diciembre de 2017"/>
    <d v="2017-12-01T00:00:00"/>
    <s v="50.000,00"/>
    <s v="Cincuenta Mil Bolívares con 00/100"/>
  </r>
  <r>
    <n v="943"/>
    <m/>
    <s v="ü"/>
    <d v="2018-04-06T00:00:00"/>
    <n v="140000"/>
    <x v="10"/>
    <x v="10"/>
    <s v="Av. &quot;M&quot; Nro. 146-15"/>
    <s v="Cancelación Vigilancia, mes de Marzo/2018"/>
    <s v="Vigilancia"/>
    <m/>
    <s v="00943"/>
    <s v="06 de abril de 2018"/>
    <d v="2018-04-01T00:00:00"/>
    <s v="140.000,00"/>
    <s v="Ciento Cuarenta Mil Bolívares con 00/100"/>
  </r>
  <r>
    <n v="944"/>
    <m/>
    <s v="ü"/>
    <d v="2018-04-06T00:00:00"/>
    <n v="260000"/>
    <x v="37"/>
    <x v="34"/>
    <s v="Av. &quot;I&quot; Nro. 146-40"/>
    <s v="Cancelación Vigilancia, meses de Marzo y Abril/2018"/>
    <s v="Vigilancia"/>
    <m/>
    <s v="00944"/>
    <s v="06 de abril de 2018"/>
    <d v="2018-04-01T00:00:00"/>
    <s v="260.000,00"/>
    <s v="Doscientos Sesenta Mil Bolívares con 00/100"/>
  </r>
  <r>
    <n v="945"/>
    <m/>
    <s v="ü"/>
    <d v="2018-04-07T00:00:00"/>
    <n v="80000"/>
    <x v="7"/>
    <x v="7"/>
    <s v="Calle Guacara Nro. 87-86"/>
    <s v="Colaboración Vigilancia, saldo mes de Abril/2018"/>
    <s v="Vigilancia"/>
    <m/>
    <s v="00945"/>
    <s v="07 de abril de 2018"/>
    <d v="2018-04-01T00:00:00"/>
    <s v="80.000,00"/>
    <s v="Ochenta Mil Bolívares con 00/100"/>
  </r>
  <r>
    <n v="946"/>
    <m/>
    <s v="ü"/>
    <d v="2018-04-08T00:00:00"/>
    <n v="200000"/>
    <x v="22"/>
    <x v="20"/>
    <s v="Calle Guacara Nro. 88-25"/>
    <s v="Colaboración Vigilancia, meses de Marzo y Abril/2018"/>
    <s v="Vigilancia"/>
    <m/>
    <s v="00946"/>
    <s v="08 de abril de 2018"/>
    <d v="2018-04-01T00:00:00"/>
    <s v="200.000,00"/>
    <s v="Doscientos Mil Bolívares con 00/100"/>
  </r>
  <r>
    <n v="947"/>
    <m/>
    <s v="ü"/>
    <d v="2018-04-08T00:00:00"/>
    <n v="140000"/>
    <x v="34"/>
    <x v="9"/>
    <s v="Av. &quot;O&quot; Nro. 146-11"/>
    <s v="Cancelación Vigilancia, mes de Abril/2018"/>
    <s v="Vigilancia"/>
    <m/>
    <s v="00947"/>
    <s v="08 de abril de 2018"/>
    <d v="2018-04-01T00:00:00"/>
    <s v="140.000,00"/>
    <s v="Ciento Cuarenta Mil Bolívares con 00/100"/>
  </r>
  <r>
    <n v="948"/>
    <m/>
    <s v="ü"/>
    <d v="2018-04-10T00:00:00"/>
    <n v="280000"/>
    <x v="65"/>
    <x v="58"/>
    <s v="Calle Güigüe Nro. 88-10"/>
    <s v="Cancelación Vigilancia, meses de Marzo y Abril/2018"/>
    <s v="Vigilancia"/>
    <m/>
    <s v="00948"/>
    <s v="10 de abril de 2018"/>
    <d v="2018-04-01T00:00:00"/>
    <s v="280.000,00"/>
    <s v="Doscientos Ochenta Mil Bolívares con 00/100"/>
  </r>
  <r>
    <n v="949"/>
    <m/>
    <s v="ü"/>
    <d v="2018-04-10T00:00:00"/>
    <n v="200000"/>
    <x v="81"/>
    <x v="69"/>
    <s v="Calle Güigüe Nro. 89-65"/>
    <s v="Cancelación Vigilancia, saldo mes de Marzo y cancelación mes de Abril/2018"/>
    <s v="Vigilancia"/>
    <m/>
    <s v="00949"/>
    <s v="10 de abril de 2018"/>
    <d v="2018-04-01T00:00:00"/>
    <s v="200.000,00"/>
    <s v="Doscientos Mil Bolívares con 00/100"/>
  </r>
  <r>
    <n v="950"/>
    <m/>
    <s v="ü"/>
    <d v="2018-04-11T00:00:00"/>
    <n v="200000"/>
    <x v="73"/>
    <x v="9"/>
    <s v="Calle Güigüe Nros. 88-71 y 88-81"/>
    <s v="Cancelación Vigilancia, mes de Abril/2018"/>
    <s v="Vigilancia"/>
    <m/>
    <s v="00950"/>
    <s v="11 de abril de 2018"/>
    <d v="2018-04-01T00:00:00"/>
    <s v="200.000,00"/>
    <s v="Doscientos Mil Bolívares con 00/100"/>
  </r>
  <r>
    <n v="951"/>
    <m/>
    <s v="ü"/>
    <d v="2018-04-11T00:00:00"/>
    <n v="140000"/>
    <x v="30"/>
    <x v="28"/>
    <s v="Calle Güigüe Nro. 89-04"/>
    <s v="Cancelación Vigilancia, mes de Abril/2018"/>
    <s v="Vigilancia"/>
    <m/>
    <s v="00951"/>
    <s v="11 de abril de 2018"/>
    <d v="2018-04-01T00:00:00"/>
    <s v="140.000,00"/>
    <s v="Ciento Cuarenta Mil Bolívares con 00/100"/>
  </r>
  <r>
    <n v="952"/>
    <m/>
    <s v="ü"/>
    <d v="2018-04-11T00:00:00"/>
    <n v="140000"/>
    <x v="20"/>
    <x v="18"/>
    <s v="Calle Guacara Nro. 89-30"/>
    <s v="Anticipo Vigilancia, mes de Junio/2018"/>
    <s v="Vigilancia"/>
    <m/>
    <s v="00952"/>
    <s v="11 de abril de 2018"/>
    <d v="2018-04-01T00:00:00"/>
    <s v="140.000,00"/>
    <s v="Ciento Cuarenta Mil Bolívares con 00/100"/>
  </r>
  <r>
    <n v="953"/>
    <m/>
    <s v="ü"/>
    <d v="2018-04-13T00:00:00"/>
    <n v="140000"/>
    <x v="38"/>
    <x v="35"/>
    <s v="Calle Guacara Nro. 89-78"/>
    <s v="Cancelación Vigilancia, mes de Abril/2018"/>
    <s v="Vigilancia"/>
    <m/>
    <s v="00953"/>
    <s v="13 de abril de 2018"/>
    <d v="2018-04-01T00:00:00"/>
    <s v="140.000,00"/>
    <s v="Ciento Cuarenta Mil Bolívares con 00/100"/>
  </r>
  <r>
    <n v="954"/>
    <m/>
    <s v="ü"/>
    <d v="2018-04-13T00:00:00"/>
    <n v="60000"/>
    <x v="38"/>
    <x v="35"/>
    <s v="Calle Guacara Nro. 89-78"/>
    <s v="Colaboración mantenimiento Caseta de Vigilancia"/>
    <s v="Caseta Vigilancia"/>
    <m/>
    <s v="00954"/>
    <s v="13 de abril de 2018"/>
    <d v="2018-04-01T00:00:00"/>
    <s v="60.000,00"/>
    <s v="Sesenta Mil Bolívares con 00/100"/>
  </r>
  <r>
    <n v="955"/>
    <m/>
    <s v="ü"/>
    <d v="2018-04-13T00:00:00"/>
    <n v="140000"/>
    <x v="45"/>
    <x v="42"/>
    <s v="Calle Güigüe Nro. 87-A-11"/>
    <s v="Cancelación Vigilancia, mes de Abril/2018"/>
    <s v="Vigilancia"/>
    <m/>
    <s v="00955"/>
    <s v="13 de abril de 2018"/>
    <d v="2018-04-01T00:00:00"/>
    <s v="140.000,00"/>
    <s v="Ciento Cuarenta Mil Bolívares con 00/100"/>
  </r>
  <r>
    <n v="956"/>
    <m/>
    <s v="ü"/>
    <d v="2018-04-13T00:00:00"/>
    <n v="60000"/>
    <x v="45"/>
    <x v="42"/>
    <s v="Calle Güigüe Nro. 87-A-11"/>
    <s v="Colaboración mantenimiento Caseta de Vigilancia"/>
    <s v="Caseta Vigilancia"/>
    <m/>
    <s v="00956"/>
    <s v="13 de abril de 2018"/>
    <d v="2018-04-01T00:00:00"/>
    <s v="60.000,00"/>
    <s v="Sesenta Mil Bolívares con 00/100"/>
  </r>
  <r>
    <n v="957"/>
    <m/>
    <s v="ü"/>
    <d v="2018-04-13T00:00:00"/>
    <n v="140000"/>
    <x v="40"/>
    <x v="37"/>
    <s v="Calle Güigüe Nro. 88-101"/>
    <s v="Cancelación Vigilancia, mes de Marzo/2018"/>
    <s v="Vigilancia"/>
    <m/>
    <s v="00957"/>
    <s v="13 de abril de 2018"/>
    <d v="2018-04-01T00:00:00"/>
    <s v="140.000,00"/>
    <s v="Ciento Cuarenta Mil Bolívares con 00/100"/>
  </r>
  <r>
    <n v="958"/>
    <m/>
    <s v="ü"/>
    <d v="2018-04-13T00:00:00"/>
    <n v="140000"/>
    <x v="35"/>
    <x v="32"/>
    <s v="Calle Güigüe Nro. 89-80"/>
    <s v="Cancelación Vigilancia, mes de Abril/2018"/>
    <s v="Vigilancia"/>
    <m/>
    <s v="00958"/>
    <s v="13 de abril de 2018"/>
    <d v="2018-04-01T00:00:00"/>
    <s v="140.000,00"/>
    <s v="Ciento Cuarenta Mil Bolívares con 00/100"/>
  </r>
  <r>
    <n v="959"/>
    <m/>
    <s v="ü"/>
    <d v="2018-04-16T00:00:00"/>
    <n v="140000"/>
    <x v="26"/>
    <x v="24"/>
    <s v="Calle Güigüe Nro. 89-96"/>
    <s v="Cancelación Vigilancia, mes de Abril/2018"/>
    <s v="Vigilancia"/>
    <m/>
    <s v="00959"/>
    <s v="16 de abril de 2018"/>
    <d v="2018-04-01T00:00:00"/>
    <s v="140.000,00"/>
    <s v="Ciento Cuarenta Mil Bolívares con 00/100"/>
  </r>
  <r>
    <n v="960"/>
    <m/>
    <s v="ü"/>
    <d v="2018-04-17T00:00:00"/>
    <n v="80000"/>
    <x v="68"/>
    <x v="60"/>
    <s v="Calle Güigüe Nro. 89-29"/>
    <s v="Colaboración Vigilancia, mes de Abril/2018"/>
    <s v="Vigilancia"/>
    <m/>
    <s v="00960"/>
    <s v="17 de abril de 2018"/>
    <d v="2018-04-01T00:00:00"/>
    <s v="80.000,00"/>
    <s v="Ochenta Mil Bolívares con 00/100"/>
  </r>
  <r>
    <n v="961"/>
    <m/>
    <s v="ü"/>
    <d v="2018-04-17T00:00:00"/>
    <n v="140000"/>
    <x v="19"/>
    <x v="17"/>
    <s v="Calle Guacara Nro. 89-130"/>
    <s v="Cancelación Vigilancia, mes de Abril/2018"/>
    <s v="Vigilancia"/>
    <m/>
    <s v="00961"/>
    <s v="17 de abril de 2018"/>
    <d v="2018-04-01T00:00:00"/>
    <s v="140.000,00"/>
    <s v="Ciento Cuarenta Mil Bolívares con 00/100"/>
  </r>
  <r>
    <n v="962"/>
    <m/>
    <s v="ü"/>
    <d v="2018-04-19T00:00:00"/>
    <n v="140000"/>
    <x v="23"/>
    <x v="21"/>
    <s v="Calle Güigüe Nro. 88-116"/>
    <s v="Cancelación Vigilancia, mes de Abril/2018"/>
    <s v="Vigilancia"/>
    <m/>
    <s v="00962"/>
    <s v="19 de abril de 2018"/>
    <d v="2018-04-01T00:00:00"/>
    <s v="140.000,00"/>
    <s v="Ciento Cuarenta Mil Bolívares con 00/100"/>
  </r>
  <r>
    <n v="963"/>
    <m/>
    <s v="ü"/>
    <d v="2018-04-16T00:00:00"/>
    <n v="140000"/>
    <x v="4"/>
    <x v="4"/>
    <s v="Calle Güigüe Nro. 89-55"/>
    <s v="Cancelación Vigilancia, mes de Abril/2018"/>
    <s v="Vigilancia"/>
    <m/>
    <s v="00963"/>
    <s v="16 de abril de 2018"/>
    <d v="2018-04-01T00:00:00"/>
    <s v="140.000,00"/>
    <s v="Ciento Cuarenta Mil Bolívares con 00/100"/>
  </r>
  <r>
    <n v="964"/>
    <m/>
    <s v="ü"/>
    <d v="2018-04-20T00:00:00"/>
    <n v="280000"/>
    <x v="67"/>
    <x v="79"/>
    <s v="Calle Guacara Nro. 90-93"/>
    <s v="Cancelación Vigilancia, meses de Marzo y Abril/2018"/>
    <s v="Vigilancia"/>
    <m/>
    <s v="00964"/>
    <s v="20 de abril de 2018"/>
    <d v="2018-04-01T00:00:00"/>
    <s v="280.000,00"/>
    <s v="Doscientos Ochenta Mil Bolívares con 00/100"/>
  </r>
  <r>
    <n v="965"/>
    <m/>
    <s v="ü"/>
    <d v="2018-04-20T00:00:00"/>
    <n v="500000"/>
    <x v="60"/>
    <x v="54"/>
    <s v="Calle Guacara Nro. 88-51"/>
    <s v="Colaboración mantenimiento Caseta de Vigilancia"/>
    <s v="Caseta Vigilancia"/>
    <m/>
    <s v="00965"/>
    <s v="20 de abril de 2018"/>
    <d v="2018-04-01T00:00:00"/>
    <s v="500.000,00"/>
    <s v="Quinientos Mil Bolívares con 00/100"/>
  </r>
  <r>
    <n v="966"/>
    <m/>
    <s v="ü"/>
    <d v="2018-04-21T00:00:00"/>
    <n v="200000"/>
    <x v="71"/>
    <x v="62"/>
    <s v="Calle Güigüe Nro. 89-71"/>
    <s v="Colaboración Vigilancia, meses de Marzo y Abril/2018"/>
    <s v="Vigilancia"/>
    <m/>
    <s v="00966"/>
    <s v="21 de abril de 2018"/>
    <d v="2018-04-01T00:00:00"/>
    <s v="200.000,00"/>
    <s v="Doscientos Mil Bolívares con 00/100"/>
  </r>
  <r>
    <n v="967"/>
    <m/>
    <s v="ü"/>
    <d v="2018-04-21T00:00:00"/>
    <n v="100000"/>
    <x v="59"/>
    <x v="9"/>
    <s v="Calle Guacara Nro. 90-35"/>
    <s v="Cancelación Vigilancia, saldo mes de Abril/2018"/>
    <s v="Vigilancia"/>
    <m/>
    <s v="00967"/>
    <s v="21 de abril de 2018"/>
    <d v="2018-04-01T00:00:00"/>
    <s v="100.000,00"/>
    <s v="Cien Mil Bolívares con 00/100"/>
  </r>
  <r>
    <n v="968"/>
    <m/>
    <s v="ü"/>
    <d v="2018-04-22T00:00:00"/>
    <n v="140000"/>
    <x v="24"/>
    <x v="22"/>
    <s v="Calle Güigüe Nro. 88-54"/>
    <s v="Cancelación Vigilancia, mes de Abril/2018"/>
    <s v="Vigilancia"/>
    <m/>
    <s v="00968"/>
    <s v="22 de abril de 2018"/>
    <d v="2018-04-01T00:00:00"/>
    <s v="140.000,00"/>
    <s v="Ciento Cuarenta Mil Bolívares con 00/100"/>
  </r>
  <r>
    <n v="969"/>
    <m/>
    <s v="ü"/>
    <d v="2018-04-22T00:00:00"/>
    <n v="100000"/>
    <x v="24"/>
    <x v="22"/>
    <s v="Calle Güigüe Nro. 88-54"/>
    <s v="Colaboración mantenimiento Caseta de Vigilancia"/>
    <s v="Caseta Vigilancia"/>
    <m/>
    <s v="00969"/>
    <s v="22 de abril de 2018"/>
    <d v="2018-04-01T00:00:00"/>
    <s v="100.000,00"/>
    <s v="Cien Mil Bolívares con 00/100"/>
  </r>
  <r>
    <n v="970"/>
    <m/>
    <s v="ü"/>
    <d v="2018-04-23T00:00:00"/>
    <n v="140000"/>
    <x v="84"/>
    <x v="71"/>
    <s v="Calle Güigüe Nro. 89-54"/>
    <s v="Cancelación Vigilancia, mes de Mayo/2018"/>
    <s v="Vigilancia"/>
    <m/>
    <s v="00970"/>
    <s v="23 de abril de 2018"/>
    <d v="2018-04-01T00:00:00"/>
    <s v="140.000,00"/>
    <s v="Ciento Cuarenta Mil Bolívares con 00/100"/>
  </r>
  <r>
    <n v="971"/>
    <m/>
    <s v="ü"/>
    <d v="2018-04-23T00:00:00"/>
    <n v="60000"/>
    <x v="84"/>
    <x v="71"/>
    <s v="Calle Güigüe Nro. 89-54"/>
    <s v="Colaboración mantenimiento Caseta de Vigilancia"/>
    <s v="Caseta Vigilancia"/>
    <m/>
    <s v="00971"/>
    <s v="23 de abril de 2018"/>
    <d v="2018-04-01T00:00:00"/>
    <s v="60.000,00"/>
    <s v="Sesenta Mil Bolívares con 00/100"/>
  </r>
  <r>
    <n v="972"/>
    <m/>
    <s v="ü"/>
    <d v="2018-04-24T00:00:00"/>
    <n v="60000"/>
    <x v="74"/>
    <x v="64"/>
    <s v="Calle Güigüe Nro. 88-20"/>
    <s v="Colaboración Vigilancia, meses de Marzo y Abril/2018"/>
    <s v="Vigilancia"/>
    <m/>
    <s v="00972"/>
    <s v="24 de abril de 2018"/>
    <d v="2018-04-01T00:00:00"/>
    <s v="60.000,00"/>
    <s v="Sesenta Mil Bolívares con 00/100"/>
  </r>
  <r>
    <n v="973"/>
    <m/>
    <s v="ü"/>
    <d v="2018-04-25T00:00:00"/>
    <n v="140000"/>
    <x v="36"/>
    <x v="33"/>
    <s v="Calle Güigüe Nro. 89-10"/>
    <s v="Cancelación Vigilancia, mes de Abril/2018"/>
    <s v="Vigilancia"/>
    <m/>
    <s v="00973"/>
    <s v="25 de abril de 2018"/>
    <d v="2018-04-01T00:00:00"/>
    <s v="140.000,00"/>
    <s v="Ciento Cuarenta Mil Bolívares con 00/100"/>
  </r>
  <r>
    <n v="974"/>
    <m/>
    <s v="ü"/>
    <d v="2018-04-26T00:00:00"/>
    <n v="300000"/>
    <x v="6"/>
    <x v="6"/>
    <s v="Calle Guacara Nro. 89-60"/>
    <s v="Cancelación Vigilancia, mes de Mayo/2018 y aporte adicional"/>
    <s v="Vigilancia"/>
    <m/>
    <s v="00974"/>
    <s v="26 de abril de 2018"/>
    <d v="2018-04-01T00:00:00"/>
    <s v="300.000,00"/>
    <s v="Trescientos Mil Bolívares con 00/100"/>
  </r>
  <r>
    <n v="975"/>
    <m/>
    <s v="ü"/>
    <d v="2018-04-26T00:00:00"/>
    <n v="300000"/>
    <x v="6"/>
    <x v="6"/>
    <s v="Calle Guacara Nro. 89-60"/>
    <s v="Anticipo Vigilancia, mes de Junio/2018"/>
    <s v="Vigilancia"/>
    <m/>
    <s v="00975"/>
    <s v="26 de abril de 2018"/>
    <d v="2018-04-01T00:00:00"/>
    <s v="300.000,00"/>
    <s v="Trescientos Mil Bolívares con 00/100"/>
  </r>
  <r>
    <n v="976"/>
    <m/>
    <s v="ü"/>
    <d v="2018-04-26T00:00:00"/>
    <n v="250000"/>
    <x v="18"/>
    <x v="16"/>
    <s v="Calle Guacara Nro. 87-100"/>
    <s v="Cancelación Vigilancia, mes de Mayo/2018"/>
    <s v="Vigilancia"/>
    <m/>
    <s v="00976"/>
    <s v="26 de abril de 2018"/>
    <d v="2018-04-01T00:00:00"/>
    <s v="250.000,00"/>
    <s v="Doscientos Cincuenta Mil Bolívares con 00/100"/>
  </r>
  <r>
    <n v="977"/>
    <m/>
    <s v="ü"/>
    <d v="2018-04-26T00:00:00"/>
    <n v="250000"/>
    <x v="18"/>
    <x v="16"/>
    <s v="Calle Guacara Nro. 87-100"/>
    <s v="Colaboración mantenimiento Caseta de Vigilancia"/>
    <s v="Caseta Vigilancia"/>
    <m/>
    <s v="00977"/>
    <s v="26 de abril de 2018"/>
    <d v="2018-04-01T00:00:00"/>
    <s v="250.000,00"/>
    <s v="Doscientos Cincuenta Mil Bolívares con 00/100"/>
  </r>
  <r>
    <n v="978"/>
    <m/>
    <s v="ü"/>
    <d v="2018-04-26T00:00:00"/>
    <n v="300000"/>
    <x v="43"/>
    <x v="40"/>
    <s v="Calle Güigüe Nro. 88-50"/>
    <s v="Cancelación Vigilancia, mes de Abril/2018"/>
    <s v="Vigilancia"/>
    <m/>
    <s v="00978"/>
    <s v="26 de abril de 2018"/>
    <d v="2018-04-01T00:00:00"/>
    <s v="300.000,00"/>
    <s v="Trescientos Mil Bolívares con 00/100"/>
  </r>
  <r>
    <n v="979"/>
    <m/>
    <s v="û"/>
    <d v="2018-04-26T00:00:00"/>
    <n v="160000"/>
    <x v="43"/>
    <x v="40"/>
    <s v="Calle Güigüe Nro. 88-50"/>
    <s v="ANULADO: Colaboración mantenimiento Caseta de Vigilancia"/>
    <s v="ANULADO"/>
    <m/>
    <s v="00979"/>
    <s v="26 de abril de 2018"/>
    <d v="2018-04-01T00:00:00"/>
    <s v="160.000,00"/>
    <s v="Ciento Sesenta Mil Bolívares con 00/100"/>
  </r>
  <r>
    <n v="980"/>
    <m/>
    <s v="ü"/>
    <d v="2018-04-26T00:00:00"/>
    <n v="280000"/>
    <x v="46"/>
    <x v="43"/>
    <s v="Av. &quot;I&quot; Nro. 146-20"/>
    <s v="Cancelación Vigilancia, meses de Marzo y Abril/2018"/>
    <s v="Vigilancia"/>
    <m/>
    <s v="00980"/>
    <s v="26 de abril de 2018"/>
    <d v="2018-04-01T00:00:00"/>
    <s v="280.000,00"/>
    <s v="Doscientos Ochenta Mil Bolívares con 00/100"/>
  </r>
  <r>
    <n v="981"/>
    <m/>
    <s v="ü"/>
    <d v="2018-04-26T00:00:00"/>
    <n v="280000"/>
    <x v="87"/>
    <x v="75"/>
    <s v="Calle Güigüe Nro. 88-06"/>
    <s v="Cancelación Vigilancia, meses de Marzo y Abril/2018"/>
    <s v="Vigilancia"/>
    <m/>
    <s v="00981"/>
    <s v="26 de abril de 2018"/>
    <d v="2018-04-01T00:00:00"/>
    <s v="280.000,00"/>
    <s v="Doscientos Ochenta Mil Bolívares con 00/100"/>
  </r>
  <r>
    <n v="982"/>
    <m/>
    <s v="ü"/>
    <d v="2018-04-30T00:00:00"/>
    <n v="140000"/>
    <x v="40"/>
    <x v="37"/>
    <s v="Calle Güigüe Nro. 88-101"/>
    <s v="Cancelación Vigilancia, mes de Abril/2018"/>
    <s v="Vigilancia"/>
    <m/>
    <s v="00982"/>
    <s v="30 de abril de 2018"/>
    <d v="2018-04-01T00:00:00"/>
    <s v="140.000,00"/>
    <s v="Ciento Cuarenta Mil Bolívares con 00/100"/>
  </r>
  <r>
    <n v="983"/>
    <m/>
    <s v="ü"/>
    <d v="2018-05-03T00:00:00"/>
    <n v="500000"/>
    <x v="53"/>
    <x v="80"/>
    <s v="Calle Guacara Nro. 88-91"/>
    <s v="Colaboración Vigilancia, meses de Enero, Febrero, Marzo, Abril y anticipo mes de Mayo/2018"/>
    <s v="Vigilancia"/>
    <m/>
    <s v="00983"/>
    <s v="03 de mayo de 2018"/>
    <d v="2018-05-01T00:00:00"/>
    <s v="500.000,00"/>
    <s v="Quinientos Mil Bolívares con 00/100"/>
  </r>
  <r>
    <n v="984"/>
    <m/>
    <s v="ü"/>
    <d v="2018-05-03T00:00:00"/>
    <n v="400000"/>
    <x v="4"/>
    <x v="4"/>
    <s v="Calle Güigüe Nro. 89-55"/>
    <s v="Cancelación Vigilancia, mes de Mayo/2018 (saldo a favor: Bs. 360.000)"/>
    <s v="Vigilancia"/>
    <m/>
    <s v="00984"/>
    <s v="03 de mayo de 2018"/>
    <d v="2018-05-01T00:00:00"/>
    <s v="400.000,00"/>
    <s v="Cuatrocientos Mil Bolívares con 00/100"/>
  </r>
  <r>
    <n v="985"/>
    <m/>
    <s v="ü"/>
    <d v="2018-05-03T00:00:00"/>
    <n v="400000"/>
    <x v="52"/>
    <x v="9"/>
    <s v="Calle Güigüe Nro. 89-45"/>
    <s v="Cancelación Vigilancia, mes de Mayo/2018 (saldo a favor: Bs. 1.393.000)"/>
    <s v="Vigilancia"/>
    <m/>
    <s v="00985"/>
    <s v="03 de mayo de 2018"/>
    <d v="2018-05-01T00:00:00"/>
    <s v="400.000,00"/>
    <s v="Cuatrocientos Mil Bolívares con 00/100"/>
  </r>
  <r>
    <n v="986"/>
    <m/>
    <s v="ü"/>
    <d v="2018-05-03T00:00:00"/>
    <n v="400000"/>
    <x v="75"/>
    <x v="65"/>
    <s v="Av. &quot;Ñ&quot; Nro. 145-25"/>
    <s v="Cancelación Vigilancia, mes de Mayo/2018 (saldo a favor: Bs. 185.000)"/>
    <s v="Vigilancia"/>
    <m/>
    <s v="00986"/>
    <s v="03 de mayo de 2018"/>
    <d v="2018-05-01T00:00:00"/>
    <s v="400.000,00"/>
    <s v="Cuatrocientos Mil Bolívares con 00/100"/>
  </r>
  <r>
    <n v="987"/>
    <m/>
    <s v="ü"/>
    <d v="2018-05-03T00:00:00"/>
    <n v="400000"/>
    <x v="0"/>
    <x v="0"/>
    <s v="Calle Guacara Nro. 88-45"/>
    <s v="Cancelación Vigilancia, mes de Mayo/2018 (saldo a favor: Bs. 120.000)"/>
    <s v="Vigilancia"/>
    <m/>
    <s v="00987"/>
    <s v="03 de mayo de 2018"/>
    <d v="2018-05-01T00:00:00"/>
    <s v="400.000,00"/>
    <s v="Cuatrocientos Mil Bolívares con 00/100"/>
  </r>
  <r>
    <n v="988"/>
    <m/>
    <s v="ü"/>
    <d v="2018-05-03T00:00:00"/>
    <n v="400000"/>
    <x v="42"/>
    <x v="39"/>
    <s v="Calle Güigüe Nro. 89-79"/>
    <s v="Cancelación Vigilancia, mes de Mayo/2018 (saldo a favor: Bs. 160.000)"/>
    <s v="Vigilancia"/>
    <m/>
    <s v="00988"/>
    <s v="03 de mayo de 2018"/>
    <d v="2018-05-01T00:00:00"/>
    <s v="400.000,00"/>
    <s v="Cuatrocientos Mil Bolívares con 00/100"/>
  </r>
  <r>
    <n v="989"/>
    <m/>
    <s v="ü"/>
    <d v="2018-05-03T00:00:00"/>
    <n v="140000"/>
    <x v="82"/>
    <x v="9"/>
    <s v="Calle Guacara Nro. 90-61"/>
    <s v="Cancelación Vigilancia, mes de Abril/2018"/>
    <s v="Vigilancia"/>
    <m/>
    <s v="00989"/>
    <s v="03 de mayo de 2018"/>
    <d v="2018-05-01T00:00:00"/>
    <s v="140.000,00"/>
    <s v="Ciento Cuarenta Mil Bolívares con 00/100"/>
  </r>
  <r>
    <n v="990"/>
    <m/>
    <s v="ü"/>
    <d v="2018-05-03T00:00:00"/>
    <n v="520000"/>
    <x v="64"/>
    <x v="57"/>
    <s v="Calle Guacara Nro. 88-35"/>
    <s v="Cancelación Vigilancia, saldo meses de Marzo y Abril y cancelación mes de Mayo/2018"/>
    <s v="Vigilancia"/>
    <m/>
    <s v="00990"/>
    <s v="03 de mayo de 2018"/>
    <d v="2018-05-01T00:00:00"/>
    <s v="520.000,00"/>
    <s v="Quinientos Veinte Mil Bolívares con 00/100"/>
  </r>
  <r>
    <n v="991"/>
    <m/>
    <s v="ü"/>
    <d v="2018-05-03T00:00:00"/>
    <n v="400000"/>
    <x v="81"/>
    <x v="69"/>
    <s v="Calle Güigüe Nro. 89-65"/>
    <s v="Cancelación Vigilancia, mes de Mayo/2018"/>
    <s v="Vigilancia"/>
    <m/>
    <s v="00991"/>
    <s v="03 de mayo de 2018"/>
    <d v="2018-05-01T00:00:00"/>
    <s v="400.000,00"/>
    <s v="Cuatrocientos Mil Bolívares con 00/100"/>
  </r>
  <r>
    <n v="992"/>
    <m/>
    <s v="ü"/>
    <d v="2018-05-04T00:00:00"/>
    <n v="400000"/>
    <x v="20"/>
    <x v="18"/>
    <s v="Calle Guacara Nro. 89-30"/>
    <s v="Cancelación Vigilancia, mes de Mayo/2018"/>
    <s v="Vigilancia"/>
    <m/>
    <s v="00992"/>
    <s v="04 de mayo de 2018"/>
    <d v="2018-05-01T00:00:00"/>
    <s v="400.000,00"/>
    <s v="Cuatrocientos Mil Bolívares con 00/100"/>
  </r>
  <r>
    <n v="993"/>
    <m/>
    <s v="ü"/>
    <d v="2018-05-04T00:00:00"/>
    <n v="550000"/>
    <x v="21"/>
    <x v="19"/>
    <s v="Calle Güigüe Nro. 89-105"/>
    <s v="Cancelación Vigilancia, meses de Abril y Mayo/2018"/>
    <s v="Vigilancia"/>
    <m/>
    <s v="00993"/>
    <s v="04 de mayo de 2018"/>
    <d v="2018-05-01T00:00:00"/>
    <s v="550.000,00"/>
    <s v="Quinientos Cincuenta Mil Bolívares con 00/100"/>
  </r>
  <r>
    <n v="994"/>
    <m/>
    <s v="ü"/>
    <d v="2018-05-04T00:00:00"/>
    <n v="400000"/>
    <x v="12"/>
    <x v="12"/>
    <s v="Calle Guacara Nro. 89-20"/>
    <s v="Cancelación Vigilancia, mes de Mayo/2018"/>
    <s v="Vigilancia"/>
    <m/>
    <s v="00994"/>
    <s v="04 de mayo de 2018"/>
    <d v="2018-05-01T00:00:00"/>
    <s v="400.000,00"/>
    <s v="Cuatrocientos Mil Bolívares con 00/100"/>
  </r>
  <r>
    <n v="995"/>
    <m/>
    <s v="ü"/>
    <d v="2018-05-04T00:00:00"/>
    <n v="400000"/>
    <x v="5"/>
    <x v="5"/>
    <s v="Calle Güigüe Nro. 88-120"/>
    <s v="Cancelación Vigilancia, mes de Mayo/2018"/>
    <s v="Vigilancia"/>
    <m/>
    <s v="00995"/>
    <s v="04 de mayo de 2018"/>
    <d v="2018-05-01T00:00:00"/>
    <s v="400.000,00"/>
    <s v="Cuatrocientos Mil Bolívares con 00/100"/>
  </r>
  <r>
    <n v="996"/>
    <m/>
    <s v="ü"/>
    <d v="2018-05-04T00:00:00"/>
    <n v="400000"/>
    <x v="6"/>
    <x v="6"/>
    <s v="Calle Guacara Nro. 89-60"/>
    <s v="Cancelación Vigilancia, saldo mes de Mayo y anticipo Junio/2018"/>
    <s v="Vigilancia"/>
    <m/>
    <s v="00996"/>
    <s v="04 de mayo de 2018"/>
    <d v="2018-05-01T00:00:00"/>
    <s v="400.000,00"/>
    <s v="Cuatrocientos Mil Bolívares con 00/100"/>
  </r>
  <r>
    <n v="997"/>
    <m/>
    <s v="ü"/>
    <d v="2018-05-06T00:00:00"/>
    <n v="260000"/>
    <x v="84"/>
    <x v="71"/>
    <s v="Calle Güigüe Nro. 89-54"/>
    <s v="Cancelación Vigilancia, saldo mes de Mayo/2018"/>
    <s v="Vigilancia"/>
    <m/>
    <s v="00997"/>
    <s v="06 de mayo de 2018"/>
    <d v="2018-05-01T00:00:00"/>
    <s v="260.000,00"/>
    <s v="Doscientos Sesenta Mil Bolívares con 00/100"/>
  </r>
  <r>
    <n v="998"/>
    <m/>
    <s v="ü"/>
    <d v="2018-05-07T00:00:00"/>
    <n v="400000"/>
    <x v="16"/>
    <x v="15"/>
    <s v="Calle Guacara Nro. 90-81"/>
    <s v="Cancelación Vigilancia, mes de Mayo/2018"/>
    <s v="Vigilancia"/>
    <m/>
    <s v="00998"/>
    <s v="07 de mayo de 2018"/>
    <d v="2018-05-01T00:00:00"/>
    <s v="400.000,00"/>
    <s v="Cuatrocientos Mil Bolívares con 00/100"/>
  </r>
  <r>
    <n v="999"/>
    <m/>
    <s v="ü"/>
    <d v="2018-05-07T00:00:00"/>
    <n v="100000"/>
    <x v="16"/>
    <x v="15"/>
    <s v="Calle Guacara Nro. 90-81"/>
    <s v="Colaboración mantenimiento Caseta de Vigilancia"/>
    <s v="Caseta Vigilancia"/>
    <m/>
    <s v="00999"/>
    <s v="07 de mayo de 2018"/>
    <d v="2018-05-01T00:00:00"/>
    <s v="100.000,00"/>
    <s v="Cien Mil Bolívares con 00/100"/>
  </r>
  <r>
    <n v="1000"/>
    <m/>
    <s v="ü"/>
    <d v="2018-05-07T00:00:00"/>
    <n v="400000"/>
    <x v="1"/>
    <x v="1"/>
    <s v="Calle Güigüe Nro. 88-44"/>
    <s v="Cancelación Vigilancia, mes de Mayo/2018"/>
    <s v="Vigilancia"/>
    <m/>
    <s v="01000"/>
    <s v="07 de mayo de 2018"/>
    <d v="2018-05-01T00:00:00"/>
    <s v="400.000,00"/>
    <s v="Cuatrocientos Mil Bolívares con 00/100"/>
  </r>
  <r>
    <n v="1001"/>
    <m/>
    <s v="ü"/>
    <d v="2018-04-06T00:00:00"/>
    <n v="140000"/>
    <x v="14"/>
    <x v="13"/>
    <s v="Calle Güigüe Nro. 89-83"/>
    <s v="Cancelación Vigilancia, mes de Abril/2018"/>
    <s v="Vigilancia"/>
    <m/>
    <s v="01001"/>
    <s v="06 de abril de 2018"/>
    <d v="2018-04-01T00:00:00"/>
    <s v="140.000,00"/>
    <s v="Ciento Cuarenta Mil Bolívares con 00/100"/>
  </r>
  <r>
    <n v="1002"/>
    <m/>
    <s v="ü"/>
    <d v="2018-04-06T00:00:00"/>
    <n v="60000"/>
    <x v="14"/>
    <x v="13"/>
    <s v="Calle Güigüe Nro. 89-83"/>
    <s v="Colaboración mantenimiento Caseta de Vigilancia"/>
    <s v="Caseta Vigilancia"/>
    <m/>
    <s v="01002"/>
    <s v="06 de abril de 2018"/>
    <d v="2018-04-01T00:00:00"/>
    <s v="60.000,00"/>
    <s v="Sesenta Mil Bolívares con 00/100"/>
  </r>
  <r>
    <n v="1003"/>
    <m/>
    <s v="ü"/>
    <d v="2018-05-07T00:00:00"/>
    <n v="400000"/>
    <x v="14"/>
    <x v="13"/>
    <s v="Calle Güigüe Nro. 89-83"/>
    <s v="Cancelación Vigilancia, mes de Mayo/2018"/>
    <s v="Vigilancia"/>
    <m/>
    <s v="01003"/>
    <s v="07 de mayo de 2018"/>
    <d v="2018-05-01T00:00:00"/>
    <s v="400.000,00"/>
    <s v="Cuatrocientos Mil Bolívares con 00/100"/>
  </r>
  <r>
    <n v="1004"/>
    <m/>
    <s v="ü"/>
    <d v="2018-05-07T00:00:00"/>
    <n v="540000"/>
    <x v="17"/>
    <x v="74"/>
    <s v="Av. &quot;M&quot; Nro. 146-20"/>
    <s v="Cancelación Vigilancia, meses de Abril y Mayo/2018"/>
    <s v="Vigilancia"/>
    <m/>
    <s v="01004"/>
    <s v="07 de mayo de 2018"/>
    <d v="2018-05-01T00:00:00"/>
    <s v="540.000,00"/>
    <s v="Quinientos Cuarenta Mil Bolívares con 00/100"/>
  </r>
  <r>
    <n v="1005"/>
    <m/>
    <s v="ü"/>
    <d v="2018-05-04T00:00:00"/>
    <n v="140000"/>
    <x v="56"/>
    <x v="52"/>
    <s v="Calle Güigüe Nro. 88-70"/>
    <s v="Cancelación Vigilancia, mes de Abril/2018"/>
    <s v="Vigilancia"/>
    <m/>
    <s v="01005"/>
    <s v="04 de mayo de 2018"/>
    <d v="2018-05-01T00:00:00"/>
    <s v="140.000,00"/>
    <s v="Ciento Cuarenta Mil Bolívares con 00/100"/>
  </r>
  <r>
    <n v="1006"/>
    <m/>
    <s v="ü"/>
    <d v="2018-05-07T00:00:00"/>
    <n v="440000"/>
    <x v="39"/>
    <x v="36"/>
    <s v="Calle Güigüe Nro. 88-111"/>
    <s v="Cancelación Vigilancia, meses de Enero, Febrero, Marzo y Abril/2018"/>
    <s v="Vigilancia"/>
    <m/>
    <s v="01006"/>
    <s v="07 de mayo de 2018"/>
    <d v="2018-05-01T00:00:00"/>
    <s v="440.000,00"/>
    <s v="Cuatrocientos Cuarenta Mil Bolívares con 00/100"/>
  </r>
  <r>
    <n v="1007"/>
    <m/>
    <s v="ü"/>
    <d v="2018-05-08T00:00:00"/>
    <n v="100000"/>
    <x v="2"/>
    <x v="2"/>
    <s v="Calle Guacara Nro. 88-19"/>
    <s v="Colaboración Vigilancia, mes de Abril/2018"/>
    <s v="Vigilancia"/>
    <m/>
    <s v="01007"/>
    <s v="08 de mayo de 2018"/>
    <d v="2018-05-01T00:00:00"/>
    <s v="100.000,00"/>
    <s v="Cien Mil Bolívares con 00/100"/>
  </r>
  <r>
    <n v="1008"/>
    <m/>
    <s v="ü"/>
    <d v="2018-05-08T00:00:00"/>
    <n v="680000"/>
    <x v="48"/>
    <x v="9"/>
    <s v="Calle Güigüe Nro. 88-90"/>
    <s v="Cancelación Vigilancia, meses de Marzo, Abril y Mayo/2018"/>
    <s v="Vigilancia"/>
    <m/>
    <s v="01008"/>
    <s v="08 de mayo de 2018"/>
    <d v="2018-05-01T00:00:00"/>
    <s v="680.000,00"/>
    <s v="Seiscientos Ochenta Mil Bolívares con 00/100"/>
  </r>
  <r>
    <n v="1009"/>
    <m/>
    <s v="ü"/>
    <d v="2018-05-08T00:00:00"/>
    <n v="140000"/>
    <x v="49"/>
    <x v="46"/>
    <s v="Av. &quot;O&quot; Nro. 146-17"/>
    <s v="Colaboración Vigilancia, mes de Abril/2018"/>
    <s v="Vigilancia"/>
    <m/>
    <s v="01009"/>
    <s v="08 de mayo de 2018"/>
    <d v="2018-05-01T00:00:00"/>
    <s v="140.000,00"/>
    <s v="Ciento Cuarenta Mil Bolívares con 00/100"/>
  </r>
  <r>
    <n v="1010"/>
    <m/>
    <s v="ü"/>
    <d v="2018-05-08T00:00:00"/>
    <n v="400000"/>
    <x v="89"/>
    <x v="81"/>
    <s v="Calle Guacara Nro. 88-75"/>
    <s v="Cancelación Vigilancia, mes de Mayo/2018"/>
    <s v="Vigilancia"/>
    <m/>
    <s v="01010"/>
    <s v="08 de mayo de 2018"/>
    <d v="2018-05-01T00:00:00"/>
    <s v="400.000,00"/>
    <s v="Cuatrocientos Mil Bolívares con 00/100"/>
  </r>
  <r>
    <n v="1011"/>
    <m/>
    <s v="ü"/>
    <d v="2018-05-08T00:00:00"/>
    <n v="555000"/>
    <x v="9"/>
    <x v="9"/>
    <s v="Av. &quot;M&quot; Nro. 146-30"/>
    <s v="Cancelación Vigilancia, meses de Abril y Mayo/2018"/>
    <s v="Vigilancia"/>
    <m/>
    <s v="01011"/>
    <s v="08 de mayo de 2018"/>
    <d v="2018-05-01T00:00:00"/>
    <s v="555.000,00"/>
    <s v="Quinientos Cincuenta y Cinco Mil Bolívares con 00/100"/>
  </r>
  <r>
    <n v="1012"/>
    <m/>
    <s v="ü"/>
    <d v="2018-05-09T00:00:00"/>
    <n v="400000"/>
    <x v="88"/>
    <x v="76"/>
    <s v="Calle Güigüe Nro. 88-11"/>
    <s v="Cancelación Vigilancia, mes de Mayo/2018"/>
    <s v="Vigilancia"/>
    <m/>
    <s v="01012"/>
    <s v="09 de mayo de 2018"/>
    <d v="2018-05-01T00:00:00"/>
    <s v="400.000,00"/>
    <s v="Cuatrocientos Mil Bolívares con 00/100"/>
  </r>
  <r>
    <n v="1013"/>
    <m/>
    <s v="ü"/>
    <d v="2018-05-10T00:00:00"/>
    <n v="2000000"/>
    <x v="31"/>
    <x v="29"/>
    <s v="Calle Güigüe Nro. 89-95"/>
    <s v="Cancelación Vigilancia, saldo mes de Mayo, y anticipo meses de Junio, Julio, Agosto, Septiembre y Octubre/2018"/>
    <s v="Vigilancia"/>
    <m/>
    <s v="01013"/>
    <s v="10 de mayo de 2018"/>
    <d v="2018-05-01T00:00:00"/>
    <s v="2.000.000,00"/>
    <s v="Dos Millones Bolívares con 00/100"/>
  </r>
  <r>
    <n v="1014"/>
    <m/>
    <s v="ü"/>
    <d v="2018-05-10T00:00:00"/>
    <n v="400000"/>
    <x v="24"/>
    <x v="22"/>
    <s v="Calle Güigüe Nro. 88-54"/>
    <s v="Cancelación Vigilancia, mes de Mayo/2018"/>
    <s v="Vigilancia"/>
    <m/>
    <s v="01014"/>
    <s v="10 de mayo de 2018"/>
    <d v="2018-05-01T00:00:00"/>
    <s v="400.000,00"/>
    <s v="Cuatrocientos Mil Bolívares con 00/100"/>
  </r>
  <r>
    <n v="1015"/>
    <m/>
    <s v="ü"/>
    <d v="2018-05-11T00:00:00"/>
    <n v="400000"/>
    <x v="65"/>
    <x v="58"/>
    <s v="Calle Güigüe Nro. 88-10"/>
    <s v="Cancelación Vigilancia, mes de Mayo/2018"/>
    <s v="Vigilancia"/>
    <m/>
    <s v="01015"/>
    <s v="11 de mayo de 2018"/>
    <d v="2018-05-01T00:00:00"/>
    <s v="400.000,00"/>
    <s v="Cuatrocientos Mil Bolívares con 00/100"/>
  </r>
  <r>
    <n v="1016"/>
    <m/>
    <s v="ü"/>
    <d v="2018-05-11T00:00:00"/>
    <n v="280000"/>
    <x v="62"/>
    <x v="55"/>
    <s v="Av. &quot;M&quot; Nro. 145-10"/>
    <s v="Cancelación Vigilancia, mes de Abril y anticipo Mayo/2018"/>
    <s v="Vigilancia"/>
    <m/>
    <s v="01016"/>
    <s v="11 de mayo de 2018"/>
    <d v="2018-05-01T00:00:00"/>
    <s v="280.000,00"/>
    <s v="Doscientos Ochenta Mil Bolívares con 00/100"/>
  </r>
  <r>
    <n v="1017"/>
    <m/>
    <s v="ü"/>
    <d v="2018-05-13T00:00:00"/>
    <n v="100000"/>
    <x v="32"/>
    <x v="30"/>
    <s v="Calle Güigüe Nro. 89-120"/>
    <s v="Colaboración Vigilancia, meses de Marzo y Abril/2018"/>
    <s v="Vigilancia"/>
    <m/>
    <s v="01017"/>
    <s v="13 de mayo de 2018"/>
    <d v="2018-05-01T00:00:00"/>
    <s v="100.000,00"/>
    <s v="Cien Mil Bolívares con 00/100"/>
  </r>
  <r>
    <n v="1018"/>
    <m/>
    <s v="ü"/>
    <d v="2018-05-13T00:00:00"/>
    <n v="580000"/>
    <x v="73"/>
    <x v="9"/>
    <s v="Calle Güigüe Nros. 88-71 y 88-81"/>
    <s v="Cancelación Vigilancia, mes de Mayo/2018"/>
    <s v="Vigilancia"/>
    <m/>
    <s v="01018"/>
    <s v="13 de mayo de 2018"/>
    <d v="2018-05-01T00:00:00"/>
    <s v="580.000,00"/>
    <s v="Quinientos Ochenta Mil Bolívares con 00/100"/>
  </r>
  <r>
    <n v="1019"/>
    <m/>
    <s v="ü"/>
    <d v="2018-05-14T00:00:00"/>
    <n v="300000"/>
    <x v="3"/>
    <x v="3"/>
    <s v="Calle Güigüe Nro. 88-62"/>
    <s v="Colaboración Vigilancia, meses de Marzo, Abril y Mayo/2018"/>
    <s v="Vigilancia"/>
    <m/>
    <s v="01019"/>
    <s v="14 de mayo de 2018"/>
    <d v="2018-05-01T00:00:00"/>
    <s v="300.000,00"/>
    <s v="Trescientos Mil Bolívares con 00/100"/>
  </r>
  <r>
    <n v="1020"/>
    <m/>
    <s v="ü"/>
    <d v="2018-05-15T00:00:00"/>
    <n v="400000"/>
    <x v="38"/>
    <x v="35"/>
    <s v="Calle Guacara Nro. 89-78"/>
    <s v="Cancelación Vigilancia, mes de Mayo/2018"/>
    <s v="Vigilancia"/>
    <m/>
    <s v="01020"/>
    <s v="15 de mayo de 2018"/>
    <d v="2018-05-01T00:00:00"/>
    <s v="400.000,00"/>
    <s v="Cuatrocientos Mil Bolívares con 00/100"/>
  </r>
  <r>
    <n v="1021"/>
    <m/>
    <s v="ü"/>
    <d v="2018-05-15T00:00:00"/>
    <n v="400000"/>
    <x v="34"/>
    <x v="9"/>
    <s v="Av. &quot;O&quot; Nro. 146-11"/>
    <s v="Cancelación Vigilancia, mes de Mayo/2018"/>
    <s v="Vigilancia"/>
    <m/>
    <s v="01021"/>
    <s v="15 de mayo de 2018"/>
    <d v="2018-05-01T00:00:00"/>
    <s v="400.000,00"/>
    <s v="Cuatrocientos Mil Bolívares con 00/100"/>
  </r>
  <r>
    <n v="1022"/>
    <m/>
    <s v="ü"/>
    <d v="2018-05-15T00:00:00"/>
    <n v="400000"/>
    <x v="35"/>
    <x v="32"/>
    <s v="Calle Güigüe Nro. 89-80"/>
    <s v="Cancelación Vigilancia, mes de Mayo/2018"/>
    <s v="Vigilancia"/>
    <m/>
    <s v="01022"/>
    <s v="15 de mayo de 2018"/>
    <d v="2018-05-01T00:00:00"/>
    <s v="400.000,00"/>
    <s v="Cuatrocientos Mil Bolívares con 00/100"/>
  </r>
  <r>
    <n v="1023"/>
    <m/>
    <s v="ü"/>
    <d v="2018-05-15T00:00:00"/>
    <n v="200000"/>
    <x v="68"/>
    <x v="60"/>
    <s v="Calle Güigüe Nro. 89-29"/>
    <s v="Colaboración Vigilancia, mes de Mayo/2018"/>
    <s v="Vigilancia"/>
    <m/>
    <s v="01023"/>
    <s v="15 de mayo de 2018"/>
    <d v="2018-05-01T00:00:00"/>
    <s v="200.000,00"/>
    <s v="Doscientos Mil Bolívares con 00/100"/>
  </r>
  <r>
    <n v="1024"/>
    <m/>
    <s v="ü"/>
    <d v="2018-05-15T00:00:00"/>
    <n v="300000"/>
    <x v="58"/>
    <x v="53"/>
    <s v="Calle Güigüe Nro. 88-51"/>
    <s v="Cancelación Vigilancia, meses de Noviembre y Diciembre/2017, Enero y Febrero/2018, y anticipo Marzo/2018"/>
    <s v="Vigilancia"/>
    <m/>
    <s v="01024"/>
    <s v="15 de mayo de 2018"/>
    <d v="2018-05-01T00:00:00"/>
    <s v="300.000,00"/>
    <s v="Trescientos Mil Bolívares con 00/100"/>
  </r>
  <r>
    <n v="1025"/>
    <m/>
    <s v="ü"/>
    <d v="2018-05-17T00:00:00"/>
    <n v="400000"/>
    <x v="19"/>
    <x v="17"/>
    <s v="Calle Guacara Nro. 89-130"/>
    <s v="Cancelación Vigilancia, mes de Mayo/2018"/>
    <s v="Vigilancia"/>
    <m/>
    <s v="01025"/>
    <s v="17 de mayo de 2018"/>
    <d v="2018-05-01T00:00:00"/>
    <s v="400.000,00"/>
    <s v="Cuatrocientos Mil Bolívares con 00/100"/>
  </r>
  <r>
    <n v="1026"/>
    <m/>
    <s v="ü"/>
    <d v="2018-05-18T00:00:00"/>
    <n v="1600000"/>
    <x v="63"/>
    <x v="56"/>
    <s v="Calle Guacara Nro. 88-85"/>
    <s v="Cancelación Vigilancia, meses de Mayo, Junio, Julio y Agosto/2018"/>
    <s v="Vigilancia"/>
    <m/>
    <s v="01026"/>
    <s v="18 de mayo de 2018"/>
    <d v="2018-05-01T00:00:00"/>
    <s v="1.600.000,00"/>
    <s v="Un Millón Seiscientos Mil Bolívares con 00/100"/>
  </r>
  <r>
    <n v="1027"/>
    <m/>
    <s v="ü"/>
    <d v="2018-05-18T00:00:00"/>
    <n v="250000"/>
    <x v="22"/>
    <x v="20"/>
    <s v="Calle Guacara Nro. 88-25"/>
    <s v="Colaboración Vigilancia, mes de Mayo/2018"/>
    <s v="Vigilancia"/>
    <m/>
    <s v="01027"/>
    <s v="18 de mayo de 2018"/>
    <d v="2018-05-01T00:00:00"/>
    <s v="250.000,00"/>
    <s v="Doscientos Cincuenta Mil Bolívares con 00/100"/>
  </r>
  <r>
    <n v="1028"/>
    <m/>
    <s v="ü"/>
    <d v="2018-05-18T00:00:00"/>
    <n v="140000"/>
    <x v="10"/>
    <x v="10"/>
    <s v="Av. &quot;M&quot; Nro. 146-15"/>
    <s v="Cancelación Vigilancia, mes de Abril/2018"/>
    <s v="Vigilancia"/>
    <m/>
    <s v="01028"/>
    <s v="18 de mayo de 2018"/>
    <d v="2018-05-01T00:00:00"/>
    <s v="140.000,00"/>
    <s v="Ciento Cuarenta Mil Bolívares con 00/100"/>
  </r>
  <r>
    <n v="1029"/>
    <m/>
    <s v="ü"/>
    <d v="2018-05-18T00:00:00"/>
    <n v="400000"/>
    <x v="40"/>
    <x v="37"/>
    <s v="Calle Güigüe Nro. 88-101"/>
    <s v="Cancelación Vigilancia, mes de Mayo/2018"/>
    <s v="Vigilancia"/>
    <m/>
    <s v="01029"/>
    <s v="18 de mayo de 2018"/>
    <d v="2018-05-01T00:00:00"/>
    <s v="400.000,00"/>
    <s v="Cuatrocientos Mil Bolívares con 00/100"/>
  </r>
  <r>
    <n v="1030"/>
    <m/>
    <s v="ü"/>
    <d v="2018-05-19T00:00:00"/>
    <n v="400000"/>
    <x v="26"/>
    <x v="24"/>
    <s v="Calle Güigüe Nro. 89-96"/>
    <s v="Cancelación Vigilancia, mes de Mayo/2018"/>
    <s v="Vigilancia"/>
    <m/>
    <s v="01030"/>
    <s v="19 de mayo de 2018"/>
    <d v="2018-05-01T00:00:00"/>
    <s v="400.000,00"/>
    <s v="Cuatrocientos Mil Bolívares con 00/100"/>
  </r>
  <r>
    <n v="1031"/>
    <m/>
    <s v="ü"/>
    <d v="2018-05-20T00:00:00"/>
    <n v="120000"/>
    <x v="57"/>
    <x v="9"/>
    <s v="Calle Güigüe Nro. 88-40"/>
    <s v="Colaboración Vigilancia, meses de Febrero, Marzo, Abril y Mayo/2018"/>
    <s v="Vigilancia"/>
    <m/>
    <s v="01031"/>
    <s v="20 de mayo de 2018"/>
    <d v="2018-05-01T00:00:00"/>
    <s v="120.000,00"/>
    <s v="Ciento Veinte Mil Bolívares con 00/100"/>
  </r>
  <r>
    <n v="1032"/>
    <m/>
    <s v="ü"/>
    <d v="2018-05-20T00:00:00"/>
    <n v="540000"/>
    <x v="83"/>
    <x v="70"/>
    <s v="Calle Güigüe Nro. 89-22"/>
    <s v="Cancelación Vigilancia, meses de Abril y Mayo/2018"/>
    <s v="Vigilancia"/>
    <m/>
    <s v="01032"/>
    <s v="20 de mayo de 2018"/>
    <d v="2018-05-01T00:00:00"/>
    <s v="540.000,00"/>
    <s v="Quinientos Cuarenta Mil Bolívares con 00/100"/>
  </r>
  <r>
    <n v="1033"/>
    <m/>
    <s v="ü"/>
    <d v="2018-05-04T00:00:00"/>
    <n v="200000"/>
    <x v="7"/>
    <x v="7"/>
    <s v="Calle Guacara Nro. 87-86"/>
    <s v="Colaboración Vigilancia, mes de Mayo/2018"/>
    <s v="Vigilancia"/>
    <m/>
    <s v="01033"/>
    <s v="04 de mayo de 2018"/>
    <d v="2018-05-01T00:00:00"/>
    <s v="200.000,00"/>
    <s v="Doscientos Mil Bolívares con 00/100"/>
  </r>
  <r>
    <n v="1034"/>
    <m/>
    <s v="ü"/>
    <d v="2018-05-21T00:00:00"/>
    <n v="400000"/>
    <x v="76"/>
    <x v="66"/>
    <s v="Calle Güigüe Nro. 89-90"/>
    <s v="Cancelación Vigilancia, mes de Mayo/2018"/>
    <s v="Vigilancia"/>
    <m/>
    <s v="01034"/>
    <s v="21 de mayo de 2018"/>
    <d v="2018-05-01T00:00:00"/>
    <s v="400.000,00"/>
    <s v="Cuatrocientos Mil Bolívares con 00/100"/>
  </r>
  <r>
    <n v="1035"/>
    <m/>
    <s v="ü"/>
    <d v="2018-05-21T00:00:00"/>
    <n v="200000"/>
    <x v="15"/>
    <x v="14"/>
    <s v="Calle Guacara Nro. 89-94"/>
    <s v="Colaboración Vigilancia, mes de Mayo/2018"/>
    <s v="Vigilancia"/>
    <m/>
    <s v="01035"/>
    <s v="21 de mayo de 2018"/>
    <d v="2018-05-01T00:00:00"/>
    <s v="200.000,00"/>
    <s v="Doscientos Mil Bolívares con 00/100"/>
  </r>
  <r>
    <n v="1036"/>
    <m/>
    <s v="ü"/>
    <d v="2018-05-21T00:00:00"/>
    <n v="190000"/>
    <x v="61"/>
    <x v="14"/>
    <s v="Calle Guacara Nro. 87-07"/>
    <s v="Cancelación Vigilancia, anticipo mes de Mayo/2018"/>
    <s v="Vigilancia"/>
    <m/>
    <s v="01036"/>
    <s v="21 de mayo de 2018"/>
    <d v="2018-05-01T00:00:00"/>
    <s v="190.000,00"/>
    <s v="Ciento Noventa Mil Bolívares con 00/100"/>
  </r>
  <r>
    <n v="1037"/>
    <m/>
    <s v="ü"/>
    <d v="2018-05-21T00:00:00"/>
    <n v="400000"/>
    <x v="45"/>
    <x v="42"/>
    <s v="Calle Güigüe Nro. 87-A-11"/>
    <s v="Cancelación Vigilancia, mes de Mayo/2018"/>
    <s v="Vigilancia"/>
    <m/>
    <s v="01037"/>
    <s v="21 de mayo de 2018"/>
    <d v="2018-05-01T00:00:00"/>
    <s v="400.000,00"/>
    <s v="Cuatrocientos Mil Bolívares con 00/100"/>
  </r>
  <r>
    <n v="1038"/>
    <m/>
    <s v="ü"/>
    <d v="2018-05-21T00:00:00"/>
    <n v="100000"/>
    <x v="45"/>
    <x v="42"/>
    <s v="Calle Güigüe Nro. 87-A-11"/>
    <s v="Colaboración mantenimiento Caseta de Vigilancia"/>
    <s v="Caseta Vigilancia"/>
    <m/>
    <s v="01038"/>
    <s v="21 de mayo de 2018"/>
    <d v="2018-05-01T00:00:00"/>
    <s v="100.000,00"/>
    <s v="Cien Mil Bolívares con 00/100"/>
  </r>
  <r>
    <n v="1039"/>
    <m/>
    <s v="ü"/>
    <d v="2018-05-21T00:00:00"/>
    <n v="400000"/>
    <x v="23"/>
    <x v="21"/>
    <s v="Calle Güigüe Nro. 88-116"/>
    <s v="Cancelación Vigilancia, mes de Mayo/2018"/>
    <s v="Vigilancia"/>
    <m/>
    <s v="01039"/>
    <s v="21 de mayo de 2018"/>
    <d v="2018-05-01T00:00:00"/>
    <s v="400.000,00"/>
    <s v="Cuatrocientos Mil Bolívares con 00/100"/>
  </r>
  <r>
    <n v="1040"/>
    <m/>
    <s v="ü"/>
    <d v="2018-05-21T00:00:00"/>
    <n v="400000"/>
    <x v="49"/>
    <x v="46"/>
    <s v="Av. &quot;O&quot; Nro. 146-17"/>
    <s v="Cancelación Vigilancia, mes de Mayo/2018"/>
    <s v="Vigilancia"/>
    <m/>
    <s v="01040"/>
    <s v="21 de mayo de 2018"/>
    <d v="2018-05-01T00:00:00"/>
    <s v="400.000,00"/>
    <s v="Cuatrocientos Mil Bolívares con 00/100"/>
  </r>
  <r>
    <n v="1041"/>
    <m/>
    <s v="ü"/>
    <d v="2018-05-21T00:00:00"/>
    <n v="400000"/>
    <x v="54"/>
    <x v="50"/>
    <s v="Calle Güigüe Nro. 89-21"/>
    <s v="Cancelación Vigilancia, mes de Mayo/2018"/>
    <s v="Vigilancia"/>
    <m/>
    <s v="01041"/>
    <s v="21 de mayo de 2018"/>
    <d v="2018-05-01T00:00:00"/>
    <s v="400.000,00"/>
    <s v="Cuatrocientos Mil Bolívares con 00/100"/>
  </r>
  <r>
    <n v="1042"/>
    <m/>
    <s v="ü"/>
    <d v="2018-05-21T00:00:00"/>
    <n v="350000"/>
    <x v="54"/>
    <x v="50"/>
    <s v="Calle Güigüe Nro. 89-21"/>
    <s v="Colaboración mantenimiento Caseta de Vigilancia"/>
    <s v="Caseta Vigilancia"/>
    <m/>
    <s v="01042"/>
    <s v="21 de mayo de 2018"/>
    <d v="2018-05-01T00:00:00"/>
    <s v="350.000,00"/>
    <s v="Trescientos Cincuenta Mil Bolívares con 00/100"/>
  </r>
  <r>
    <n v="1043"/>
    <m/>
    <s v="ü"/>
    <d v="2018-05-21T00:00:00"/>
    <n v="400000"/>
    <x v="60"/>
    <x v="54"/>
    <s v="Calle Guacara Nro. 88-51"/>
    <s v="Cancelación Vigilancia, mes de Mayo/2018"/>
    <s v="Vigilancia"/>
    <m/>
    <s v="01043"/>
    <s v="21 de mayo de 2018"/>
    <d v="2018-05-01T00:00:00"/>
    <s v="400.000,00"/>
    <s v="Cuatrocientos Mil Bolívares con 00/100"/>
  </r>
  <r>
    <n v="1044"/>
    <m/>
    <s v="ü"/>
    <d v="2018-05-21T00:00:00"/>
    <n v="400000"/>
    <x v="86"/>
    <x v="73"/>
    <s v="Calle Guacara Nro. 89-50"/>
    <s v="Cancelación Vigilancia, mes de Mayo/2018"/>
    <s v="Vigilancia"/>
    <m/>
    <s v="01044"/>
    <s v="21 de mayo de 2018"/>
    <d v="2018-05-01T00:00:00"/>
    <s v="400.000,00"/>
    <s v="Cuatrocientos Mil Bolívares con 00/100"/>
  </r>
  <r>
    <n v="1045"/>
    <m/>
    <s v="ü"/>
    <d v="2018-05-22T00:00:00"/>
    <n v="350000"/>
    <x v="1"/>
    <x v="1"/>
    <s v="Calle Güigüe Nro. 88-44"/>
    <s v="Colaboración mantenimiento Caseta de Vigilancia"/>
    <s v="Caseta Vigilancia"/>
    <m/>
    <s v="01045"/>
    <s v="22 de mayo de 2018"/>
    <d v="2018-05-01T00:00:00"/>
    <s v="350.000,00"/>
    <s v="Trescientos Cincuenta Mil Bolívares con 00/100"/>
  </r>
  <r>
    <n v="1046"/>
    <m/>
    <s v="ü"/>
    <d v="2018-05-22T00:00:00"/>
    <n v="350000"/>
    <x v="84"/>
    <x v="71"/>
    <s v="Calle Güigüe Nro. 89-54"/>
    <s v="Colaboración mantenimiento Caseta de Vigilancia"/>
    <s v="Caseta Vigilancia"/>
    <m/>
    <s v="01046"/>
    <s v="22 de mayo de 2018"/>
    <d v="2018-05-01T00:00:00"/>
    <s v="350.000,00"/>
    <s v="Trescientos Cincuenta Mil Bolívares con 00/100"/>
  </r>
  <r>
    <n v="1047"/>
    <m/>
    <s v="ü"/>
    <d v="2018-05-22T00:00:00"/>
    <n v="400000"/>
    <x v="69"/>
    <x v="61"/>
    <s v="Calle Güigüe Nro. 89-40"/>
    <s v="Cancelación Vigilancia, mes de Mayo/2018"/>
    <s v="Vigilancia"/>
    <m/>
    <s v="01047"/>
    <s v="22 de mayo de 2018"/>
    <d v="2018-05-01T00:00:00"/>
    <s v="400.000,00"/>
    <s v="Cuatrocientos Mil Bolívares con 00/100"/>
  </r>
  <r>
    <n v="1048"/>
    <m/>
    <s v="ü"/>
    <d v="2018-05-22T00:00:00"/>
    <n v="350000"/>
    <x v="7"/>
    <x v="7"/>
    <s v="Calle Guacara Nro. 87-86"/>
    <s v="Colaboración mantenimiento Caseta de Vigilancia"/>
    <s v="Caseta Vigilancia"/>
    <m/>
    <s v="01048"/>
    <s v="22 de mayo de 2018"/>
    <d v="2018-05-01T00:00:00"/>
    <s v="350.000,00"/>
    <s v="Trescientos Cincuenta Mil Bolívares con 00/100"/>
  </r>
  <r>
    <n v="1049"/>
    <m/>
    <s v="ü"/>
    <d v="2018-05-22T00:00:00"/>
    <n v="190000"/>
    <x v="45"/>
    <x v="42"/>
    <s v="Calle Güigüe Nro. 87-A-11"/>
    <s v="Colaboración mantenimiento Caseta de Vigilancia"/>
    <s v="Caseta Vigilancia"/>
    <m/>
    <s v="01049"/>
    <s v="22 de mayo de 2018"/>
    <d v="2018-05-01T00:00:00"/>
    <s v="190.000,00"/>
    <s v="Ciento Noventa Mil Bolívares con 00/100"/>
  </r>
  <r>
    <n v="1050"/>
    <m/>
    <s v="ü"/>
    <d v="2018-05-22T00:00:00"/>
    <n v="400000"/>
    <x v="84"/>
    <x v="71"/>
    <s v="Calle Güigüe Nro. 89-54"/>
    <s v="Cancelación Vigilancia, mes de Junio/2018"/>
    <s v="Vigilancia"/>
    <m/>
    <s v="01050"/>
    <s v="22 de mayo de 2018"/>
    <d v="2018-05-01T00:00:00"/>
    <s v="400.000,00"/>
    <s v="Cuatrocientos Mil Bolívares con 00/100"/>
  </r>
  <r>
    <n v="1051"/>
    <m/>
    <s v="ü"/>
    <d v="2018-05-22T00:00:00"/>
    <n v="350000"/>
    <x v="4"/>
    <x v="4"/>
    <s v="Calle Güigüe Nro. 89-55"/>
    <s v="Colaboración mantenimiento Caseta de Vigilancia"/>
    <s v="Caseta Vigilancia"/>
    <m/>
    <s v="01051"/>
    <s v="22 de mayo de 2018"/>
    <d v="2018-05-01T00:00:00"/>
    <s v="350.000,00"/>
    <s v="Trescientos Cincuenta Mil Bolívares con 00/100"/>
  </r>
  <r>
    <n v="1052"/>
    <m/>
    <s v="ü"/>
    <d v="2018-05-22T00:00:00"/>
    <n v="350000"/>
    <x v="21"/>
    <x v="19"/>
    <s v="Calle Güigüe Nro. 89-105"/>
    <s v="Colaboración mantenimiento Caseta de Vigilancia"/>
    <s v="Caseta Vigilancia"/>
    <m/>
    <s v="01052"/>
    <s v="22 de mayo de 2018"/>
    <d v="2018-05-01T00:00:00"/>
    <s v="350.000,00"/>
    <s v="Trescientos Cincuenta Mil Bolívares con 00/100"/>
  </r>
  <r>
    <n v="1053"/>
    <m/>
    <s v="ü"/>
    <d v="2018-05-22T00:00:00"/>
    <n v="800000"/>
    <x v="27"/>
    <x v="25"/>
    <s v="Calle Güigüe Nro. 89-106"/>
    <s v="Cancelación Vigilancia, meses de Mayoy Junio/2018"/>
    <s v="Vigilancia"/>
    <m/>
    <s v="01053"/>
    <s v="22 de mayo de 2018"/>
    <d v="2018-05-01T00:00:00"/>
    <s v="800.000,00"/>
    <s v="Ochocientos Mil Bolívares con 00/100"/>
  </r>
  <r>
    <n v="1054"/>
    <m/>
    <s v="ü"/>
    <d v="2018-05-22T00:00:00"/>
    <n v="350000"/>
    <x v="12"/>
    <x v="12"/>
    <s v="Calle Guacara Nro. 89-20"/>
    <s v="Colaboración mantenimiento Caseta de Vigilancia"/>
    <s v="Caseta Vigilancia"/>
    <m/>
    <s v="01054"/>
    <s v="22 de mayo de 2018"/>
    <d v="2018-05-01T00:00:00"/>
    <s v="350.000,00"/>
    <s v="Trescientos Cincuenta Mil Bolívares con 00/100"/>
  </r>
  <r>
    <n v="1055"/>
    <m/>
    <s v="ü"/>
    <d v="2018-05-22T00:00:00"/>
    <n v="400000"/>
    <x v="8"/>
    <x v="78"/>
    <s v="Calle Guacara Nro. 90-51"/>
    <s v="Cancelación Vigilancia, mes de Mayo/2018"/>
    <s v="Vigilancia"/>
    <m/>
    <s v="01055"/>
    <s v="22 de mayo de 2018"/>
    <d v="2018-05-01T00:00:00"/>
    <s v="400.000,00"/>
    <s v="Cuatrocientos Mil Bolívares con 00/100"/>
  </r>
  <r>
    <n v="1056"/>
    <m/>
    <s v="ü"/>
    <d v="2018-05-22T00:00:00"/>
    <n v="350000"/>
    <x v="8"/>
    <x v="78"/>
    <s v="Calle Guacara Nro. 90-51"/>
    <s v="Colaboración mantenimiento Caseta de Vigilancia"/>
    <s v="Caseta Vigilancia"/>
    <m/>
    <s v="01056"/>
    <s v="22 de mayo de 2018"/>
    <d v="2018-05-01T00:00:00"/>
    <s v="350.000,00"/>
    <s v="Trescientos Cincuenta Mil Bolívares con 00/100"/>
  </r>
  <r>
    <n v="1057"/>
    <m/>
    <s v="ü"/>
    <d v="2018-05-22T00:00:00"/>
    <n v="350000"/>
    <x v="16"/>
    <x v="15"/>
    <s v="Calle Guacara Nro. 90-81"/>
    <s v="Colaboración mantenimiento Caseta de Vigilancia"/>
    <s v="Caseta Vigilancia"/>
    <m/>
    <s v="01057"/>
    <s v="22 de mayo de 2018"/>
    <d v="2018-05-01T00:00:00"/>
    <s v="350.000,00"/>
    <s v="Trescientos Cincuenta Mil Bolívares con 00/100"/>
  </r>
  <r>
    <n v="1058"/>
    <m/>
    <s v="û"/>
    <d v="2018-05-22T00:00:00"/>
    <n v="150000"/>
    <x v="20"/>
    <x v="18"/>
    <s v="Calle Guacara Nro. 89-30"/>
    <s v="ANULADO: Complemento colaboración mantenimiento Caseta de Vigilancia"/>
    <s v="ANULADO"/>
    <m/>
    <s v="01058"/>
    <s v="22 de mayo de 2018"/>
    <d v="2018-05-01T00:00:00"/>
    <s v="150.000,00"/>
    <s v="Ciento Cincuenta Mil Bolívares con 00/100"/>
  </r>
  <r>
    <n v="1059"/>
    <m/>
    <s v="ü"/>
    <d v="2018-05-22T00:00:00"/>
    <n v="350000"/>
    <x v="6"/>
    <x v="6"/>
    <s v="Calle Guacara Nro. 89-60"/>
    <s v="Colaboración mantenimiento Caseta de Vigilancia"/>
    <s v="Caseta Vigilancia"/>
    <m/>
    <s v="01059"/>
    <s v="22 de mayo de 2018"/>
    <d v="2018-05-01T00:00:00"/>
    <s v="350.000,00"/>
    <s v="Trescientos Cincuenta Mil Bolívares con 00/100"/>
  </r>
  <r>
    <n v="1060"/>
    <m/>
    <s v="ü"/>
    <d v="2018-05-22T00:00:00"/>
    <n v="350000"/>
    <x v="11"/>
    <x v="11"/>
    <s v="Calle Guacara Nro. 89-86"/>
    <s v="Colaboración mantenimiento Caseta de Vigilancia"/>
    <s v="Caseta Vigilancia"/>
    <m/>
    <s v="01060"/>
    <s v="22 de mayo de 2018"/>
    <d v="2018-05-01T00:00:00"/>
    <s v="350.000,00"/>
    <s v="Trescientos Cincuenta Mil Bolívares con 00/100"/>
  </r>
  <r>
    <n v="1061"/>
    <m/>
    <s v="ü"/>
    <d v="2018-05-22T00:00:00"/>
    <n v="400000"/>
    <x v="43"/>
    <x v="40"/>
    <s v="Calle Güigüe Nro. 88-50"/>
    <s v="Cancelación Vigilancia, mes de Mayo/2018"/>
    <s v="Vigilancia"/>
    <m/>
    <s v="01061"/>
    <s v="22 de mayo de 2018"/>
    <d v="2018-05-01T00:00:00"/>
    <s v="400.000,00"/>
    <s v="Cuatrocientos Mil Bolívares con 00/100"/>
  </r>
  <r>
    <n v="1062"/>
    <m/>
    <s v="ü"/>
    <d v="2018-05-22T00:00:00"/>
    <n v="350000"/>
    <x v="43"/>
    <x v="40"/>
    <s v="Calle Güigüe Nro. 88-50"/>
    <s v="Colaboración mantenimiento Caseta de Vigilancia"/>
    <s v="Caseta Vigilancia"/>
    <m/>
    <s v="01062"/>
    <s v="22 de mayo de 2018"/>
    <d v="2018-05-01T00:00:00"/>
    <s v="350.000,00"/>
    <s v="Trescientos Cincuenta Mil Bolívares con 00/100"/>
  </r>
  <r>
    <n v="1063"/>
    <m/>
    <s v="ü"/>
    <d v="2018-05-22T00:00:00"/>
    <n v="350000"/>
    <x v="52"/>
    <x v="9"/>
    <s v="Calle Güigüe Nro. 89-45"/>
    <s v="Colaboración mantenimiento Caseta de Vigilancia (saldo a favor: Bs. 1.493.000)"/>
    <s v="Caseta Vigilancia"/>
    <m/>
    <s v="01063"/>
    <s v="22 de mayo de 2018"/>
    <d v="2018-05-01T00:00:00"/>
    <s v="350.000,00"/>
    <s v="Trescientos Cincuenta Mil Bolívares con 00/100"/>
  </r>
  <r>
    <n v="1064"/>
    <m/>
    <s v="ü"/>
    <d v="2018-05-22T00:00:00"/>
    <n v="350000"/>
    <x v="9"/>
    <x v="9"/>
    <s v="Av. &quot;M&quot; Nro. 146-30"/>
    <s v="Colaboración mantenimiento Caseta de Vigilancia"/>
    <s v="Caseta Vigilancia"/>
    <m/>
    <s v="01064"/>
    <s v="22 de mayo de 2018"/>
    <d v="2018-05-01T00:00:00"/>
    <s v="350.000,00"/>
    <s v="Trescientos Cincuenta Mil Bolívares con 00/100"/>
  </r>
  <r>
    <n v="1065"/>
    <m/>
    <s v="ü"/>
    <d v="2018-05-22T00:00:00"/>
    <n v="660000"/>
    <x v="11"/>
    <x v="11"/>
    <s v="Calle Guacara Nro. 89-86"/>
    <s v="Vigilancia, saldo mes de Mayo y cancelación mes de Junio/2018"/>
    <s v="Vigilancia"/>
    <m/>
    <s v="01065"/>
    <s v="22 de mayo de 2018"/>
    <d v="2018-05-01T00:00:00"/>
    <s v="660.000,00"/>
    <s v="Seiscientos Sesenta Mil Bolívares con 00/100"/>
  </r>
  <r>
    <n v="1066"/>
    <m/>
    <s v="ü"/>
    <d v="2018-05-23T00:00:00"/>
    <n v="350000"/>
    <x v="63"/>
    <x v="56"/>
    <s v="Calle Guacara Nro. 88-85"/>
    <s v="Colaboración mantenimiento Caseta de Vigilancia"/>
    <s v="Caseta Vigilancia"/>
    <m/>
    <s v="01066"/>
    <s v="23 de mayo de 2018"/>
    <d v="2018-05-01T00:00:00"/>
    <s v="350.000,00"/>
    <s v="Trescientos Cincuenta Mil Bolívares con 00/100"/>
  </r>
  <r>
    <n v="1067"/>
    <m/>
    <s v="ü"/>
    <d v="2018-05-23T00:00:00"/>
    <n v="400000"/>
    <x v="46"/>
    <x v="43"/>
    <s v="Av. &quot;I&quot; Nro. 146-20"/>
    <s v="Cancelación Vigilancia, mes de Mayo/2018"/>
    <s v="Vigilancia"/>
    <m/>
    <s v="01067"/>
    <s v="23 de mayo de 2018"/>
    <d v="2018-05-01T00:00:00"/>
    <s v="400.000,00"/>
    <s v="Cuatrocientos Mil Bolívares con 00/100"/>
  </r>
  <r>
    <n v="1068"/>
    <m/>
    <s v="ü"/>
    <d v="2018-05-23T00:00:00"/>
    <n v="350000"/>
    <x v="65"/>
    <x v="58"/>
    <s v="Calle Güigüe Nro. 88-10"/>
    <s v="Colaboración mantenimiento Caseta de Vigilancia (saldo a favor: Bs. 1.493.000)"/>
    <s v="Caseta Vigilancia"/>
    <m/>
    <s v="01068"/>
    <s v="23 de mayo de 2018"/>
    <d v="2018-05-01T00:00:00"/>
    <s v="350.000,00"/>
    <s v="Trescientos Cincuenta Mil Bolívares con 00/100"/>
  </r>
  <r>
    <n v="1069"/>
    <m/>
    <s v="ü"/>
    <d v="2018-05-23T00:00:00"/>
    <n v="350000"/>
    <x v="15"/>
    <x v="14"/>
    <s v="Calle Guacara Nro. 89-94"/>
    <s v="Colaboración mantenimiento Caseta de Vigilancia (saldo a favor: Bs. 1.493.000)"/>
    <s v="Caseta Vigilancia"/>
    <m/>
    <s v="01069"/>
    <s v="23 de mayo de 2018"/>
    <d v="2018-05-01T00:00:00"/>
    <s v="350.000,00"/>
    <s v="Trescientos Cincuenta Mil Bolívares con 00/100"/>
  </r>
  <r>
    <n v="1070"/>
    <m/>
    <s v="ü"/>
    <d v="2018-05-23T00:00:00"/>
    <n v="350000"/>
    <x v="89"/>
    <x v="81"/>
    <s v="Calle Guacara Nro. 88-75"/>
    <s v="Colaboración mantenimiento Caseta de Vigilancia (saldo a favor: Bs. 1.493.000)"/>
    <s v="Caseta Vigilancia"/>
    <m/>
    <s v="01070"/>
    <s v="23 de mayo de 2018"/>
    <d v="2018-05-01T00:00:00"/>
    <s v="350.000,00"/>
    <s v="Trescientos Cincuenta Mil Bolívares con 00/100"/>
  </r>
  <r>
    <n v="1071"/>
    <m/>
    <s v="ü"/>
    <d v="2018-05-23T00:00:00"/>
    <n v="350000"/>
    <x v="20"/>
    <x v="18"/>
    <s v="Calle Guacara Nro. 89-30"/>
    <s v="Complemento colaboración mantenimiento Caseta de Vigilancia"/>
    <s v="Caseta Vigilancia"/>
    <m/>
    <s v="01071"/>
    <s v="23 de mayo de 2018"/>
    <d v="2018-05-01T00:00:00"/>
    <s v="350.000,00"/>
    <s v="Trescientos Cincuenta Mil Bolívares con 00/100"/>
  </r>
  <r>
    <n v="1072"/>
    <m/>
    <s v="ü"/>
    <d v="2018-05-23T00:00:00"/>
    <n v="150000"/>
    <x v="18"/>
    <x v="16"/>
    <s v="Calle Guacara Nro. 87-100"/>
    <s v="Cancelación Vigilancia, saldo mes de Mayo/2018"/>
    <s v="Vigilancia"/>
    <m/>
    <s v="01072"/>
    <s v="23 de mayo de 2018"/>
    <d v="2018-05-01T00:00:00"/>
    <s v="150.000,00"/>
    <s v="Ciento Cincuenta Mil Bolívares con 00/100"/>
  </r>
  <r>
    <n v="1073"/>
    <m/>
    <s v="ü"/>
    <d v="2018-05-23T00:00:00"/>
    <n v="100000"/>
    <x v="18"/>
    <x v="16"/>
    <s v="Calle Guacara Nro. 87-100"/>
    <s v="Colaboración mantenimiento Caseta de Vigilancia"/>
    <s v="Caseta Vigilancia"/>
    <m/>
    <s v="01073"/>
    <s v="23 de mayo de 2018"/>
    <d v="2018-05-01T00:00:00"/>
    <s v="100.000,00"/>
    <s v="Cien Mil Bolívares con 00/100"/>
  </r>
  <r>
    <n v="1074"/>
    <m/>
    <s v="ü"/>
    <d v="2018-05-23T00:00:00"/>
    <n v="350000"/>
    <x v="35"/>
    <x v="32"/>
    <s v="Calle Güigüe Nro. 89-80"/>
    <s v="Colaboración mantenimiento Caseta de Vigilancia"/>
    <s v="Caseta Vigilancia"/>
    <m/>
    <s v="01074"/>
    <s v="23 de mayo de 2018"/>
    <d v="2018-05-01T00:00:00"/>
    <s v="350.000,00"/>
    <s v="Trescientos Cincuenta Mil Bolívares con 00/100"/>
  </r>
  <r>
    <n v="1075"/>
    <m/>
    <s v="ü"/>
    <d v="2018-05-23T00:00:00"/>
    <n v="350000"/>
    <x v="38"/>
    <x v="35"/>
    <s v="Calle Guacara Nro. 89-78"/>
    <s v="Colaboración mantenimiento Caseta de Vigilancia"/>
    <s v="Caseta Vigilancia"/>
    <m/>
    <s v="01075"/>
    <s v="23 de mayo de 2018"/>
    <d v="2018-05-01T00:00:00"/>
    <s v="350.000,00"/>
    <s v="Trescientos Cincuenta Mil Bolívares con 00/100"/>
  </r>
  <r>
    <n v="1076"/>
    <m/>
    <s v="ü"/>
    <d v="2018-05-23T00:00:00"/>
    <n v="350000"/>
    <x v="31"/>
    <x v="29"/>
    <s v="Calle Güigüe Nro. 89-95"/>
    <s v="Colaboración mantenimiento Caseta de Vigilancia"/>
    <s v="Caseta Vigilancia"/>
    <m/>
    <s v="01076"/>
    <s v="23 de mayo de 2018"/>
    <d v="2018-05-01T00:00:00"/>
    <s v="350.000,00"/>
    <s v="Trescientos Cincuenta Mil Bolívares con 00/100"/>
  </r>
  <r>
    <n v="1077"/>
    <m/>
    <s v="ü"/>
    <d v="2018-05-23T00:00:00"/>
    <n v="800000"/>
    <x v="70"/>
    <x v="9"/>
    <s v="Calle Guacara Nro. 89-70"/>
    <s v="Cancelación Vigilancia, meses de Mayo y Junio/2018"/>
    <s v="Vigilancia"/>
    <m/>
    <s v="01077"/>
    <s v="23 de mayo de 2018"/>
    <d v="2018-05-01T00:00:00"/>
    <s v="800.000,00"/>
    <s v="Ochocientos Mil Bolívares con 00/100"/>
  </r>
  <r>
    <n v="1078"/>
    <m/>
    <s v="ü"/>
    <d v="2018-05-24T00:00:00"/>
    <n v="400000"/>
    <x v="90"/>
    <x v="82"/>
    <s v="Calle Güigüe Nro. 89-04"/>
    <s v="Cancelación Vigilancia, mes de Mayo/2018"/>
    <s v="Vigilancia"/>
    <m/>
    <s v="01078"/>
    <s v="24 de mayo de 2018"/>
    <d v="2018-05-01T00:00:00"/>
    <s v="400.000,00"/>
    <s v="Cuatrocientos Mil Bolívares con 00/100"/>
  </r>
  <r>
    <n v="1079"/>
    <m/>
    <s v="ü"/>
    <d v="2018-05-24T00:00:00"/>
    <n v="350000"/>
    <x v="90"/>
    <x v="82"/>
    <s v="Calle Güigüe Nro. 89-04"/>
    <s v="Colaboración mantenimiento Caseta de Vigilancia"/>
    <s v="Caseta Vigilancia"/>
    <m/>
    <s v="01079"/>
    <s v="24 de mayo de 2018"/>
    <d v="2018-05-01T00:00:00"/>
    <s v="350.000,00"/>
    <s v="Trescientos Cincuenta Mil Bolívares con 00/100"/>
  </r>
  <r>
    <n v="1080"/>
    <m/>
    <s v="ü"/>
    <d v="2018-05-24T00:00:00"/>
    <n v="350000"/>
    <x v="14"/>
    <x v="13"/>
    <s v="Calle Güigüe Nro. 89-83"/>
    <s v="Colaboración mantenimiento Caseta de Vigilancia"/>
    <s v="Caseta Vigilancia"/>
    <m/>
    <s v="01080"/>
    <s v="24 de mayo de 2018"/>
    <d v="2018-05-01T00:00:00"/>
    <s v="350.000,00"/>
    <s v="Trescientos Cincuenta Mil Bolívares con 00/100"/>
  </r>
  <r>
    <n v="1081"/>
    <m/>
    <s v="ü"/>
    <d v="2018-05-25T00:00:00"/>
    <n v="350000"/>
    <x v="19"/>
    <x v="17"/>
    <s v="Calle Guacara Nro. 89-130"/>
    <s v="Colaboración mantenimiento Caseta de Vigilancia"/>
    <s v="Caseta Vigilancia"/>
    <m/>
    <s v="01081"/>
    <s v="25 de mayo de 2018"/>
    <d v="2018-05-01T00:00:00"/>
    <s v="350.000,00"/>
    <s v="Trescientos Cincuenta Mil Bolívares con 00/100"/>
  </r>
  <r>
    <n v="1082"/>
    <m/>
    <s v="ü"/>
    <d v="2018-05-25T00:00:00"/>
    <n v="350000"/>
    <x v="76"/>
    <x v="66"/>
    <s v="Calle Güigüe Nro. 89-90"/>
    <s v="Colaboración mantenimiento Caseta de Vigilancia"/>
    <s v="Caseta Vigilancia"/>
    <m/>
    <s v="01082"/>
    <s v="25 de mayo de 2018"/>
    <d v="2018-05-01T00:00:00"/>
    <s v="350.000,00"/>
    <s v="Trescientos Cincuenta Mil Bolívares con 00/100"/>
  </r>
  <r>
    <n v="1083"/>
    <m/>
    <s v="ü"/>
    <d v="2018-05-25T00:00:00"/>
    <n v="350000"/>
    <x v="88"/>
    <x v="76"/>
    <s v="Calle Güigüe Nro. 88-11"/>
    <s v="Colaboración mantenimiento Caseta de Vigilancia"/>
    <s v="Caseta Vigilancia"/>
    <m/>
    <s v="01083"/>
    <s v="25 de mayo de 2018"/>
    <d v="2018-05-01T00:00:00"/>
    <s v="350.000,00"/>
    <s v="Trescientos Cincuenta Mil Bolívares con 00/100"/>
  </r>
  <r>
    <n v="1084"/>
    <m/>
    <s v="ü"/>
    <d v="2018-05-26T00:00:00"/>
    <n v="100000"/>
    <x v="74"/>
    <x v="64"/>
    <s v="Calle Güigüe Nro. 88-20"/>
    <s v="Colaboración mantenimiento Caseta de Vigilancia"/>
    <s v="Caseta Vigilancia"/>
    <m/>
    <s v="01084"/>
    <s v="26 de mayo de 2018"/>
    <d v="2018-05-01T00:00:00"/>
    <s v="100.000,00"/>
    <s v="Cien Mil Bolívares con 00/100"/>
  </r>
  <r>
    <n v="1085"/>
    <m/>
    <s v="ü"/>
    <d v="2018-05-27T00:00:00"/>
    <n v="400000"/>
    <x v="56"/>
    <x v="52"/>
    <s v="Calle Güigüe Nro. 88-70"/>
    <s v="Cancelación Vigilancia, mes de Mayo/2018"/>
    <s v="Vigilancia"/>
    <m/>
    <s v="01085"/>
    <s v="27 de mayo de 2018"/>
    <d v="2018-05-01T00:00:00"/>
    <s v="400.000,00"/>
    <s v="Cuatrocientos Mil Bolívares con 00/100"/>
  </r>
  <r>
    <n v="1086"/>
    <m/>
    <s v="ü"/>
    <d v="2018-05-27T00:00:00"/>
    <n v="350000"/>
    <x v="56"/>
    <x v="52"/>
    <s v="Calle Güigüe Nro. 88-70"/>
    <s v="Colaboración mantenimiento Caseta de Vigilancia"/>
    <s v="Caseta Vigilancia"/>
    <m/>
    <s v="01086"/>
    <s v="27 de mayo de 2018"/>
    <d v="2018-05-01T00:00:00"/>
    <s v="350.000,00"/>
    <s v="Trescientos Cincuenta Mil Bolívares con 00/100"/>
  </r>
  <r>
    <n v="1087"/>
    <m/>
    <s v="ü"/>
    <d v="2018-05-28T00:00:00"/>
    <n v="400000"/>
    <x v="28"/>
    <x v="77"/>
    <s v="Calle Güigüe Nro. 88-30"/>
    <s v="Ajuste Colaboración Vigilancia, meses de Febrero, Marzo, Abril y Mayo/2018"/>
    <s v="Vigilancia"/>
    <m/>
    <s v="01087"/>
    <s v="28 de mayo de 2018"/>
    <d v="2018-05-01T00:00:00"/>
    <s v="400.000,00"/>
    <s v="Cuatrocientos Mil Bolívares con 00/100"/>
  </r>
  <r>
    <n v="1088"/>
    <m/>
    <s v="ü"/>
    <d v="2018-05-28T00:00:00"/>
    <n v="350000"/>
    <x v="28"/>
    <x v="77"/>
    <s v="Calle Güigüe Nro. 88-30"/>
    <s v="Colaboración mantenimiento Caseta de Vigilancia"/>
    <s v="Caseta Vigilancia"/>
    <m/>
    <s v="01088"/>
    <s v="28 de mayo de 2018"/>
    <d v="2018-05-01T00:00:00"/>
    <s v="350.000,00"/>
    <s v="Trescientos Cincuenta Mil Bolívares con 00/100"/>
  </r>
  <r>
    <n v="1089"/>
    <m/>
    <s v="ü"/>
    <d v="2018-05-28T00:00:00"/>
    <n v="350000"/>
    <x v="27"/>
    <x v="25"/>
    <s v="Calle Güigüe Nro. 89-106"/>
    <s v="Colaboración mantenimiento Caseta de Vigilancia"/>
    <s v="Caseta Vigilancia"/>
    <m/>
    <s v="01089"/>
    <s v="28 de mayo de 2018"/>
    <d v="2018-05-01T00:00:00"/>
    <s v="350.000,00"/>
    <s v="Trescientos Cincuenta Mil Bolívares con 00/100"/>
  </r>
  <r>
    <n v="1090"/>
    <m/>
    <s v="ü"/>
    <d v="2018-05-28T00:00:00"/>
    <n v="350000"/>
    <x v="49"/>
    <x v="46"/>
    <s v="Av. &quot;O&quot; Nro. 146-17"/>
    <s v="Colaboración mantenimiento Caseta de Vigilancia"/>
    <s v="Caseta Vigilancia"/>
    <m/>
    <s v="01090"/>
    <s v="28 de mayo de 2018"/>
    <d v="2018-05-01T00:00:00"/>
    <s v="350.000,00"/>
    <s v="Trescientos Cincuenta Mil Bolívares con 00/100"/>
  </r>
  <r>
    <n v="1091"/>
    <m/>
    <s v="ü"/>
    <d v="2018-05-28T00:00:00"/>
    <n v="350000"/>
    <x v="61"/>
    <x v="14"/>
    <s v="Calle Guacara Nro. 87-07"/>
    <s v="Colaboración mantenimiento Caseta de Vigilancia"/>
    <s v="Caseta Vigilancia"/>
    <m/>
    <s v="01091"/>
    <s v="28 de mayo de 2018"/>
    <d v="2018-05-01T00:00:00"/>
    <s v="350.000,00"/>
    <s v="Trescientos Cincuenta Mil Bolívares con 00/100"/>
  </r>
  <r>
    <n v="1092"/>
    <m/>
    <s v="ü"/>
    <d v="2018-05-29T00:00:00"/>
    <n v="200000"/>
    <x v="2"/>
    <x v="83"/>
    <s v="Calle Guacara Nro. 88-19"/>
    <s v="Colaboración Vigilancia, mes de Mayo/2018"/>
    <s v="Vigilancia"/>
    <m/>
    <s v="01092"/>
    <s v="29 de mayo de 2018"/>
    <d v="2018-05-01T00:00:00"/>
    <s v="200.000,00"/>
    <s v="Doscientos Mil Bolívares con 00/100"/>
  </r>
  <r>
    <n v="1093"/>
    <m/>
    <s v="ü"/>
    <d v="2018-05-29T00:00:00"/>
    <n v="350000"/>
    <x v="2"/>
    <x v="83"/>
    <s v="Calle Guacara Nro. 88-19"/>
    <s v="Colaboración mantenimiento Caseta de Vigilancia"/>
    <s v="Caseta Vigilancia"/>
    <m/>
    <s v="01093"/>
    <s v="29 de mayo de 2018"/>
    <d v="2018-05-01T00:00:00"/>
    <s v="350.000,00"/>
    <s v="Trescientos Cincuenta Mil Bolívares con 00/100"/>
  </r>
  <r>
    <n v="1094"/>
    <m/>
    <s v="ü"/>
    <d v="2018-05-29T00:00:00"/>
    <n v="350000"/>
    <x v="23"/>
    <x v="21"/>
    <s v="Calle Güigüe Nro. 88-116"/>
    <s v="Colaboración mantenimiento Caseta de Vigilancia"/>
    <s v="Caseta Vigilancia"/>
    <m/>
    <s v="01094"/>
    <s v="29 de mayo de 2018"/>
    <d v="2018-05-01T00:00:00"/>
    <s v="350.000,00"/>
    <s v="Trescientos Cincuenta Mil Bolívares con 00/100"/>
  </r>
  <r>
    <n v="1095"/>
    <m/>
    <s v="ü"/>
    <d v="2018-05-29T00:00:00"/>
    <n v="350000"/>
    <x v="73"/>
    <x v="9"/>
    <s v="Calle Güigüe Nros. 88-71 y 88-81"/>
    <s v="Colaboración mantenimiento Caseta de Vigilancia"/>
    <s v="Caseta Vigilancia"/>
    <m/>
    <s v="01095"/>
    <s v="29 de mayo de 2018"/>
    <d v="2018-05-01T00:00:00"/>
    <s v="350.000,00"/>
    <s v="Trescientos Cincuenta Mil Bolívares con 00/100"/>
  </r>
  <r>
    <n v="1096"/>
    <m/>
    <s v="ü"/>
    <d v="2018-05-30T00:00:00"/>
    <n v="240000"/>
    <x v="58"/>
    <x v="53"/>
    <s v="Calle Güigüe Nro. 88-51"/>
    <s v="Cancelación Vigilancia, saldo mes de Marzo y mes de Abril/2018"/>
    <s v="Vigilancia"/>
    <m/>
    <s v="01096"/>
    <s v="30 de mayo de 2018"/>
    <d v="2018-05-01T00:00:00"/>
    <s v="240.000,00"/>
    <s v="Doscientos Cuarenta Mil Bolívares con 00/100"/>
  </r>
  <r>
    <n v="1097"/>
    <m/>
    <s v="ü"/>
    <d v="2018-05-23T00:00:00"/>
    <n v="400000"/>
    <x v="59"/>
    <x v="9"/>
    <s v="Calle Guacara Nro. 90-35"/>
    <s v="Cancelación Vigilancia, mes de Mayo/2018"/>
    <s v="Vigilancia"/>
    <m/>
    <s v="01097"/>
    <s v="23 de mayo de 2018"/>
    <d v="2018-05-01T00:00:00"/>
    <s v="400.000,00"/>
    <s v="Cuatrocientos Mil Bolívares con 00/100"/>
  </r>
  <r>
    <n v="1098"/>
    <m/>
    <s v="ü"/>
    <d v="2018-05-30T00:00:00"/>
    <n v="940000"/>
    <x v="91"/>
    <x v="84"/>
    <s v="Calle Güigüe Nro. 89-89"/>
    <s v="Cancelación Vigilancia, meses de Abril, Mayo y Junio/2018"/>
    <s v="Vigilancia"/>
    <m/>
    <s v="01098"/>
    <s v="30 de mayo de 2018"/>
    <d v="2018-05-01T00:00:00"/>
    <s v="940.000,00"/>
    <s v="Novecientos Cuarenta Mil Bolívares con 00/100"/>
  </r>
  <r>
    <n v="1099"/>
    <m/>
    <s v="ü"/>
    <d v="2018-05-30T00:00:00"/>
    <n v="350000"/>
    <x v="91"/>
    <x v="84"/>
    <s v="Calle Güigüe Nro. 89-89"/>
    <s v="Colaboración mantenimiento Caseta de Vigilancia"/>
    <s v="Caseta Vigilancia"/>
    <m/>
    <s v="01099"/>
    <s v="30 de mayo de 2018"/>
    <d v="2018-05-01T00:00:00"/>
    <s v="350.000,00"/>
    <s v="Trescientos Cincuenta Mil Bolívares con 00/100"/>
  </r>
  <r>
    <n v="1100"/>
    <m/>
    <s v="ü"/>
    <d v="2018-05-30T00:00:00"/>
    <n v="250000"/>
    <x v="24"/>
    <x v="22"/>
    <s v="Calle Güigüe Nro. 88-54"/>
    <s v="Colaboración mantenimiento Caseta de Vigilancia"/>
    <s v="Caseta Vigilancia"/>
    <m/>
    <s v="01100"/>
    <s v="30 de mayo de 2018"/>
    <d v="2018-05-01T00:00:00"/>
    <s v="250.000,00"/>
    <s v="Doscientos Cincuenta Mil Bolívares con 00/100"/>
  </r>
  <r>
    <n v="1101"/>
    <m/>
    <s v="ü"/>
    <d v="2018-05-30T00:00:00"/>
    <n v="400000"/>
    <x v="36"/>
    <x v="33"/>
    <s v="Calle Güigüe Nro. 89-10"/>
    <s v="Cancelación Vigilancia, mes de Mayo/2018"/>
    <s v="Vigilancia"/>
    <m/>
    <s v="01101"/>
    <s v="30 de mayo de 2018"/>
    <d v="2018-05-01T00:00:00"/>
    <s v="400.000,00"/>
    <s v="Cuatrocientos Mil Bolívares con 00/100"/>
  </r>
  <r>
    <n v="1102"/>
    <m/>
    <s v="ü"/>
    <d v="2018-05-30T00:00:00"/>
    <n v="350000"/>
    <x v="36"/>
    <x v="33"/>
    <s v="Calle Güigüe Nro. 89-10"/>
    <s v="Colaboración mantenimiento Caseta de Vigilancia"/>
    <s v="Caseta Vigilancia"/>
    <m/>
    <s v="01102"/>
    <s v="30 de mayo de 2018"/>
    <d v="2018-05-01T00:00:00"/>
    <s v="350.000,00"/>
    <s v="Trescientos Cincuenta Mil Bolívares con 00/100"/>
  </r>
  <r>
    <n v="1103"/>
    <m/>
    <s v="ü"/>
    <d v="2018-05-31T00:00:00"/>
    <n v="540000"/>
    <x v="44"/>
    <x v="41"/>
    <s v="Calle Guacara Nro. 89-40"/>
    <s v="Cancelación Vigilancia, meses de Abril y Mayo/2018"/>
    <s v="Vigilancia"/>
    <m/>
    <s v="01103"/>
    <s v="31 de mayo de 2018"/>
    <d v="2018-05-01T00:00:00"/>
    <s v="540.000,00"/>
    <s v="Quinientos Cuarenta Mil Bolívares con 00/100"/>
  </r>
  <r>
    <n v="1104"/>
    <m/>
    <s v="ü"/>
    <d v="2018-05-31T00:00:00"/>
    <n v="660000"/>
    <x v="62"/>
    <x v="55"/>
    <s v="Av. &quot;M&quot; Nro. 145-10"/>
    <s v="Cancelación Vigilancia, saldo mes de Mayo y mes de Junio/2018"/>
    <s v="Vigilancia"/>
    <m/>
    <s v="01104"/>
    <s v="31 de mayo de 2018"/>
    <d v="2018-05-01T00:00:00"/>
    <s v="660.000,00"/>
    <s v="Seiscientos Sesenta Mil Bolívares con 00/100"/>
  </r>
  <r>
    <n v="1105"/>
    <m/>
    <s v="ü"/>
    <d v="2018-06-02T00:00:00"/>
    <n v="800000"/>
    <x v="37"/>
    <x v="34"/>
    <s v="Av. &quot;I&quot; Nro. 146-40"/>
    <s v="Cancelación Vigilancia, meses de Mayo y Junio/2018"/>
    <s v="Vigilancia"/>
    <m/>
    <s v="01105"/>
    <s v="02 de junio de 2018"/>
    <d v="2018-06-01T00:00:00"/>
    <s v="800.000,00"/>
    <s v="Ochocientos Mil Bolívares con 00/100"/>
  </r>
  <r>
    <n v="1106"/>
    <m/>
    <s v="ü"/>
    <d v="2018-06-02T00:00:00"/>
    <n v="350000"/>
    <x v="37"/>
    <x v="34"/>
    <s v="Av. &quot;I&quot; Nro. 146-40"/>
    <s v="Colaboración mantenimiento Caseta de Vigilancia"/>
    <s v="Caseta Vigilancia"/>
    <m/>
    <s v="01106"/>
    <s v="02 de junio de 2018"/>
    <d v="2018-06-01T00:00:00"/>
    <s v="350.000,00"/>
    <s v="Trescientos Cincuenta Mil Bolívares con 00/100"/>
  </r>
  <r>
    <n v="1107"/>
    <m/>
    <s v="ü"/>
    <d v="2018-06-02T00:00:00"/>
    <n v="350000"/>
    <x v="75"/>
    <x v="65"/>
    <s v="Av. &quot;Ñ&quot; Nro. 145-25"/>
    <s v="Colaboración mantenimiento Caseta de Vigilancia"/>
    <s v="Caseta Vigilancia"/>
    <m/>
    <s v="01107"/>
    <s v="02 de junio de 2018"/>
    <d v="2018-06-01T00:00:00"/>
    <s v="350.000,00"/>
    <s v="Trescientos Cincuenta Mil Bolívares con 00/100"/>
  </r>
  <r>
    <n v="1108"/>
    <m/>
    <s v="ü"/>
    <d v="2018-06-04T00:00:00"/>
    <n v="400000"/>
    <x v="89"/>
    <x v="81"/>
    <s v="Calle Guacara Nro. 88-75"/>
    <s v="Cancelación Vigilancia, mes de Junio/2018"/>
    <s v="Vigilancia"/>
    <m/>
    <s v="01108"/>
    <s v="04 de junio de 2018"/>
    <d v="2018-06-01T00:00:00"/>
    <s v="400.000,00"/>
    <s v="Cuatrocientos Mil Bolívares con 00/100"/>
  </r>
  <r>
    <n v="1109"/>
    <m/>
    <s v="ü"/>
    <d v="2018-06-04T00:00:00"/>
    <n v="400000"/>
    <x v="7"/>
    <x v="7"/>
    <s v="Calle Guacara Nro. 87-86"/>
    <s v="Cancelación Vigilancia, mes de Junio/2018"/>
    <s v="Vigilancia"/>
    <m/>
    <s v="01109"/>
    <s v="04 de junio de 2018"/>
    <d v="2018-06-01T00:00:00"/>
    <s v="400.000,00"/>
    <s v="Cuatrocientos Mil Bolívares con 00/100"/>
  </r>
  <r>
    <n v="1110"/>
    <m/>
    <s v="ü"/>
    <d v="2018-06-04T00:00:00"/>
    <n v="400000"/>
    <x v="10"/>
    <x v="10"/>
    <s v="Av. &quot;M&quot; Nro. 146-15"/>
    <s v="Cancelación Vigilancia, mes de Mayo/2018"/>
    <s v="Vigilancia"/>
    <m/>
    <s v="01110"/>
    <s v="04 de junio de 2018"/>
    <d v="2018-06-01T00:00:00"/>
    <s v="400.000,00"/>
    <s v="Cuatrocientos Mil Bolívares con 00/100"/>
  </r>
  <r>
    <n v="1111"/>
    <m/>
    <s v="ü"/>
    <d v="2018-06-04T00:00:00"/>
    <n v="100000"/>
    <x v="32"/>
    <x v="30"/>
    <s v="Calle Güigüe Nro. 89-120"/>
    <s v="Colaboración Vigilancia, mes de Mayo/2018"/>
    <s v="Vigilancia"/>
    <m/>
    <s v="01111"/>
    <s v="04 de junio de 2018"/>
    <d v="2018-06-01T00:00:00"/>
    <s v="100.000,00"/>
    <s v="Cien Mil Bolívares con 00/100"/>
  </r>
  <r>
    <n v="1112"/>
    <m/>
    <s v="ü"/>
    <d v="2018-06-04T00:00:00"/>
    <n v="400000"/>
    <x v="14"/>
    <x v="13"/>
    <s v="Calle Güigüe Nro. 89-83"/>
    <s v="Cancelación Vigilancia, mes de Junio/2018"/>
    <s v="Vigilancia"/>
    <m/>
    <s v="01112"/>
    <s v="04 de junio de 2018"/>
    <d v="2018-06-01T00:00:00"/>
    <s v="400.000,00"/>
    <s v="Cuatrocientos Mil Bolívares con 00/100"/>
  </r>
  <r>
    <n v="1113"/>
    <m/>
    <s v="ü"/>
    <d v="2018-06-04T00:00:00"/>
    <n v="460000"/>
    <x v="25"/>
    <x v="23"/>
    <s v="Calle Güigüe Nro. 88-58"/>
    <s v="Colaboración Vigilancia, meses de Marzo, Abril y Mayo/2018"/>
    <s v="Vigilancia"/>
    <m/>
    <s v="01113"/>
    <s v="04 de junio de 2018"/>
    <d v="2018-06-01T00:00:00"/>
    <s v="460.000,00"/>
    <s v="Cuatrocientos Sesenta Mil Bolívares con 00/100"/>
  </r>
  <r>
    <n v="1114"/>
    <m/>
    <s v="ü"/>
    <d v="2018-06-04T00:00:00"/>
    <n v="200000"/>
    <x v="71"/>
    <x v="62"/>
    <s v="Calle Güigüe Nro. 89-71"/>
    <s v="Colaboración Vigilancia, mes de Mayo/2018"/>
    <s v="Vigilancia"/>
    <m/>
    <s v="01114"/>
    <s v="04 de junio de 2018"/>
    <d v="2018-06-01T00:00:00"/>
    <s v="200.000,00"/>
    <s v="Doscientos Mil Bolívares con 00/100"/>
  </r>
  <r>
    <n v="1115"/>
    <m/>
    <s v="ü"/>
    <d v="2018-06-04T00:00:00"/>
    <n v="300000"/>
    <x v="71"/>
    <x v="62"/>
    <s v="Calle Güigüe Nro. 89-71"/>
    <s v="Colaboración mantenimiento Caseta de Vigilancia"/>
    <s v="Caseta Vigilancia"/>
    <m/>
    <s v="01115"/>
    <s v="04 de junio de 2018"/>
    <d v="2018-06-01T00:00:00"/>
    <s v="300.000,00"/>
    <s v="Trescientos Mil Bolívares con 00/100"/>
  </r>
  <r>
    <n v="1116"/>
    <m/>
    <s v="ü"/>
    <d v="2018-06-06T00:00:00"/>
    <n v="800000"/>
    <x v="5"/>
    <x v="9"/>
    <s v="Calle Güigüe Nro. 88-120"/>
    <s v="Cancelación Vigilancia, meses de Junio y Julio/2018"/>
    <s v="Vigilancia"/>
    <m/>
    <s v="01116"/>
    <s v="06 de junio de 2018"/>
    <d v="2018-06-01T00:00:00"/>
    <s v="800.000,00"/>
    <s v="Ochocientos Mil Bolívares con 00/100"/>
  </r>
  <r>
    <n v="1117"/>
    <m/>
    <s v="ü"/>
    <d v="2018-06-06T00:00:00"/>
    <n v="300000"/>
    <x v="5"/>
    <x v="9"/>
    <s v="Calle Güigüe Nro. 88-120"/>
    <s v="Colaboración mantenimiento Caseta de Vigilancia"/>
    <s v="Caseta Vigilancia"/>
    <m/>
    <s v="01117"/>
    <s v="06 de junio de 2018"/>
    <d v="2018-06-01T00:00:00"/>
    <s v="300.000,00"/>
    <s v="Trescientos Mil Bolívares con 00/100"/>
  </r>
  <r>
    <n v="1118"/>
    <m/>
    <s v="ü"/>
    <d v="2018-06-06T00:00:00"/>
    <n v="400000"/>
    <x v="90"/>
    <x v="82"/>
    <s v="Calle Güigüe Nro. 89-04"/>
    <s v="Cancelación Vigilancia, mes de Junio/2018"/>
    <s v="Vigilancia"/>
    <m/>
    <s v="01118"/>
    <s v="06 de junio de 2018"/>
    <d v="2018-06-01T00:00:00"/>
    <s v="400.000,00"/>
    <s v="Cuatrocientos Mil Bolívares con 00/100"/>
  </r>
  <r>
    <n v="1119"/>
    <m/>
    <s v="ü"/>
    <d v="2018-06-06T00:00:00"/>
    <n v="400000"/>
    <x v="81"/>
    <x v="69"/>
    <s v="Calle Güigüe Nro. 89-65"/>
    <s v="Cancelación Vigilancia, mes de Junio/2018"/>
    <s v="Vigilancia"/>
    <m/>
    <s v="01119"/>
    <s v="06 de junio de 2018"/>
    <d v="2018-06-01T00:00:00"/>
    <s v="400.000,00"/>
    <s v="Cuatrocientos Mil Bolívares con 00/100"/>
  </r>
  <r>
    <n v="1120"/>
    <m/>
    <s v="ü"/>
    <d v="2018-06-06T00:00:00"/>
    <n v="400000"/>
    <x v="0"/>
    <x v="0"/>
    <s v="Calle Guacara Nro. 88-45"/>
    <s v="Cancelación Vigilancia, mes de Junio/2018 (saldo a favor: Bs. 4.720.000)"/>
    <s v="Vigilancia"/>
    <m/>
    <s v="01120"/>
    <s v="06 de junio de 2018"/>
    <d v="2018-06-01T00:00:00"/>
    <s v="400.000,00"/>
    <s v="Cuatrocientos Mil Bolívares con 00/100"/>
  </r>
  <r>
    <n v="1121"/>
    <m/>
    <s v="ü"/>
    <d v="2018-06-06T00:00:00"/>
    <n v="400000"/>
    <x v="75"/>
    <x v="65"/>
    <s v="Av. &quot;Ñ&quot; Nro. 145-25"/>
    <s v="Cancelación Vigilancia, mes de Junio/2018 (saldo a favor: Bs. 3.435.000)"/>
    <s v="Vigilancia"/>
    <m/>
    <s v="01121"/>
    <s v="06 de junio de 2018"/>
    <d v="2018-06-01T00:00:00"/>
    <s v="400.000,00"/>
    <s v="Cuatrocientos Mil Bolívares con 00/100"/>
  </r>
  <r>
    <n v="1122"/>
    <m/>
    <s v="ü"/>
    <d v="2018-06-06T00:00:00"/>
    <n v="400000"/>
    <x v="12"/>
    <x v="12"/>
    <s v="Calle Guacara Nro. 89-20"/>
    <s v="Cancelación Vigilancia, mes de Junio/2018"/>
    <s v="Vigilancia"/>
    <m/>
    <s v="01122"/>
    <s v="06 de junio de 2018"/>
    <d v="2018-06-01T00:00:00"/>
    <s v="400.000,00"/>
    <s v="Cuatrocientos Mil Bolívares con 00/100"/>
  </r>
  <r>
    <n v="1123"/>
    <m/>
    <s v="ü"/>
    <d v="2018-06-06T00:00:00"/>
    <n v="400000"/>
    <x v="52"/>
    <x v="9"/>
    <s v="Calle Güigüe Nro. 89-45"/>
    <s v="Cancelación Vigilancia, mes de Junio/2018 (saldo a favor: Bs. 1.593.000)"/>
    <s v="Vigilancia"/>
    <m/>
    <s v="01123"/>
    <s v="06 de junio de 2018"/>
    <d v="2018-06-01T00:00:00"/>
    <s v="400.000,00"/>
    <s v="Cuatrocientos Mil Bolívares con 00/100"/>
  </r>
  <r>
    <n v="1124"/>
    <m/>
    <s v="ü"/>
    <d v="2018-06-06T00:00:00"/>
    <n v="400000"/>
    <x v="4"/>
    <x v="4"/>
    <s v="Calle Güigüe Nro. 89-55"/>
    <s v="Cancelación Vigilancia, mes de Junio/2018 (saldo a favor: Bs. 660.000)"/>
    <s v="Vigilancia"/>
    <m/>
    <s v="01124"/>
    <s v="06 de junio de 2018"/>
    <d v="2018-06-01T00:00:00"/>
    <s v="400.000,00"/>
    <s v="Cuatrocientos Mil Bolívares con 00/100"/>
  </r>
  <r>
    <n v="1125"/>
    <m/>
    <s v="ü"/>
    <d v="2018-06-07T00:00:00"/>
    <n v="400000"/>
    <x v="18"/>
    <x v="16"/>
    <s v="Calle Guacara Nro. 87-100"/>
    <s v="Cancelación Vigilancia, mes de Junio/2018"/>
    <s v="Vigilancia"/>
    <m/>
    <s v="01125"/>
    <s v="07 de junio de 2018"/>
    <d v="2018-06-01T00:00:00"/>
    <s v="400.000,00"/>
    <s v="Cuatrocientos Mil Bolívares con 00/100"/>
  </r>
  <r>
    <n v="1126"/>
    <m/>
    <s v="ü"/>
    <d v="2018-06-07T00:00:00"/>
    <n v="400000"/>
    <x v="1"/>
    <x v="1"/>
    <s v="Calle Güigüe Nro. 88-44"/>
    <s v="Cancelación Vigilancia, mes de Junio/2018"/>
    <s v="Vigilancia"/>
    <m/>
    <s v="01126"/>
    <s v="07 de junio de 2018"/>
    <d v="2018-06-01T00:00:00"/>
    <s v="400.000,00"/>
    <s v="Cuatrocientos Mil Bolívares con 00/100"/>
  </r>
  <r>
    <n v="1127"/>
    <m/>
    <s v="ü"/>
    <d v="2018-06-07T00:00:00"/>
    <n v="400000"/>
    <x v="38"/>
    <x v="35"/>
    <s v="Calle Guacara Nro. 89-78"/>
    <s v="Cancelación Vigilancia, mes de Junio/2018"/>
    <s v="Vigilancia"/>
    <m/>
    <s v="01127"/>
    <s v="07 de junio de 2018"/>
    <d v="2018-06-01T00:00:00"/>
    <s v="400.000,00"/>
    <s v="Cuatrocientos Mil Bolívares con 00/100"/>
  </r>
  <r>
    <n v="1128"/>
    <m/>
    <s v="ü"/>
    <d v="2018-06-08T00:00:00"/>
    <n v="100000"/>
    <x v="82"/>
    <x v="9"/>
    <s v="Calle Guacara Nro. 90-61"/>
    <s v="Colaboración Vigilancia, mes de Mayo/2018"/>
    <s v="Vigilancia"/>
    <m/>
    <s v="01128"/>
    <s v="08 de junio de 2018"/>
    <d v="2018-06-01T00:00:00"/>
    <s v="100.000,00"/>
    <s v="Cien Mil Bolívares con 00/100"/>
  </r>
  <r>
    <n v="1129"/>
    <m/>
    <s v="ü"/>
    <d v="2018-06-08T00:00:00"/>
    <n v="400000"/>
    <x v="58"/>
    <x v="53"/>
    <s v="Calle Güigüe Nro. 88-51"/>
    <s v="Cancelación Vigilancia, mes de Mayo/2018"/>
    <s v="Vigilancia"/>
    <m/>
    <s v="01129"/>
    <s v="08 de junio de 2018"/>
    <d v="2018-06-01T00:00:00"/>
    <s v="400.000,00"/>
    <s v="Cuatrocientos Mil Bolívares con 00/100"/>
  </r>
  <r>
    <n v="1130"/>
    <m/>
    <s v="ü"/>
    <d v="2018-06-08T00:00:00"/>
    <n v="350000"/>
    <x v="10"/>
    <x v="10"/>
    <s v="Av. &quot;M&quot; Nro. 146-15"/>
    <s v="Colaboración mantenimiento Caseta de Vigilancia"/>
    <s v="Caseta Vigilancia"/>
    <m/>
    <s v="01130"/>
    <s v="08 de junio de 2018"/>
    <d v="2018-06-01T00:00:00"/>
    <s v="350.000,00"/>
    <s v="Trescientos Cincuenta Mil Bolívares con 00/100"/>
  </r>
  <r>
    <n v="1131"/>
    <m/>
    <s v="ü"/>
    <d v="2018-06-09T00:00:00"/>
    <n v="100000"/>
    <x v="74"/>
    <x v="64"/>
    <s v="Calle Güigüe Nro. 88-20"/>
    <s v="Colaboración Vigilancia, meses de Mayo y Junio/2018"/>
    <s v="Vigilancia"/>
    <m/>
    <s v="01131"/>
    <s v="09 de junio de 2018"/>
    <d v="2018-06-01T00:00:00"/>
    <s v="100.000,00"/>
    <s v="Cien Mil Bolívares con 00/100"/>
  </r>
  <r>
    <n v="1132"/>
    <m/>
    <s v="ü"/>
    <d v="2018-06-09T00:00:00"/>
    <n v="1080000"/>
    <x v="80"/>
    <x v="9"/>
    <s v="Calle Guacara Nro. 88-55"/>
    <s v="Cancelación Vigilancia, meses de Marzo, Abril, Mayo y Junio/2018"/>
    <s v="Vigilancia"/>
    <m/>
    <s v="01132"/>
    <s v="09 de junio de 2018"/>
    <d v="2018-06-01T00:00:00"/>
    <s v="1.080.000,00"/>
    <s v="Un Millón Ochenta Mil Bolívares con 00/100"/>
  </r>
  <r>
    <n v="1133"/>
    <m/>
    <s v="ü"/>
    <d v="2018-06-10T00:00:00"/>
    <n v="400000"/>
    <x v="15"/>
    <x v="14"/>
    <s v="Calle Guacara Nro. 89-94"/>
    <s v="Cancelación Vigilancia, mes de Junio/2018"/>
    <s v="Vigilancia"/>
    <m/>
    <s v="01133"/>
    <s v="10 de junio de 2018"/>
    <d v="2018-06-01T00:00:00"/>
    <s v="400.000,00"/>
    <s v="Cuatrocientos Mil Bolívares con 00/100"/>
  </r>
  <r>
    <n v="1134"/>
    <m/>
    <s v="ü"/>
    <d v="2018-06-10T00:00:00"/>
    <n v="400000"/>
    <x v="22"/>
    <x v="20"/>
    <s v="Calle Guacara Nro. 88-25"/>
    <s v="Colaboración Vigilancia, mes de Junio/2018"/>
    <s v="Vigilancia"/>
    <m/>
    <s v="01134"/>
    <s v="10 de junio de 2018"/>
    <d v="2018-06-01T00:00:00"/>
    <s v="400.000,00"/>
    <s v="Cuatrocientos Mil Bolívares con 00/100"/>
  </r>
  <r>
    <n v="1135"/>
    <m/>
    <s v="ü"/>
    <d v="2018-06-10T00:00:00"/>
    <n v="350000"/>
    <x v="22"/>
    <x v="20"/>
    <s v="Calle Guacara Nro. 88-25"/>
    <s v="Colaboración mantenimiento Caseta de Vigilancia"/>
    <s v="Caseta Vigilancia"/>
    <m/>
    <s v="01135"/>
    <s v="10 de junio de 2018"/>
    <d v="2018-06-01T00:00:00"/>
    <s v="350.000,00"/>
    <s v="Trescientos Cincuenta Mil Bolívares con 00/100"/>
  </r>
  <r>
    <n v="1136"/>
    <m/>
    <s v="ü"/>
    <d v="2018-06-11T00:00:00"/>
    <n v="400000"/>
    <x v="10"/>
    <x v="10"/>
    <s v="Av. &quot;M&quot; Nro. 146-15"/>
    <s v="Cancelación Vigilancia, mes de Junio/2018"/>
    <s v="Vigilancia"/>
    <m/>
    <s v="01136"/>
    <s v="11 de junio de 2018"/>
    <d v="2018-06-01T00:00:00"/>
    <s v="400.000,00"/>
    <s v="Cuatrocientos Mil Bolívares con 00/100"/>
  </r>
  <r>
    <n v="1137"/>
    <m/>
    <s v="ü"/>
    <d v="2018-06-11T00:00:00"/>
    <n v="400000"/>
    <x v="65"/>
    <x v="58"/>
    <s v="Calle Güigüe Nro. 88-10"/>
    <s v="Cancelación Vigilancia, mes de Junio/2018"/>
    <s v="Vigilancia"/>
    <m/>
    <s v="01137"/>
    <s v="11 de junio de 2018"/>
    <d v="2018-06-01T00:00:00"/>
    <s v="400.000,00"/>
    <s v="Cuatrocientos Mil Bolívares con 00/100"/>
  </r>
  <r>
    <n v="1138"/>
    <m/>
    <s v="ü"/>
    <d v="2018-06-13T00:00:00"/>
    <n v="200000"/>
    <x v="68"/>
    <x v="60"/>
    <s v="Calle Güigüe Nro. 89-29"/>
    <s v="Colaboración Vigilancia, mes de Junio/2018"/>
    <s v="Vigilancia"/>
    <m/>
    <s v="01138"/>
    <s v="13 de junio de 2018"/>
    <d v="2018-06-01T00:00:00"/>
    <s v="200.000,00"/>
    <s v="Doscientos Mil Bolívares con 00/100"/>
  </r>
  <r>
    <n v="1139"/>
    <m/>
    <s v="ü"/>
    <d v="2018-06-12T00:00:00"/>
    <n v="400000"/>
    <x v="28"/>
    <x v="77"/>
    <s v="Calle Güigüe Nro. 88-30"/>
    <s v="Cancelación Vigilancia, mes de Junio/2018"/>
    <s v="Vigilancia"/>
    <m/>
    <s v="01139"/>
    <s v="12 de junio de 2018"/>
    <d v="2018-06-01T00:00:00"/>
    <s v="400.000,00"/>
    <s v="Cuatrocientos Mil Bolívares con 00/100"/>
  </r>
  <r>
    <n v="1140"/>
    <m/>
    <s v="ü"/>
    <d v="2018-06-13T00:00:00"/>
    <n v="2100000"/>
    <x v="47"/>
    <x v="44"/>
    <s v="Calle Güigüe Nro. 88-80"/>
    <s v="Cancelación Vigilancia, meses de Abril, Mayo, Junio, Julio, Agosto y Septiembre/2017"/>
    <s v="Vigilancia"/>
    <m/>
    <s v="01140"/>
    <s v="13 de junio de 2018"/>
    <d v="2018-06-01T00:00:00"/>
    <s v="2.100.000,00"/>
    <s v="Dos Millones Cien Mil Bolívares con 00/100"/>
  </r>
  <r>
    <n v="1141"/>
    <m/>
    <s v="ü"/>
    <d v="2018-06-14T00:00:00"/>
    <n v="800000"/>
    <x v="60"/>
    <x v="54"/>
    <s v="Calle Guacara Nro. 88-51"/>
    <s v="Cancelación Vigilancia, meses de Junio y Julio/2018"/>
    <s v="Vigilancia"/>
    <m/>
    <s v="01141"/>
    <s v="14 de junio de 2018"/>
    <d v="2018-06-01T00:00:00"/>
    <s v="800.000,00"/>
    <s v="Ochocientos Mil Bolívares con 00/100"/>
  </r>
  <r>
    <n v="1142"/>
    <m/>
    <s v="ü"/>
    <d v="2018-06-15T00:00:00"/>
    <n v="400000"/>
    <x v="35"/>
    <x v="32"/>
    <s v="Calle Güigüe Nro. 89-80"/>
    <s v="Cancelación Vigilancia, mes de Junio/2018"/>
    <s v="Vigilancia"/>
    <m/>
    <s v="01142"/>
    <s v="15 de junio de 2018"/>
    <d v="2018-06-01T00:00:00"/>
    <s v="400.000,00"/>
    <s v="Cuatrocientos Mil Bolívares con 00/100"/>
  </r>
  <r>
    <n v="1143"/>
    <m/>
    <s v="ü"/>
    <d v="2018-06-15T00:00:00"/>
    <n v="400000"/>
    <x v="46"/>
    <x v="43"/>
    <s v="Av. &quot;I&quot; Nro. 146-20"/>
    <s v="Cancelación Vigilancia, mes de Junio/2018"/>
    <s v="Vigilancia"/>
    <m/>
    <s v="01143"/>
    <s v="15 de junio de 2018"/>
    <d v="2018-06-01T00:00:00"/>
    <s v="400.000,00"/>
    <s v="Cuatrocientos Mil Bolívares con 00/100"/>
  </r>
  <r>
    <n v="1144"/>
    <m/>
    <s v="ü"/>
    <d v="2018-06-15T00:00:00"/>
    <n v="400000"/>
    <x v="46"/>
    <x v="43"/>
    <s v="Av. &quot;I&quot; Nro. 146-20"/>
    <s v="Colaboración mantenimiento Caseta de Vigilancia"/>
    <s v="Caseta Vigilancia"/>
    <m/>
    <s v="01144"/>
    <s v="15 de junio de 2018"/>
    <d v="2018-06-01T00:00:00"/>
    <s v="400.000,00"/>
    <s v="Cuatrocientos Mil Bolívares con 00/100"/>
  </r>
  <r>
    <n v="1145"/>
    <m/>
    <s v="ü"/>
    <d v="2018-06-18T00:00:00"/>
    <n v="400000"/>
    <x v="19"/>
    <x v="17"/>
    <s v="Calle Guacara Nro. 89-130"/>
    <s v="Cancelación Vigilancia, mes de Junio/2018"/>
    <s v="Vigilancia"/>
    <m/>
    <s v="01145"/>
    <s v="18 de junio de 2018"/>
    <d v="2018-06-01T00:00:00"/>
    <s v="400.000,00"/>
    <s v="Cuatrocientos Mil Bolívares con 00/100"/>
  </r>
  <r>
    <n v="1146"/>
    <m/>
    <s v="ü"/>
    <d v="2018-06-18T00:00:00"/>
    <n v="400000"/>
    <x v="34"/>
    <x v="9"/>
    <s v="Av. &quot;O&quot; Nro. 146-11"/>
    <s v="Cancelación Vigilancia, mes de Junio/2018"/>
    <s v="Vigilancia"/>
    <m/>
    <s v="01146"/>
    <s v="18 de junio de 2018"/>
    <d v="2018-06-01T00:00:00"/>
    <s v="400.000,00"/>
    <s v="Cuatrocientos Mil Bolívares con 00/100"/>
  </r>
  <r>
    <n v="1147"/>
    <m/>
    <s v="ü"/>
    <d v="2018-06-18T00:00:00"/>
    <n v="600000"/>
    <x v="16"/>
    <x v="15"/>
    <s v="Calle Guacara Nro. 90-81"/>
    <s v="Cancelación Vigilancia, mes de Junio y anticipo Julio/2018"/>
    <s v="Vigilancia"/>
    <m/>
    <s v="01147"/>
    <s v="18 de junio de 2018"/>
    <d v="2018-06-01T00:00:00"/>
    <s v="600.000,00"/>
    <s v="Seiscientos Mil Bolívares con 00/100"/>
  </r>
  <r>
    <n v="1148"/>
    <m/>
    <s v="ü"/>
    <d v="2018-06-18T00:00:00"/>
    <n v="400000"/>
    <x v="76"/>
    <x v="66"/>
    <s v="Calle Güigüe Nro. 89-90"/>
    <s v="Cancelación Vigilancia, mes de Junio/2018"/>
    <s v="Vigilancia"/>
    <m/>
    <s v="01148"/>
    <s v="18 de junio de 2018"/>
    <d v="2018-06-01T00:00:00"/>
    <s v="400.000,00"/>
    <s v="Cuatrocientos Mil Bolívares con 00/100"/>
  </r>
  <r>
    <n v="1149"/>
    <m/>
    <s v="ü"/>
    <d v="2018-06-19T00:00:00"/>
    <n v="400000"/>
    <x v="24"/>
    <x v="22"/>
    <s v="Calle Güigüe Nro. 88-54"/>
    <s v="Cancelación Vigilancia, mes de Junio/2018"/>
    <s v="Vigilancia"/>
    <m/>
    <s v="01149"/>
    <s v="19 de junio de 2018"/>
    <d v="2018-06-01T00:00:00"/>
    <s v="400.000,00"/>
    <s v="Cuatrocientos Mil Bolívares con 00/100"/>
  </r>
  <r>
    <n v="1150"/>
    <m/>
    <s v="ü"/>
    <d v="2018-06-19T00:00:00"/>
    <n v="400000"/>
    <x v="25"/>
    <x v="23"/>
    <s v="Calle Güigüe Nro. 88-58"/>
    <s v="Cancelación Vigilancia, mes de Junio/2018"/>
    <s v="Vigilancia"/>
    <m/>
    <s v="01150"/>
    <s v="19 de junio de 2018"/>
    <d v="2018-06-01T00:00:00"/>
    <s v="400.000,00"/>
    <s v="Cuatrocientos Mil Bolívares con 00/100"/>
  </r>
  <r>
    <n v="1151"/>
    <m/>
    <s v="ü"/>
    <d v="2018-06-21T00:00:00"/>
    <n v="400000"/>
    <x v="8"/>
    <x v="78"/>
    <s v="Calle Guacara Nro. 90-51"/>
    <s v="Cancelación Vigilancia, mes de Junio/2018"/>
    <s v="Vigilancia"/>
    <m/>
    <s v="01151"/>
    <s v="21 de junio de 2018"/>
    <d v="2018-06-01T00:00:00"/>
    <s v="400.000,00"/>
    <s v="Cuatrocientos Mil Bolívares con 00/100"/>
  </r>
  <r>
    <n v="1152"/>
    <m/>
    <s v="ü"/>
    <d v="2018-06-21T00:00:00"/>
    <n v="100000"/>
    <x v="8"/>
    <x v="78"/>
    <s v="Calle Guacara Nro. 90-51"/>
    <s v="Colaboración para comida de vigilantes"/>
    <s v="Comida Vigilantes"/>
    <m/>
    <s v="01152"/>
    <s v="21 de junio de 2018"/>
    <d v="2018-06-01T00:00:00"/>
    <s v="100.000,00"/>
    <s v="Cien Mil Bolívares con 00/100"/>
  </r>
  <r>
    <n v="1153"/>
    <m/>
    <s v="ü"/>
    <d v="2018-06-21T00:00:00"/>
    <n v="1000000"/>
    <x v="87"/>
    <x v="75"/>
    <s v="Calle Güigüe Nro. 88-06"/>
    <s v="Cancelación Vigilancia, meses de Mayo y Junio y anticipo mes de Julio/2018"/>
    <s v="Vigilancia"/>
    <m/>
    <s v="01153"/>
    <s v="21 de junio de 2018"/>
    <d v="2018-06-01T00:00:00"/>
    <s v="1.000.000,00"/>
    <s v="Un Millón Bolívares con 00/100"/>
  </r>
  <r>
    <n v="1154"/>
    <m/>
    <s v="ü"/>
    <d v="2018-06-26T00:00:00"/>
    <n v="2550000"/>
    <x v="21"/>
    <x v="19"/>
    <s v="Calle Güigüe Nro. 89-105"/>
    <s v="Cancelación Vigilancia, meses de Junio, Julio y Agosto, y anticipo Septiembre/2018"/>
    <s v="Vigilancia"/>
    <m/>
    <s v="01154"/>
    <s v="26 de junio de 2018"/>
    <d v="2018-06-01T00:00:00"/>
    <s v="2.550.000,00"/>
    <s v="Dos Millones Quinientos Cincuenta Mil Bolívares con 00/100"/>
  </r>
  <r>
    <n v="1155"/>
    <m/>
    <s v="ü"/>
    <d v="2018-06-26T00:00:00"/>
    <n v="400000"/>
    <x v="88"/>
    <x v="76"/>
    <s v="Calle Güigüe Nro. 88-11"/>
    <s v="Cancelación Vigilancia, mes de Junio/2018"/>
    <s v="Vigilancia"/>
    <m/>
    <s v="01155"/>
    <s v="26 de junio de 2018"/>
    <d v="2018-06-01T00:00:00"/>
    <s v="400.000,00"/>
    <s v="Cuatrocientos Mil Bolívares con 00/100"/>
  </r>
  <r>
    <n v="1156"/>
    <m/>
    <s v="ü"/>
    <d v="2018-06-26T00:00:00"/>
    <n v="40000"/>
    <x v="57"/>
    <x v="9"/>
    <s v="Calle Güigüe Nro. 88-40"/>
    <s v="Colaboración Vigilancia, mes de Junio/2018"/>
    <s v="Vigilancia"/>
    <m/>
    <s v="01156"/>
    <s v="26 de junio de 2018"/>
    <d v="2018-06-01T00:00:00"/>
    <s v="40.000,00"/>
    <s v="Cuarenta Mil Bolívares con 00/100"/>
  </r>
  <r>
    <n v="1157"/>
    <m/>
    <s v="ü"/>
    <d v="2018-06-26T00:00:00"/>
    <n v="340000"/>
    <x v="53"/>
    <x v="80"/>
    <s v="Calle Guacara Nro. 88-91"/>
    <s v="Cancelación Vigilancia, saldo mes de Mayo/2018"/>
    <s v="Vigilancia"/>
    <m/>
    <s v="01157"/>
    <s v="26 de junio de 2018"/>
    <d v="2018-06-01T00:00:00"/>
    <s v="340.000,00"/>
    <s v="Trescientos Cuarenta Mil Bolívares con 00/100"/>
  </r>
  <r>
    <n v="1158"/>
    <m/>
    <s v="ü"/>
    <d v="2018-06-26T00:00:00"/>
    <n v="350000"/>
    <x v="53"/>
    <x v="80"/>
    <s v="Calle Guacara Nro. 88-91"/>
    <s v="Colaboración mantenimiento Caseta de Vigilancia"/>
    <s v="Caseta Vigilancia"/>
    <m/>
    <s v="01158"/>
    <s v="26 de junio de 2018"/>
    <d v="2018-06-01T00:00:00"/>
    <s v="350.000,00"/>
    <s v="Trescientos Cincuenta Mil Bolívares con 00/100"/>
  </r>
  <r>
    <n v="1159"/>
    <m/>
    <s v="ü"/>
    <d v="2018-06-28T00:00:00"/>
    <n v="1075000"/>
    <x v="84"/>
    <x v="71"/>
    <s v="Calle Güigüe Nro. 89-54"/>
    <s v="Cancelación Vigilancia, ajuste mes de Junio y cancelación mes de Julio/2018"/>
    <s v="Vigilancia"/>
    <m/>
    <s v="01159"/>
    <s v="28 de junio de 2018"/>
    <d v="2018-06-01T00:00:00"/>
    <s v="1.075.000,00"/>
    <s v="Un Millón Setenta y Cinco Mil Bolívares con 00/100"/>
  </r>
  <r>
    <n v="1160"/>
    <m/>
    <s v="ü"/>
    <d v="2018-06-28T00:00:00"/>
    <n v="400000"/>
    <x v="69"/>
    <x v="61"/>
    <s v="Calle Güigüe Nro. 89-40"/>
    <s v="Cancelación Vigilancia, anticipo mes de Junio/2018"/>
    <s v="Vigilancia"/>
    <m/>
    <s v="01160"/>
    <s v="28 de junio de 2018"/>
    <d v="2018-06-01T00:00:00"/>
    <s v="400.000,00"/>
    <s v="Cuatrocientos Mil Bolívares con 00/100"/>
  </r>
  <r>
    <n v="1161"/>
    <m/>
    <s v="ü"/>
    <d v="2018-06-28T00:00:00"/>
    <n v="225000"/>
    <x v="4"/>
    <x v="4"/>
    <s v="Calle Güigüe Nro. 89-55"/>
    <s v="Cancelación Vigilancia, ajuste mes de Junio/2018 (saldo a favor: Bs. 435.000)"/>
    <s v="Vigilancia"/>
    <m/>
    <s v="01161"/>
    <s v="28 de junio de 2018"/>
    <d v="2018-06-01T00:00:00"/>
    <s v="225.000,00"/>
    <s v="Doscientos Veinticinco Mil Bolívares con 00/100"/>
  </r>
  <r>
    <n v="1162"/>
    <m/>
    <s v="ü"/>
    <d v="2018-06-28T00:00:00"/>
    <n v="225000"/>
    <x v="0"/>
    <x v="0"/>
    <s v="Calle Guacara Nro. 88-45"/>
    <s v="Cancelación Vigilancia, ajuste mes de Junio/2018 (saldo a favor: Bs. 4.495.000)"/>
    <s v="Vigilancia"/>
    <m/>
    <s v="01162"/>
    <s v="28 de junio de 2018"/>
    <d v="2018-06-01T00:00:00"/>
    <s v="225.000,00"/>
    <s v="Doscientos Veinticinco Mil Bolívares con 00/100"/>
  </r>
  <r>
    <n v="1163"/>
    <m/>
    <s v="ü"/>
    <d v="2018-06-28T00:00:00"/>
    <n v="225000"/>
    <x v="75"/>
    <x v="65"/>
    <s v="Av. &quot;Ñ&quot; Nro. 145-25"/>
    <s v="Cancelación Vigilancia, ajuste mes de Junio/2018 (saldo a favor: Bs. 3.210.000)"/>
    <s v="Vigilancia"/>
    <m/>
    <s v="01163"/>
    <s v="28 de junio de 2018"/>
    <d v="2018-06-01T00:00:00"/>
    <s v="225.000,00"/>
    <s v="Doscientos Veinticinco Mil Bolívares con 00/100"/>
  </r>
  <r>
    <n v="1164"/>
    <m/>
    <m/>
    <d v="2018-06-28T00:00:00"/>
    <n v="225000"/>
    <x v="52"/>
    <x v="9"/>
    <s v="Calle Güigüe Nro. 89-45"/>
    <s v="Cancelación Vigilancia, ajuste mes de Junio/2018 (saldo a favor: Bs. 1.368.000)"/>
    <s v="Vigilancia"/>
    <m/>
    <s v="01164"/>
    <s v="28 de junio de 2018"/>
    <d v="2018-06-01T00:00:00"/>
    <s v="225.000,00"/>
    <s v="Doscientos Veinticinco Mil Bolívares con 00/100"/>
  </r>
  <r>
    <n v="1165"/>
    <m/>
    <s v="ü"/>
    <d v="2018-06-28T00:00:00"/>
    <n v="225000"/>
    <x v="12"/>
    <x v="12"/>
    <s v="Calle Guacara Nro. 89-20"/>
    <s v="Cancelación Vigilancia, ajuste mes de Junio/2018"/>
    <s v="Vigilancia"/>
    <m/>
    <s v="01165"/>
    <s v="28 de junio de 2018"/>
    <d v="2018-06-01T00:00:00"/>
    <s v="225.000,00"/>
    <s v="Doscientos Veinticinco Mil Bolívares con 00/100"/>
  </r>
  <r>
    <n v="1166"/>
    <m/>
    <s v="ü"/>
    <d v="2018-06-28T00:00:00"/>
    <n v="1075000"/>
    <x v="81"/>
    <x v="69"/>
    <s v="Calle Güigüe Nro. 89-65"/>
    <s v="Cancelación Vigilancia, ajuste mes de Junio y cancelación mes de Julio/2018"/>
    <s v="Vigilancia"/>
    <m/>
    <s v="01166"/>
    <s v="28 de junio de 2018"/>
    <d v="2018-06-01T00:00:00"/>
    <s v="1.075.000,00"/>
    <s v="Un Millón Setenta y Cinco Mil Bolívares con 00/100"/>
  </r>
  <r>
    <n v="1167"/>
    <m/>
    <s v="ü"/>
    <d v="2018-06-28T00:00:00"/>
    <n v="1075000"/>
    <x v="7"/>
    <x v="7"/>
    <s v="Calle Guacara Nro. 87-86"/>
    <s v="Cancelación Vigilancia, ajuste mes de Junio y cancelación mes de Julio/2018"/>
    <s v="Vigilancia"/>
    <m/>
    <s v="01167"/>
    <s v="28 de junio de 2018"/>
    <d v="2018-06-01T00:00:00"/>
    <s v="1.075.000,00"/>
    <s v="Un Millón Setenta y Cinco Mil Bolívares con 00/100"/>
  </r>
  <r>
    <n v="1168"/>
    <m/>
    <s v="ü"/>
    <d v="2018-06-28T00:00:00"/>
    <n v="1075000"/>
    <x v="11"/>
    <x v="11"/>
    <s v="Calle Guacara Nro. 89-86"/>
    <s v="Cancelación Vigilancia, ajuste mes de Junio y cancelación mes de Julio/2018"/>
    <s v="Vigilancia"/>
    <m/>
    <s v="01168"/>
    <s v="28 de junio de 2018"/>
    <d v="2018-06-01T00:00:00"/>
    <s v="1.075.000,00"/>
    <s v="Un Millón Setenta y Cinco Mil Bolívares con 00/100"/>
  </r>
  <r>
    <n v="1169"/>
    <m/>
    <s v="ü"/>
    <d v="2018-06-28T00:00:00"/>
    <n v="225000"/>
    <x v="90"/>
    <x v="82"/>
    <s v="Calle Güigüe Nro. 89-04"/>
    <s v="Cancelación Vigilancia, ajuste mes de Junio/2018"/>
    <s v="Vigilancia"/>
    <m/>
    <s v="01169"/>
    <s v="28 de junio de 2018"/>
    <d v="2018-06-01T00:00:00"/>
    <s v="225.000,00"/>
    <s v="Doscientos Veinticinco Mil Bolívares con 00/100"/>
  </r>
  <r>
    <n v="1170"/>
    <m/>
    <s v="ü"/>
    <d v="2018-06-28T00:00:00"/>
    <n v="400000"/>
    <x v="26"/>
    <x v="24"/>
    <s v="Calle Güigüe Nro. 89-96"/>
    <s v="Cancelación Vigilancia, anticipo mes de Junio/2018"/>
    <s v="Vigilancia"/>
    <m/>
    <s v="01170"/>
    <s v="28 de junio de 2018"/>
    <d v="2018-06-01T00:00:00"/>
    <s v="400.000,00"/>
    <s v="Cuatrocientos Mil Bolívares con 00/100"/>
  </r>
  <r>
    <n v="1171"/>
    <m/>
    <s v="ü"/>
    <d v="2018-06-29T00:00:00"/>
    <n v="675000"/>
    <x v="31"/>
    <x v="29"/>
    <s v="Calle Güigüe Nro. 89-95"/>
    <s v="Cancelación Vigilancia, ajuste mes de Junio, y saldo mes de Junio/2018"/>
    <s v="Vigilancia"/>
    <m/>
    <s v="01171"/>
    <s v="29 de junio de 2018"/>
    <d v="2018-06-01T00:00:00"/>
    <s v="675.000,00"/>
    <s v="Seiscientos Setenta y Cinco Mil Bolívares con 00/100"/>
  </r>
  <r>
    <n v="1172"/>
    <m/>
    <s v="ü"/>
    <d v="2018-06-29T00:00:00"/>
    <n v="1075000"/>
    <x v="18"/>
    <x v="16"/>
    <s v="Calle Guacara Nro. 87-100"/>
    <s v="Cancelación Vigilancia, ajuste mes de Junio y cancelación mes de Julio/2018"/>
    <s v="Vigilancia"/>
    <m/>
    <s v="01172"/>
    <s v="29 de junio de 2018"/>
    <d v="2018-06-01T00:00:00"/>
    <s v="1.075.000,00"/>
    <s v="Un Millón Setenta y Cinco Mil Bolívares con 00/100"/>
  </r>
  <r>
    <n v="1173"/>
    <m/>
    <s v="ü"/>
    <d v="2018-06-29T00:00:00"/>
    <n v="925000"/>
    <x v="18"/>
    <x v="16"/>
    <s v="Calle Guacara Nro. 87-100"/>
    <s v="Colaboración reparación portón principal"/>
    <s v="Reparación Portón"/>
    <m/>
    <s v="01173"/>
    <s v="29 de junio de 2018"/>
    <d v="2018-06-01T00:00:00"/>
    <s v="925.000,00"/>
    <s v="Novecientos Veinticinco Mil Bolívares con 00/100"/>
  </r>
  <r>
    <n v="1174"/>
    <m/>
    <s v="ü"/>
    <d v="2018-06-29T00:00:00"/>
    <n v="225000"/>
    <x v="60"/>
    <x v="54"/>
    <s v="Calle Guacara Nro. 88-51"/>
    <s v="Cancelación Vigilancia, ajuste mes de Junio/2018"/>
    <s v="Vigilancia"/>
    <m/>
    <s v="01174"/>
    <s v="29 de junio de 2018"/>
    <d v="2018-06-01T00:00:00"/>
    <s v="225.000,00"/>
    <s v="Doscientos Veinticinco Mil Bolívares con 00/100"/>
  </r>
  <r>
    <n v="1175"/>
    <m/>
    <s v="ü"/>
    <d v="2018-06-29T00:00:00"/>
    <n v="625000"/>
    <x v="56"/>
    <x v="52"/>
    <s v="Calle Güigüe Nro. 88-70"/>
    <s v="Cancelación Vigilancia, mes de Junio/2018"/>
    <s v="Vigilancia"/>
    <m/>
    <s v="01175"/>
    <s v="29 de junio de 2018"/>
    <d v="2018-06-01T00:00:00"/>
    <s v="625.000,00"/>
    <s v="Seiscientos Veinticinco Mil Bolívares con 00/100"/>
  </r>
  <r>
    <n v="1176"/>
    <m/>
    <s v="ü"/>
    <d v="2018-06-30T00:00:00"/>
    <n v="1075000"/>
    <x v="89"/>
    <x v="81"/>
    <s v="Calle Guacara Nro. 88-75"/>
    <s v="Cancelación Vigilancia, ajuste mes de Junio y cancelación mes de Julio/2018"/>
    <s v="Vigilancia"/>
    <m/>
    <s v="01176"/>
    <s v="30 de junio de 2018"/>
    <d v="2018-06-01T00:00:00"/>
    <s v="1.075.000,00"/>
    <s v="Un Millón Setenta y Cinco Mil Bolívares con 00/100"/>
  </r>
  <r>
    <n v="1177"/>
    <m/>
    <s v="ü"/>
    <d v="2018-06-30T00:00:00"/>
    <n v="225000"/>
    <x v="27"/>
    <x v="25"/>
    <s v="Calle Güigüe Nro. 89-106"/>
    <s v="Cancelación Vigilancia, ajuste mes de Junio/2018"/>
    <s v="Vigilancia"/>
    <m/>
    <s v="01177"/>
    <s v="30 de junio de 2018"/>
    <d v="2018-06-01T00:00:00"/>
    <s v="225.000,00"/>
    <s v="Doscientos Veinticinco Mil Bolívares con 00/100"/>
  </r>
  <r>
    <n v="1178"/>
    <m/>
    <s v="ü"/>
    <d v="2018-06-30T00:00:00"/>
    <n v="1075000"/>
    <x v="38"/>
    <x v="35"/>
    <s v="Calle Guacara Nro. 89-78"/>
    <s v="Cancelación Vigilancia, ajuste mes de Junio y cancelación mes de Julio/2018"/>
    <s v="Vigilancia"/>
    <m/>
    <s v="01178"/>
    <s v="30 de junio de 2018"/>
    <d v="2018-06-01T00:00:00"/>
    <s v="1.075.000,00"/>
    <s v="Un Millón Setenta y Cinco Mil Bolívares con 00/100"/>
  </r>
  <r>
    <n v="1179"/>
    <m/>
    <s v="ü"/>
    <d v="2018-06-30T00:00:00"/>
    <n v="450000"/>
    <x v="60"/>
    <x v="54"/>
    <s v="Calle Guacara Nro. 88-51"/>
    <s v="Cancelación Vigilancia, saldo mes de Julio/2018"/>
    <s v="Vigilancia"/>
    <m/>
    <s v="01179"/>
    <s v="30 de junio de 2018"/>
    <d v="2018-06-01T00:00:00"/>
    <s v="450.000,00"/>
    <s v="Cuatrocientos Cincuenta Mil Bolívares con 00/100"/>
  </r>
  <r>
    <n v="1180"/>
    <m/>
    <s v="ü"/>
    <d v="2018-06-30T00:00:00"/>
    <n v="1075000"/>
    <x v="1"/>
    <x v="1"/>
    <s v="Calle Güigüe Nro. 88-44"/>
    <s v="Cancelación Vigilancia, ajuste mes de Junio y cancelación mes de Julio/2018"/>
    <s v="Vigilancia"/>
    <m/>
    <s v="01180"/>
    <s v="30 de junio de 2018"/>
    <d v="2018-06-01T00:00:00"/>
    <s v="1.075.000,00"/>
    <s v="Un Millón Setenta y Cinco Mil Bolívares con 00/100"/>
  </r>
  <r>
    <n v="1181"/>
    <m/>
    <s v="ü"/>
    <d v="2018-06-30T00:00:00"/>
    <n v="1025000"/>
    <x v="87"/>
    <x v="75"/>
    <s v="Calle Güigüe Nro. 88-06"/>
    <s v="Cancelación Vigilancia, ajuste mes de Junio, saldo mes de Julio/2018"/>
    <s v="Vigilancia"/>
    <m/>
    <s v="01181"/>
    <s v="30 de junio de 2018"/>
    <d v="2018-06-01T00:00:00"/>
    <s v="1.025.000,00"/>
    <s v="Un Millón Veinticinco Mil Bolívares con 00/100"/>
  </r>
  <r>
    <n v="1182"/>
    <m/>
    <s v="ü"/>
    <d v="2018-06-30T00:00:00"/>
    <n v="1075000"/>
    <x v="16"/>
    <x v="15"/>
    <s v="Calle Guacara Nro. 90-81"/>
    <s v="Cancelación Vigilancia, ajuste mes de Junio, saldo mes de Julio y anticipo mes de Agosto/2018"/>
    <s v="Vigilancia"/>
    <m/>
    <s v="01182"/>
    <s v="30 de junio de 2018"/>
    <d v="2018-06-01T00:00:00"/>
    <s v="1.075.000,00"/>
    <s v="Un Millón Setenta y Cinco Mil Bolívares con 00/100"/>
  </r>
  <r>
    <n v="1183"/>
    <m/>
    <s v="ü"/>
    <d v="2018-07-01T00:00:00"/>
    <n v="1075000"/>
    <x v="65"/>
    <x v="58"/>
    <s v="Calle Güigüe Nro. 88-10"/>
    <s v="Cancelación Vigilancia, ajuste mes de Junio y cancelación mes de Julio/2018"/>
    <s v="Vigilancia"/>
    <m/>
    <s v="01183"/>
    <s v="01 de julio de 2018"/>
    <d v="2018-07-01T00:00:00"/>
    <s v="1.075.000,00"/>
    <s v="Un Millón Setenta y Cinco Mil Bolívares con 00/100"/>
  </r>
  <r>
    <n v="1184"/>
    <m/>
    <s v="ü"/>
    <d v="2018-07-01T00:00:00"/>
    <n v="1075000"/>
    <x v="14"/>
    <x v="13"/>
    <s v="Calle Güigüe Nro. 89-83"/>
    <s v="Cancelación Vigilancia, ajuste mes de Junio y cancelación mes de Julio/2018"/>
    <s v="Vigilancia"/>
    <m/>
    <s v="01184"/>
    <s v="01 de julio de 2018"/>
    <d v="2018-07-01T00:00:00"/>
    <s v="1.075.000,00"/>
    <s v="Un Millón Setenta y Cinco Mil Bolívares con 00/100"/>
  </r>
  <r>
    <n v="1185"/>
    <m/>
    <s v="ü"/>
    <d v="2018-07-01T00:00:00"/>
    <n v="400000"/>
    <x v="71"/>
    <x v="62"/>
    <s v="Calle Güigüe Nro. 89-71"/>
    <s v="Colaboración Vigilancia, mes de Junio/2017"/>
    <s v="Vigilancia"/>
    <m/>
    <s v="01185"/>
    <s v="01 de julio de 2018"/>
    <d v="2018-07-01T00:00:00"/>
    <s v="400.000,00"/>
    <s v="Cuatrocientos Mil Bolívares con 00/100"/>
  </r>
  <r>
    <n v="1186"/>
    <m/>
    <s v="ü"/>
    <d v="2018-07-01T00:00:00"/>
    <n v="250000"/>
    <x v="24"/>
    <x v="22"/>
    <s v="Calle Güigüe Nro. 88-54"/>
    <s v="Cancelación Vigilancia, ajuste mes de Junio/2018, más adicional de Bs. 25.000"/>
    <s v="Vigilancia"/>
    <m/>
    <s v="01186"/>
    <s v="01 de julio de 2018"/>
    <d v="2018-07-01T00:00:00"/>
    <s v="250.000,00"/>
    <s v="Doscientos Cincuenta Mil Bolívares con 00/100"/>
  </r>
  <r>
    <n v="1187"/>
    <m/>
    <s v="ü"/>
    <d v="2018-07-01T00:00:00"/>
    <n v="225000"/>
    <x v="15"/>
    <x v="14"/>
    <s v="Calle Guacara Nro. 89-94"/>
    <s v="Cancelación Vigilancia, ajuste mes de Junio/2018"/>
    <s v="Vigilancia"/>
    <m/>
    <s v="01187"/>
    <s v="01 de julio de 2018"/>
    <d v="2018-07-01T00:00:00"/>
    <s v="225.000,00"/>
    <s v="Doscientos Veinticinco Mil Bolívares con 00/100"/>
  </r>
  <r>
    <n v="1188"/>
    <m/>
    <s v="ü"/>
    <d v="2018-07-01T00:00:00"/>
    <n v="1075000"/>
    <x v="45"/>
    <x v="42"/>
    <s v="Calle Güigüe Nro. 87-A-11"/>
    <s v="Cancelación Vigilancia, ajuste mes de Junio y cancelación mes de Julio/2018"/>
    <s v="Vigilancia"/>
    <m/>
    <s v="01188"/>
    <s v="01 de julio de 2018"/>
    <d v="2018-07-01T00:00:00"/>
    <s v="1.075.000,00"/>
    <s v="Un Millón Setenta y Cinco Mil Bolívares con 00/100"/>
  </r>
  <r>
    <n v="1189"/>
    <m/>
    <s v="ü"/>
    <d v="2018-07-02T00:00:00"/>
    <n v="225000"/>
    <x v="35"/>
    <x v="32"/>
    <s v="Calle Güigüe Nro. 89-80"/>
    <s v="Cancelación Vigilancia, ajuste mes de Junio/2018"/>
    <s v="Vigilancia"/>
    <m/>
    <s v="01189"/>
    <s v="02 de julio de 2018"/>
    <d v="2018-07-01T00:00:00"/>
    <s v="225.000,00"/>
    <s v="Doscientos Veinticinco Mil Bolívares con 00/100"/>
  </r>
  <r>
    <n v="1190"/>
    <m/>
    <s v="ü"/>
    <d v="2018-07-02T00:00:00"/>
    <n v="850000"/>
    <x v="90"/>
    <x v="82"/>
    <s v="Calle Güigüe Nro. 89-04"/>
    <s v="Cancelación Vigilancia, mes de Julio/2018"/>
    <s v="Vigilancia"/>
    <m/>
    <s v="01190"/>
    <s v="02 de julio de 2018"/>
    <d v="2018-07-01T00:00:00"/>
    <s v="850.000,00"/>
    <s v="Ochocientos Cincuenta Mil Bolívares con 00/100"/>
  </r>
  <r>
    <n v="1191"/>
    <m/>
    <s v="ü"/>
    <d v="2018-07-02T00:00:00"/>
    <n v="2325000"/>
    <x v="64"/>
    <x v="57"/>
    <s v="Calle Guacara Nro. 88-35"/>
    <s v="Cancelación Vigilancia, meses de Junio, Julio y Agosto/2018"/>
    <s v="Vigilancia"/>
    <m/>
    <s v="01191"/>
    <s v="02 de julio de 2018"/>
    <d v="2018-07-01T00:00:00"/>
    <s v="2.325.000,00"/>
    <s v="Dos Millones Trescientos Veinticinco Mil Bolívares con 00/100"/>
  </r>
  <r>
    <n v="1192"/>
    <m/>
    <m/>
    <d v="2018-07-02T00:00:00"/>
    <n v="625000"/>
    <x v="59"/>
    <x v="9"/>
    <s v="Calle Guacara Nro. 90-35"/>
    <s v="Cancelación Vigilancia, mes de Junio/2018"/>
    <s v="Vigilancia"/>
    <m/>
    <s v="01192"/>
    <s v="02 de julio de 2018"/>
    <d v="2018-07-01T00:00:00"/>
    <s v="625.000,00"/>
    <s v="Seiscientos Veinticinco Mil Bolívares con 00/100"/>
  </r>
  <r>
    <n v="1193"/>
    <m/>
    <s v="ü"/>
    <d v="2018-07-02T00:00:00"/>
    <n v="1000000"/>
    <x v="20"/>
    <x v="18"/>
    <s v="Calle Guacara Nro. 89-30"/>
    <s v="Cancelación Vigilancia, mes de Julio/2018"/>
    <s v="Vigilancia"/>
    <m/>
    <s v="01193"/>
    <s v="02 de julio de 2018"/>
    <d v="2018-07-01T00:00:00"/>
    <s v="1.000.000,00"/>
    <s v="Un Millón Bolívares con 00/100"/>
  </r>
  <r>
    <n v="1194"/>
    <m/>
    <s v="ü"/>
    <d v="2018-07-02T00:00:00"/>
    <n v="850000"/>
    <x v="86"/>
    <x v="73"/>
    <s v="Calle Guacara Nro. 89-50"/>
    <s v="Cancelación Vigilancia, anticipo mes de Julio/2018"/>
    <s v="Vigilancia"/>
    <m/>
    <s v="01194"/>
    <s v="02 de julio de 2018"/>
    <d v="2018-07-01T00:00:00"/>
    <s v="850.000,00"/>
    <s v="Ochocientos Cincuenta Mil Bolívares con 00/100"/>
  </r>
  <r>
    <n v="1195"/>
    <m/>
    <s v="ü"/>
    <d v="2018-07-03T00:00:00"/>
    <n v="1625000"/>
    <x v="42"/>
    <x v="39"/>
    <s v="Calle Güigüe Nro. 89-79"/>
    <s v="Cancelación Vigilancia, meses de Junio y Julio/2018 (saldo a favor: Bs. 3.535.000)"/>
    <s v="Vigilancia"/>
    <m/>
    <s v="01195"/>
    <s v="03 de julio de 2018"/>
    <d v="2018-07-01T00:00:00"/>
    <s v="1.625.000,00"/>
    <s v="Un Millón Seiscientos Veinticinco Mil Bolívares con 00/100"/>
  </r>
  <r>
    <n v="1196"/>
    <m/>
    <s v="ü"/>
    <d v="2018-07-03T00:00:00"/>
    <n v="650000"/>
    <x v="20"/>
    <x v="18"/>
    <s v="Calle Guacara Nro. 89-30"/>
    <s v="Cancelación Vigilancia, mes de Junio/2018"/>
    <s v="Vigilancia"/>
    <m/>
    <s v="01196"/>
    <s v="03 de julio de 2018"/>
    <d v="2018-07-01T00:00:00"/>
    <s v="650.000,00"/>
    <s v="Seiscientos Cincuenta Mil Bolívares con 00/100"/>
  </r>
  <r>
    <n v="1197"/>
    <m/>
    <s v="ü"/>
    <d v="2018-07-03T00:00:00"/>
    <n v="1225000"/>
    <x v="46"/>
    <x v="43"/>
    <s v="Av. &quot;I&quot; Nro. 146-20"/>
    <s v="Cancelación Vigilancia, ajuste mes de Junio y cancelación mes de Julio/2018"/>
    <s v="Vigilancia"/>
    <m/>
    <s v="01197"/>
    <s v="03 de julio de 2018"/>
    <d v="2018-07-01T00:00:00"/>
    <s v="1.225.000,00"/>
    <s v="Un Millón Doscientos Veinticinco Mil Bolívares con 00/100"/>
  </r>
  <r>
    <n v="1198"/>
    <m/>
    <s v="ü"/>
    <d v="2018-07-03T00:00:00"/>
    <n v="1225000"/>
    <x v="8"/>
    <x v="78"/>
    <s v="Calle Guacara Nro. 90-51"/>
    <s v="Cancelación Vigilancia, ajuste mes de Junio y cancelación mes de Julio/2018"/>
    <s v="Vigilancia"/>
    <m/>
    <s v="01198"/>
    <s v="03 de julio de 2018"/>
    <d v="2018-07-01T00:00:00"/>
    <s v="1.225.000,00"/>
    <s v="Un Millón Doscientos Veinticinco Mil Bolívares con 00/100"/>
  </r>
  <r>
    <n v="1199"/>
    <m/>
    <s v="ü"/>
    <d v="2018-07-03T00:00:00"/>
    <n v="50000"/>
    <x v="8"/>
    <x v="78"/>
    <s v="Calle Guacara Nro. 90-51"/>
    <s v="Colaboración para comida de vigilantes"/>
    <s v="Comida Vigilantes"/>
    <m/>
    <s v="01199"/>
    <s v="03 de julio de 2018"/>
    <d v="2018-07-01T00:00:00"/>
    <s v="50.000,00"/>
    <s v="Cincuenta Mil Bolívares con 00/100"/>
  </r>
  <r>
    <n v="1200"/>
    <m/>
    <s v="ü"/>
    <d v="2018-07-03T00:00:00"/>
    <n v="400000"/>
    <x v="86"/>
    <x v="73"/>
    <s v="Calle Guacara Nro. 89-50"/>
    <s v="Cancelación Vigilancia, anticipo mes de Junio/2018"/>
    <s v="Vigilancia"/>
    <m/>
    <s v="01200"/>
    <s v="03 de julio de 2018"/>
    <d v="2018-07-01T00:00:00"/>
    <s v="400.000,00"/>
    <s v="Cuatrocientos Mil Bolívares con 00/100"/>
  </r>
  <r>
    <n v="1201"/>
    <m/>
    <s v="ü"/>
    <d v="2018-07-03T00:00:00"/>
    <n v="350000"/>
    <x v="86"/>
    <x v="73"/>
    <s v="Calle Guacara Nro. 89-50"/>
    <s v="Colaboración mantenimiento Caseta de Vigilancia"/>
    <s v="Caseta Vigilancia"/>
    <m/>
    <s v="01201"/>
    <s v="03 de julio de 2018"/>
    <d v="2018-07-01T00:00:00"/>
    <s v="350.000,00"/>
    <s v="Trescientos Cincuenta Mil Bolívares con 00/100"/>
  </r>
  <r>
    <n v="1202"/>
    <m/>
    <s v="ü"/>
    <d v="2018-07-03T00:00:00"/>
    <n v="1475000"/>
    <x v="53"/>
    <x v="80"/>
    <s v="Calle Guacara Nro. 88-91"/>
    <s v="Cancelación Vigilancia, mes de Junio y anticipo Julio/2018"/>
    <s v="Vigilancia"/>
    <m/>
    <s v="01202"/>
    <s v="03 de julio de 2018"/>
    <d v="2018-07-01T00:00:00"/>
    <s v="1.475.000,00"/>
    <s v="Un Millón Cuatrocientos Setenta y Cinco Mil Bolívares con 00/100"/>
  </r>
  <r>
    <n v="1203"/>
    <m/>
    <s v="ü"/>
    <d v="2018-07-03T00:00:00"/>
    <n v="150000"/>
    <x v="1"/>
    <x v="1"/>
    <s v="Calle Güigüe Nro. 88-44"/>
    <s v="Cancelación Vigilancia, ajuste mes de Julio/2018"/>
    <s v="Vigilancia"/>
    <m/>
    <s v="01203"/>
    <s v="03 de julio de 2018"/>
    <d v="2018-07-01T00:00:00"/>
    <s v="150.000,00"/>
    <s v="Ciento Cincuenta Mil Bolívares con 00/100"/>
  </r>
  <r>
    <n v="1204"/>
    <m/>
    <s v="ü"/>
    <d v="2018-07-03T00:00:00"/>
    <n v="2355000"/>
    <x v="73"/>
    <x v="9"/>
    <s v="Calle Güigüe Nros. 88-71 y 88-81"/>
    <s v="Cancelación Vigilancia, meses de Junio y Julio/2018"/>
    <s v="Vigilancia"/>
    <m/>
    <s v="01204"/>
    <s v="03 de julio de 2018"/>
    <d v="2018-07-01T00:00:00"/>
    <s v="2.355.000,00"/>
    <s v="Dos Millones Trescientos Cincuenta y Cinco Mil Bolívares con 00/100"/>
  </r>
  <r>
    <n v="1205"/>
    <m/>
    <s v="ü"/>
    <d v="2018-07-03T00:00:00"/>
    <n v="150000"/>
    <x v="84"/>
    <x v="71"/>
    <s v="Calle Güigüe Nro. 89-54"/>
    <s v="Cancelación Vigilancia, ajuste mes de Julio/2018"/>
    <s v="Vigilancia"/>
    <m/>
    <s v="01205"/>
    <s v="03 de julio de 2018"/>
    <d v="2018-07-01T00:00:00"/>
    <s v="150.000,00"/>
    <s v="Ciento Cincuenta Mil Bolívares con 00/100"/>
  </r>
  <r>
    <n v="1206"/>
    <m/>
    <s v="ü"/>
    <d v="2018-07-03T00:00:00"/>
    <n v="150000"/>
    <x v="45"/>
    <x v="42"/>
    <s v="Calle Güigüe Nro. 87-A-11"/>
    <s v="Cancelación Vigilancia, ajuste mes de Julio/2018"/>
    <s v="Vigilancia"/>
    <m/>
    <s v="01206"/>
    <s v="03 de julio de 2018"/>
    <d v="2018-07-01T00:00:00"/>
    <s v="150.000,00"/>
    <s v="Ciento Cincuenta Mil Bolívares con 00/100"/>
  </r>
  <r>
    <n v="1207"/>
    <m/>
    <s v="ü"/>
    <d v="2018-07-04T00:00:00"/>
    <n v="825000"/>
    <x v="5"/>
    <x v="9"/>
    <s v="Calle Güigüe Nro. 88-120"/>
    <s v="Cancelación Vigilancia, ajuste meses de Junio y Julio/2018"/>
    <s v="Vigilancia"/>
    <m/>
    <s v="01207"/>
    <s v="04 de julio de 2018"/>
    <d v="2018-07-01T00:00:00"/>
    <s v="825.000,00"/>
    <s v="Ochocientos Veinticinco Mil Bolívares con 00/100"/>
  </r>
  <r>
    <n v="1208"/>
    <m/>
    <s v="ü"/>
    <d v="2018-07-04T00:00:00"/>
    <n v="1000000"/>
    <x v="75"/>
    <x v="65"/>
    <s v="Av. &quot;Ñ&quot; Nro. 145-25"/>
    <s v="Cancelación Vigilancia, mes de Julio/2018 (saldo a favor: Bs. 2.210.000)"/>
    <s v="Vigilancia"/>
    <m/>
    <s v="01208"/>
    <s v="04 de julio de 2018"/>
    <d v="2018-07-01T00:00:00"/>
    <s v="1.000.000,00"/>
    <s v="Un Millón Bolívares con 00/100"/>
  </r>
  <r>
    <n v="1209"/>
    <m/>
    <m/>
    <d v="2018-07-04T00:00:00"/>
    <n v="1000000"/>
    <x v="52"/>
    <x v="9"/>
    <s v="Calle Güigüe Nro. 89-45"/>
    <s v="Cancelación Vigilancia, mes de Julio/2018 (saldo a favor: Bs. 1.518.000)"/>
    <s v="Vigilancia"/>
    <m/>
    <s v="01209"/>
    <s v="04 de julio de 2018"/>
    <d v="2018-07-01T00:00:00"/>
    <s v="1.000.000,00"/>
    <s v="Un Millón Bolívares con 00/100"/>
  </r>
  <r>
    <n v="1210"/>
    <m/>
    <s v="ü"/>
    <d v="2018-07-04T00:00:00"/>
    <n v="1000000"/>
    <x v="0"/>
    <x v="0"/>
    <s v="Calle Guacara Nro. 88-45"/>
    <s v="Cancelación Vigilancia, mes de Julio/2018 (saldo a favor: Bs. 3.495.000)"/>
    <s v="Vigilancia"/>
    <m/>
    <s v="01210"/>
    <s v="04 de julio de 2018"/>
    <d v="2018-07-01T00:00:00"/>
    <s v="1.000.000,00"/>
    <s v="Un Millón Bolívares con 00/100"/>
  </r>
  <r>
    <n v="1211"/>
    <m/>
    <s v="ü"/>
    <d v="2018-05-08T00:00:00"/>
    <n v="1475000"/>
    <x v="48"/>
    <x v="9"/>
    <s v="Calle Güigüe Nro. 88-90"/>
    <s v="Cancelación Vigilancia, mes de Junio y anticipo mes de Julio/2018"/>
    <s v="Vigilancia"/>
    <m/>
    <s v="01211"/>
    <s v="08 de mayo de 2018"/>
    <d v="2018-05-01T00:00:00"/>
    <s v="1.475.000,00"/>
    <s v="Un Millón Cuatrocientos Setenta y Cinco Mil Bolívares con 00/100"/>
  </r>
  <r>
    <n v="1212"/>
    <m/>
    <s v="ü"/>
    <d v="2018-07-04T00:00:00"/>
    <n v="500000"/>
    <x v="72"/>
    <x v="63"/>
    <s v="Calle Güigüe Nro. 89-35"/>
    <s v="Colaboración Vigilancia, mes de Julio/2018"/>
    <s v="Vigilancia"/>
    <m/>
    <s v="01212"/>
    <s v="04 de julio de 2018"/>
    <d v="2018-07-01T00:00:00"/>
    <s v="500.000,00"/>
    <s v="Quinientos Mil Bolívares con 00/100"/>
  </r>
  <r>
    <n v="1213"/>
    <m/>
    <m/>
    <d v="2018-07-04T00:00:00"/>
    <n v="1000000"/>
    <x v="59"/>
    <x v="9"/>
    <s v="Calle Guacara Nro. 90-35"/>
    <s v="Cancelación Vigilancia, mes de Julio/2018"/>
    <s v="Vigilancia"/>
    <m/>
    <s v="01213"/>
    <s v="04 de julio de 2018"/>
    <d v="2018-07-01T00:00:00"/>
    <s v="1.000.000,00"/>
    <s v="Un Millón Bolívares con 00/100"/>
  </r>
  <r>
    <n v="1214"/>
    <m/>
    <s v="ü"/>
    <d v="2018-07-04T00:00:00"/>
    <n v="1000000"/>
    <x v="17"/>
    <x v="74"/>
    <s v="Av. &quot;M&quot; Nro. 146-20"/>
    <s v="Cancelación Vigilancia, mes de Julio/2018"/>
    <s v="Vigilancia"/>
    <m/>
    <s v="01214"/>
    <s v="04 de julio de 2018"/>
    <d v="2018-07-01T00:00:00"/>
    <s v="1.000.000,00"/>
    <s v="Un Millón Bolívares con 00/100"/>
  </r>
  <r>
    <n v="1215"/>
    <m/>
    <s v="ü"/>
    <d v="2018-07-05T00:00:00"/>
    <n v="1225000"/>
    <x v="10"/>
    <x v="10"/>
    <s v="Av. &quot;M&quot; Nro. 146-15"/>
    <s v="Cancelación Vigilancia, ajuste mes de Junio y cancelación mes de Julio/2018"/>
    <s v="Vigilancia"/>
    <m/>
    <s v="01215"/>
    <s v="05 de julio de 2018"/>
    <d v="2018-07-01T00:00:00"/>
    <s v="1.225.000,00"/>
    <s v="Un Millón Doscientos Veinticinco Mil Bolívares con 00/100"/>
  </r>
  <r>
    <n v="1216"/>
    <m/>
    <s v="ü"/>
    <d v="2018-07-05T00:00:00"/>
    <n v="600000"/>
    <x v="2"/>
    <x v="83"/>
    <s v="Calle Guacara Nro. 88-19"/>
    <s v="Colaboración Vigilancia, mes de Junio/2018"/>
    <s v="Vigilancia"/>
    <m/>
    <s v="01216"/>
    <s v="05 de julio de 2018"/>
    <d v="2018-07-01T00:00:00"/>
    <s v="600.000,00"/>
    <s v="Seiscientos Mil Bolívares con 00/100"/>
  </r>
  <r>
    <n v="1217"/>
    <m/>
    <s v="ü"/>
    <d v="2018-07-05T00:00:00"/>
    <n v="100000"/>
    <x v="32"/>
    <x v="30"/>
    <s v="Calle Güigüe Nro. 89-120"/>
    <s v="Colaboración Vigilancia, mes de Junio/2018"/>
    <s v="Vigilancia"/>
    <m/>
    <s v="01217"/>
    <s v="05 de julio de 2018"/>
    <d v="2018-07-01T00:00:00"/>
    <s v="100.000,00"/>
    <s v="Cien Mil Bolívares con 00/100"/>
  </r>
  <r>
    <n v="1218"/>
    <m/>
    <s v="ü"/>
    <d v="2018-07-05T00:00:00"/>
    <n v="150000"/>
    <x v="14"/>
    <x v="13"/>
    <s v="Calle Güigüe Nro. 89-83"/>
    <s v="Cancelación Vigilancia, ajuste mes de Julio/2018"/>
    <s v="Vigilancia"/>
    <m/>
    <s v="01218"/>
    <s v="05 de julio de 2018"/>
    <d v="2018-07-01T00:00:00"/>
    <s v="150.000,00"/>
    <s v="Ciento Cincuenta Mil Bolívares con 00/100"/>
  </r>
  <r>
    <n v="1219"/>
    <m/>
    <s v="ü"/>
    <d v="2018-07-06T00:00:00"/>
    <n v="225000"/>
    <x v="26"/>
    <x v="24"/>
    <s v="Calle Güigüe Nro. 89-96"/>
    <s v="Cancelación Vigilancia, ajuste mes de Junio/2018"/>
    <s v="Vigilancia"/>
    <m/>
    <s v="01219"/>
    <s v="06 de julio de 2018"/>
    <d v="2018-07-01T00:00:00"/>
    <s v="225.000,00"/>
    <s v="Doscientos Veinticinco Mil Bolívares con 00/100"/>
  </r>
  <r>
    <n v="1220"/>
    <m/>
    <s v="ü"/>
    <d v="2018-07-07T00:00:00"/>
    <n v="1000000"/>
    <x v="77"/>
    <x v="85"/>
    <s v="Calle Guacara Nro. 88-65"/>
    <s v="Cancelación Vigilancia, mes de Julio/2018"/>
    <s v="Vigilancia"/>
    <m/>
    <s v="01220"/>
    <s v="07 de julio de 2018"/>
    <d v="2018-07-01T00:00:00"/>
    <s v="1.000.000,00"/>
    <s v="Un Millón Bolívares con 00/100"/>
  </r>
  <r>
    <n v="1221"/>
    <m/>
    <s v="ü"/>
    <d v="2018-07-07T00:00:00"/>
    <n v="400000"/>
    <x v="45"/>
    <x v="42"/>
    <s v="Calle Güigüe Nro. 87-A-11"/>
    <s v="Cancelación Vigilancia, saldo mes de Junio/2018"/>
    <s v="Vigilancia"/>
    <m/>
    <s v="01221"/>
    <s v="07 de julio de 2018"/>
    <d v="2018-07-01T00:00:00"/>
    <s v="400.000,00"/>
    <s v="Cuatrocientos Mil Bolívares con 00/100"/>
  </r>
  <r>
    <n v="1222"/>
    <m/>
    <s v="ü"/>
    <d v="2018-07-07T00:00:00"/>
    <n v="1240000"/>
    <x v="6"/>
    <x v="6"/>
    <s v="Calle Guacara Nro. 89-60"/>
    <s v="Cancelación Vigilancia, ajuste mes de Junio, cancelación mes de Julio y anticipo mes de Agosto/2018"/>
    <s v="Vigilancia"/>
    <m/>
    <s v="01222"/>
    <s v="07 de julio de 2018"/>
    <d v="2018-07-01T00:00:00"/>
    <s v="1.240.000,00"/>
    <s v="Un Millón Doscientos Cuarenta Mil Bolívares con 00/100"/>
  </r>
  <r>
    <n v="1223"/>
    <m/>
    <s v="ü"/>
    <d v="2018-07-01T00:00:00"/>
    <n v="625000"/>
    <x v="61"/>
    <x v="14"/>
    <s v="Calle Guacara Nro. 87-07"/>
    <s v="Cancelación Vigilancia, mes de Junio/2018"/>
    <s v="Vigilancia"/>
    <m/>
    <s v="01223"/>
    <s v="01 de julio de 2018"/>
    <d v="2018-07-01T00:00:00"/>
    <s v="625.000,00"/>
    <s v="Seiscientos Veinticinco Mil Bolívares con 00/100"/>
  </r>
  <r>
    <n v="1224"/>
    <m/>
    <s v="ü"/>
    <d v="2018-07-08T00:00:00"/>
    <n v="650000"/>
    <x v="44"/>
    <x v="41"/>
    <s v="Calle Guacara Nro. 89-40"/>
    <s v="Cancelación Vigilancia, mes de Junio/2018"/>
    <s v="Vigilancia"/>
    <m/>
    <s v="01224"/>
    <s v="08 de julio de 2018"/>
    <d v="2018-07-01T00:00:00"/>
    <s v="650.000,00"/>
    <s v="Seiscientos Cincuenta Mil Bolívares con 00/100"/>
  </r>
  <r>
    <n v="1225"/>
    <m/>
    <s v="ü"/>
    <d v="2018-07-08T00:00:00"/>
    <n v="1000000"/>
    <x v="22"/>
    <x v="20"/>
    <s v="Calle Guacara Nro. 88-25"/>
    <s v="Cancelación Vigilancia, mes de Julio/2018"/>
    <s v="Vigilancia"/>
    <m/>
    <s v="01225"/>
    <s v="08 de julio de 2018"/>
    <d v="2018-07-01T00:00:00"/>
    <s v="1.000.000,00"/>
    <s v="Un Millón Bolívares con 00/100"/>
  </r>
  <r>
    <n v="1226"/>
    <m/>
    <s v="ü"/>
    <d v="2018-07-08T00:00:00"/>
    <n v="150000"/>
    <x v="81"/>
    <x v="69"/>
    <s v="Calle Güigüe Nro. 89-65"/>
    <s v="Cancelación Vigilancia, ajuste mes de Julio/2018"/>
    <s v="Vigilancia"/>
    <m/>
    <s v="01226"/>
    <s v="08 de julio de 2018"/>
    <d v="2018-07-01T00:00:00"/>
    <s v="150.000,00"/>
    <s v="Ciento Cincuenta Mil Bolívares con 00/100"/>
  </r>
  <r>
    <n v="1227"/>
    <m/>
    <s v="ü"/>
    <d v="2018-07-09T00:00:00"/>
    <n v="1225000"/>
    <x v="62"/>
    <x v="55"/>
    <s v="Av. &quot;M&quot; Nro. 145-10"/>
    <s v="Cancelación Vigilancia, ajuste mes de Junio y mes de Julio/2018"/>
    <s v="Vigilancia"/>
    <m/>
    <s v="01227"/>
    <s v="09 de julio de 2018"/>
    <d v="2018-07-01T00:00:00"/>
    <s v="1.225.000,00"/>
    <s v="Un Millón Doscientos Veinticinco Mil Bolívares con 00/100"/>
  </r>
  <r>
    <n v="1228"/>
    <m/>
    <s v="ü"/>
    <d v="2018-07-09T00:00:00"/>
    <n v="350000"/>
    <x v="62"/>
    <x v="55"/>
    <s v="Av. &quot;M&quot; Nro. 145-10"/>
    <s v="Colaboración mantenimiento Caseta de Vigilancia"/>
    <s v="Caseta Vigilancia"/>
    <m/>
    <s v="01228"/>
    <s v="09 de julio de 2018"/>
    <d v="2018-07-01T00:00:00"/>
    <s v="350.000,00"/>
    <s v="Trescientos Cincuenta Mil Bolívares con 00/100"/>
  </r>
  <r>
    <n v="1229"/>
    <m/>
    <s v="ü"/>
    <d v="2018-07-09T00:00:00"/>
    <n v="1000000"/>
    <x v="15"/>
    <x v="14"/>
    <s v="Calle Guacara Nro. 89-94"/>
    <s v="Cancelación Vigilancia, mes de Julio/2018"/>
    <s v="Vigilancia"/>
    <m/>
    <s v="01229"/>
    <s v="09 de julio de 2018"/>
    <d v="2018-07-01T00:00:00"/>
    <s v="1.000.000,00"/>
    <s v="Un Millón Bolívares con 00/100"/>
  </r>
  <r>
    <n v="1230"/>
    <m/>
    <s v="ü"/>
    <d v="2018-07-09T00:00:00"/>
    <n v="1250000"/>
    <x v="88"/>
    <x v="76"/>
    <s v="Calle Güigüe Nro. 88-11"/>
    <s v="Cancelación Vigilancia, ajuste mes de Junio y mes de Julio/2018"/>
    <s v="Vigilancia"/>
    <m/>
    <s v="01230"/>
    <s v="09 de julio de 2018"/>
    <d v="2018-07-01T00:00:00"/>
    <s v="1.250.000,00"/>
    <s v="Un Millón Doscientos Cincuenta Mil Bolívares con 00/100"/>
  </r>
  <r>
    <n v="1231"/>
    <m/>
    <s v="ü"/>
    <d v="2018-07-09T00:00:00"/>
    <n v="250000"/>
    <x v="19"/>
    <x v="17"/>
    <s v="Calle Guacara Nro. 89-130"/>
    <s v="Cancelación Vigilancia, ajuste mes de Junio/2018"/>
    <s v="Vigilancia"/>
    <m/>
    <s v="01231"/>
    <s v="09 de julio de 2018"/>
    <d v="2018-07-01T00:00:00"/>
    <s v="250.000,00"/>
    <s v="Doscientos Cincuenta Mil Bolívares con 00/100"/>
  </r>
  <r>
    <n v="1232"/>
    <m/>
    <s v="ü"/>
    <d v="2018-07-09T00:00:00"/>
    <n v="1220000"/>
    <x v="84"/>
    <x v="71"/>
    <s v="Calle Güigüe Nro. 89-54"/>
    <s v="Colaboración reparación portón principal"/>
    <s v="Reparación Portón"/>
    <m/>
    <s v="01232"/>
    <s v="09 de julio de 2018"/>
    <d v="2018-07-01T00:00:00"/>
    <s v="1.220.000,00"/>
    <s v="Un Millón Doscientos Veinte Mil Bolívares con 00/100"/>
  </r>
  <r>
    <n v="1233"/>
    <m/>
    <s v="ü"/>
    <d v="2018-07-09T00:00:00"/>
    <n v="1790000"/>
    <x v="9"/>
    <x v="9"/>
    <s v="Av. &quot;M&quot; Nro. 146-30"/>
    <s v="Cancelación Vigilancia, meses de Junio y Julio/2018"/>
    <s v="Vigilancia"/>
    <m/>
    <s v="01233"/>
    <s v="09 de julio de 2018"/>
    <d v="2018-07-01T00:00:00"/>
    <s v="1.790.000,00"/>
    <s v="Un Millón Setecientos Noventa Mil Bolívares con 00/100"/>
  </r>
  <r>
    <n v="1234"/>
    <m/>
    <s v="ü"/>
    <d v="2018-07-09T00:00:00"/>
    <n v="1000000"/>
    <x v="12"/>
    <x v="12"/>
    <s v="Calle Guacara Nro. 89-20"/>
    <s v="Cancelación Vigilancia, mes de Julio/2018"/>
    <s v="Vigilancia"/>
    <m/>
    <s v="01234"/>
    <s v="09 de julio de 2018"/>
    <d v="2018-07-01T00:00:00"/>
    <s v="1.000.000,00"/>
    <s v="Un Millón Bolívares con 00/100"/>
  </r>
  <r>
    <n v="1235"/>
    <m/>
    <s v="ü"/>
    <d v="2018-07-09T00:00:00"/>
    <n v="1220000"/>
    <x v="7"/>
    <x v="7"/>
    <s v="Calle Guacara Nro. 87-86"/>
    <s v="Colaboración reparación portón principal"/>
    <s v="Reparación Portón"/>
    <m/>
    <s v="01235"/>
    <s v="09 de julio de 2018"/>
    <d v="2018-07-01T00:00:00"/>
    <s v="1.220.000,00"/>
    <s v="Un Millón Doscientos Veinte Mil Bolívares con 00/100"/>
  </r>
  <r>
    <n v="1236"/>
    <m/>
    <s v="ü"/>
    <d v="2018-07-09T00:00:00"/>
    <n v="150000"/>
    <x v="7"/>
    <x v="7"/>
    <s v="Calle Guacara Nro. 87-86"/>
    <s v="Cancelación Vigilancia, ajuste mes de Julio/2018"/>
    <s v="Vigilancia"/>
    <m/>
    <s v="01236"/>
    <s v="09 de julio de 2018"/>
    <d v="2018-07-01T00:00:00"/>
    <s v="150.000,00"/>
    <s v="Ciento Cincuenta Mil Bolívares con 00/100"/>
  </r>
  <r>
    <n v="1237"/>
    <m/>
    <s v="ü"/>
    <d v="2018-07-09T00:00:00"/>
    <n v="1000000"/>
    <x v="36"/>
    <x v="33"/>
    <s v="Calle Güigüe Nro. 89-10"/>
    <s v="Cancelación Vigilancia, mes de Junio y anticipo mes de Julio/2018"/>
    <s v="Vigilancia"/>
    <m/>
    <s v="01237"/>
    <s v="09 de julio de 2018"/>
    <d v="2018-07-01T00:00:00"/>
    <s v="1.000.000,00"/>
    <s v="Un Millón Bolívares con 00/100"/>
  </r>
  <r>
    <n v="1238"/>
    <m/>
    <s v="ü"/>
    <d v="2018-07-09T00:00:00"/>
    <n v="600000"/>
    <x v="68"/>
    <x v="60"/>
    <s v="Calle Güigüe Nro. 89-29"/>
    <s v="Colaboración Vigilancia, ajuste mes de Junio y mes de Julio/2018"/>
    <s v="Vigilancia"/>
    <m/>
    <s v="01238"/>
    <s v="09 de julio de 2018"/>
    <d v="2018-07-01T00:00:00"/>
    <s v="600.000,00"/>
    <s v="Seiscientos Mil Bolívares con 00/100"/>
  </r>
  <r>
    <n v="1239"/>
    <m/>
    <m/>
    <d v="2018-07-09T00:00:00"/>
    <n v="1220000"/>
    <x v="52"/>
    <x v="9"/>
    <s v="Calle Güigüe Nro. 89-45"/>
    <s v="Colaboración reparación portón principal (saldo a favor Bs. 2.298.000)"/>
    <s v="Reparación Portón"/>
    <m/>
    <s v="01239"/>
    <s v="09 de julio de 2018"/>
    <d v="2018-07-01T00:00:00"/>
    <s v="1.220.000,00"/>
    <s v="Un Millón Doscientos Veinte Mil Bolívares con 00/100"/>
  </r>
  <r>
    <n v="1240"/>
    <m/>
    <s v="ü"/>
    <d v="2018-07-09T00:00:00"/>
    <n v="630000"/>
    <x v="58"/>
    <x v="53"/>
    <s v="Calle Güigüe Nro. 88-51"/>
    <s v="Cancelación Vigilancia, mes de Junio y anticipo mes de Julio/2018"/>
    <s v="Vigilancia"/>
    <m/>
    <s v="01240"/>
    <s v="09 de julio de 2018"/>
    <d v="2018-07-01T00:00:00"/>
    <s v="630.000,00"/>
    <s v="Seiscientos Treinta Mil Bolívares con 00/100"/>
  </r>
  <r>
    <n v="1241"/>
    <m/>
    <s v="ü"/>
    <d v="2018-07-10T00:00:00"/>
    <n v="1220000"/>
    <x v="88"/>
    <x v="76"/>
    <s v="Calle Güigüe Nro. 88-11"/>
    <s v="Colaboración reparación portón principal"/>
    <s v="Reparación Portón"/>
    <m/>
    <s v="01241"/>
    <s v="10 de julio de 2018"/>
    <d v="2018-07-01T00:00:00"/>
    <s v="1.220.000,00"/>
    <s v="Un Millón Doscientos Veinte Mil Bolívares con 00/100"/>
  </r>
  <r>
    <n v="1242"/>
    <m/>
    <s v="ü"/>
    <d v="2018-07-10T00:00:00"/>
    <n v="1220000"/>
    <x v="42"/>
    <x v="39"/>
    <s v="Calle Güigüe Nro. 89-79"/>
    <s v="Colaboración reparación portón principal (saldo a favor Bs. 2.315.000)"/>
    <s v="Reparación Portón"/>
    <m/>
    <s v="01242"/>
    <s v="10 de julio de 2018"/>
    <d v="2018-07-01T00:00:00"/>
    <s v="1.220.000,00"/>
    <s v="Un Millón Doscientos Veinte Mil Bolívares con 00/100"/>
  </r>
  <r>
    <n v="1243"/>
    <m/>
    <s v="ü"/>
    <d v="2018-07-10T00:00:00"/>
    <n v="150000"/>
    <x v="65"/>
    <x v="58"/>
    <s v="Calle Güigüe Nro. 88-10"/>
    <s v="Cancelación Vigilancia, ajuste mes de Julio/2018"/>
    <s v="Vigilancia"/>
    <m/>
    <s v="01243"/>
    <s v="10 de julio de 2018"/>
    <d v="2018-07-01T00:00:00"/>
    <s v="150.000,00"/>
    <s v="Ciento Cincuenta Mil Bolívares con 00/100"/>
  </r>
  <r>
    <n v="1244"/>
    <m/>
    <s v="ü"/>
    <d v="2018-07-10T00:00:00"/>
    <n v="1220000"/>
    <x v="65"/>
    <x v="58"/>
    <s v="Calle Güigüe Nro. 88-10"/>
    <s v="Colaboración reparación portón principal"/>
    <s v="Reparación Portón"/>
    <m/>
    <s v="01244"/>
    <s v="10 de julio de 2018"/>
    <d v="2018-07-01T00:00:00"/>
    <s v="1.220.000,00"/>
    <s v="Un Millón Doscientos Veinte Mil Bolívares con 00/100"/>
  </r>
  <r>
    <n v="1245"/>
    <m/>
    <s v="ü"/>
    <d v="2018-07-10T00:00:00"/>
    <n v="1220000"/>
    <x v="75"/>
    <x v="65"/>
    <s v="Av. &quot;Ñ&quot; Nro. 145-25"/>
    <s v="Colaboración reparación portón principal (saldo a favor Bs.990.000)"/>
    <s v="Reparación Portón"/>
    <m/>
    <s v="01245"/>
    <s v="10 de julio de 2018"/>
    <d v="2018-07-01T00:00:00"/>
    <s v="1.220.000,00"/>
    <s v="Un Millón Doscientos Veinte Mil Bolívares con 00/100"/>
  </r>
  <r>
    <n v="1246"/>
    <m/>
    <s v="ü"/>
    <d v="2018-07-10T00:00:00"/>
    <n v="1220000"/>
    <x v="31"/>
    <x v="29"/>
    <s v="Calle Güigüe Nro. 89-95"/>
    <s v="Colaboración reparación portón principal"/>
    <s v="Reparación Portón"/>
    <m/>
    <s v="01246"/>
    <s v="10 de julio de 2018"/>
    <d v="2018-07-01T00:00:00"/>
    <s v="1.220.000,00"/>
    <s v="Un Millón Doscientos Veinte Mil Bolívares con 00/100"/>
  </r>
  <r>
    <n v="1247"/>
    <m/>
    <s v="ü"/>
    <d v="2018-07-10T00:00:00"/>
    <n v="1625000"/>
    <x v="49"/>
    <x v="46"/>
    <s v="Av. &quot;O&quot; Nro. 146-17"/>
    <s v="Colaboración Vigilancia, meses de Junio y Julio/2018"/>
    <s v="Vigilancia"/>
    <m/>
    <s v="01247"/>
    <s v="10 de julio de 2018"/>
    <d v="2018-07-01T00:00:00"/>
    <s v="1.625.000,00"/>
    <s v="Un Millón Seiscientos Veinticinco Mil Bolívares con 00/100"/>
  </r>
  <r>
    <n v="1248"/>
    <m/>
    <s v="ü"/>
    <d v="2018-07-10T00:00:00"/>
    <n v="1220000"/>
    <x v="20"/>
    <x v="18"/>
    <s v="Calle Guacara Nro. 89-30"/>
    <s v="Colaboración reparación portón principal"/>
    <s v="Reparación Portón"/>
    <m/>
    <s v="01248"/>
    <s v="10 de julio de 2018"/>
    <d v="2018-07-01T00:00:00"/>
    <s v="1.220.000,00"/>
    <s v="Un Millón Doscientos Veinte Mil Bolívares con 00/100"/>
  </r>
  <r>
    <n v="1249"/>
    <m/>
    <s v="ü"/>
    <d v="2018-07-10T00:00:00"/>
    <n v="1000000"/>
    <x v="4"/>
    <x v="4"/>
    <s v="Calle Güigüe Nro. 89-55"/>
    <s v="Cancelación Vigilancia, mes de Julio/2018"/>
    <s v="Vigilancia"/>
    <m/>
    <s v="01249"/>
    <s v="10 de julio de 2018"/>
    <d v="2018-07-01T00:00:00"/>
    <s v="1.000.000,00"/>
    <s v="Un Millón Bolívares con 00/100"/>
  </r>
  <r>
    <n v="1250"/>
    <m/>
    <s v="ü"/>
    <d v="2018-07-10T00:00:00"/>
    <n v="1220000"/>
    <x v="4"/>
    <x v="4"/>
    <s v="Calle Güigüe Nro. 89-55"/>
    <s v="Colaboración reparación portón principal"/>
    <s v="Reparación Portón"/>
    <m/>
    <s v="01250"/>
    <s v="10 de julio de 2018"/>
    <d v="2018-07-01T00:00:00"/>
    <s v="1.220.000,00"/>
    <s v="Un Millón Doscientos Veinte Mil Bolívares con 00/100"/>
  </r>
  <r>
    <n v="1251"/>
    <m/>
    <s v="ü"/>
    <d v="2018-07-10T00:00:00"/>
    <n v="150000"/>
    <x v="38"/>
    <x v="35"/>
    <s v="Calle Guacara Nro. 89-78"/>
    <s v="Cancelación Vigilancia, ajuste mes de Julio/2018"/>
    <s v="Vigilancia"/>
    <m/>
    <s v="01251"/>
    <s v="10 de julio de 2018"/>
    <d v="2018-07-01T00:00:00"/>
    <s v="150.000,00"/>
    <s v="Ciento Cincuenta Mil Bolívares con 00/100"/>
  </r>
  <r>
    <n v="1252"/>
    <m/>
    <s v="ü"/>
    <d v="2018-07-10T00:00:00"/>
    <n v="1150000"/>
    <x v="86"/>
    <x v="73"/>
    <s v="Calle Guacara Nro. 89-50"/>
    <s v="Cancelación Vigilancia, ajuste mes de Julio y Agosto/2018"/>
    <s v="Vigilancia"/>
    <m/>
    <s v="01252"/>
    <s v="10 de julio de 2018"/>
    <d v="2018-07-01T00:00:00"/>
    <s v="1.150.000,00"/>
    <s v="Un Millón Ciento Cincuenta Mil Bolívares con 00/100"/>
  </r>
  <r>
    <n v="1253"/>
    <m/>
    <s v="ü"/>
    <d v="2018-07-10T00:00:00"/>
    <n v="1220000"/>
    <x v="1"/>
    <x v="1"/>
    <s v="Calle Güigüe Nro. 88-44"/>
    <s v="Colaboración reparación portón principal"/>
    <s v="Reparación Portón"/>
    <m/>
    <s v="01253"/>
    <s v="10 de julio de 2018"/>
    <d v="2018-07-01T00:00:00"/>
    <s v="1.220.000,00"/>
    <s v="Un Millón Doscientos Veinte Mil Bolívares con 00/100"/>
  </r>
  <r>
    <n v="1254"/>
    <m/>
    <s v="ü"/>
    <d v="2018-07-10T00:00:00"/>
    <n v="1220000"/>
    <x v="76"/>
    <x v="66"/>
    <s v="Calle Güigüe Nro. 89-90"/>
    <s v="Colaboración reparación portón principal"/>
    <s v="Reparación Portón"/>
    <m/>
    <s v="01254"/>
    <s v="10 de julio de 2018"/>
    <d v="2018-07-01T00:00:00"/>
    <s v="1.220.000,00"/>
    <s v="Un Millón Doscientos Veinte Mil Bolívares con 00/100"/>
  </r>
  <r>
    <n v="1255"/>
    <m/>
    <s v="ü"/>
    <d v="2018-07-10T00:00:00"/>
    <n v="1030000"/>
    <x v="76"/>
    <x v="66"/>
    <s v="Calle Güigüe Nro. 89-90"/>
    <s v="Cancelación Vigilancia, ajuste mes de Junio y anticipo mes de Julio/2018"/>
    <s v="Vigilancia"/>
    <m/>
    <s v="01255"/>
    <s v="10 de julio de 2018"/>
    <d v="2018-07-01T00:00:00"/>
    <s v="1.030.000,00"/>
    <s v="Un Millón Treinta Mil Bolívares con 00/100"/>
  </r>
  <r>
    <n v="1256"/>
    <m/>
    <s v="ü"/>
    <d v="2018-07-11T00:00:00"/>
    <n v="1220000"/>
    <x v="9"/>
    <x v="9"/>
    <s v="Av. &quot;M&quot; Nro. 146-30"/>
    <s v="Colaboración reparación portón principal"/>
    <s v="Reparación Portón"/>
    <m/>
    <s v="01256"/>
    <s v="11 de julio de 2018"/>
    <d v="2018-07-01T00:00:00"/>
    <s v="1.220.000,00"/>
    <s v="Un Millón Doscientos Veinte Mil Bolívares con 00/100"/>
  </r>
  <r>
    <n v="1257"/>
    <m/>
    <s v="ü"/>
    <d v="2018-07-11T00:00:00"/>
    <n v="150000"/>
    <x v="90"/>
    <x v="82"/>
    <s v="Calle Güigüe Nro. 89-04"/>
    <s v="Cancelación Vigilancia, ajuste mes de Julio/2018"/>
    <s v="Vigilancia"/>
    <m/>
    <s v="01257"/>
    <s v="11 de julio de 2018"/>
    <d v="2018-07-01T00:00:00"/>
    <s v="150.000,00"/>
    <s v="Ciento Cincuenta Mil Bolívares con 00/100"/>
  </r>
  <r>
    <n v="1258"/>
    <m/>
    <s v="ü"/>
    <d v="2018-07-11T00:00:00"/>
    <n v="1625000"/>
    <x v="23"/>
    <x v="21"/>
    <s v="Calle Güigüe Nro. 88-116"/>
    <s v="Cancelación Vigilancia, meses de Junio y Julio/2018"/>
    <s v="Vigilancia"/>
    <m/>
    <s v="01258"/>
    <s v="11 de julio de 2018"/>
    <d v="2018-07-01T00:00:00"/>
    <s v="1.625.000,00"/>
    <s v="Un Millón Seiscientos Veinticinco Mil Bolívares con 00/100"/>
  </r>
  <r>
    <n v="1259"/>
    <m/>
    <s v="ü"/>
    <d v="2018-07-11T00:00:00"/>
    <n v="195000"/>
    <x v="76"/>
    <x v="66"/>
    <s v="Calle Güigüe Nro. 89-90"/>
    <s v="Cancelación Vigilancia, ajuste mes de Julio/2018"/>
    <s v="Vigilancia"/>
    <m/>
    <s v="01259"/>
    <s v="11 de julio de 2018"/>
    <d v="2018-07-01T00:00:00"/>
    <s v="195.000,00"/>
    <s v="Ciento Noventa y Cinco Mil Bolívares con 00/100"/>
  </r>
  <r>
    <n v="1260"/>
    <m/>
    <s v="ü"/>
    <d v="2018-07-12T00:00:00"/>
    <n v="1000000"/>
    <x v="92"/>
    <x v="86"/>
    <s v="Calle Guacara Nro. 88-A-10"/>
    <s v="Cancelación Vigilancia, mes de Julio/2018"/>
    <s v="Vigilancia"/>
    <m/>
    <s v="01260"/>
    <s v="12 de julio de 2018"/>
    <d v="2018-07-01T00:00:00"/>
    <s v="1.000.000,00"/>
    <s v="Un Millón Bolívares con 00/100"/>
  </r>
  <r>
    <n v="1261"/>
    <m/>
    <s v="ü"/>
    <d v="2018-07-12T00:00:00"/>
    <n v="1220000"/>
    <x v="92"/>
    <x v="86"/>
    <s v="Calle Guacara Nro. 88-A-10"/>
    <s v="Colaboración reparación portón principal"/>
    <s v="Reparación Portón"/>
    <m/>
    <s v="01261"/>
    <s v="12 de julio de 2018"/>
    <d v="2018-07-01T00:00:00"/>
    <s v="1.220.000,00"/>
    <s v="Un Millón Doscientos Veinte Mil Bolívares con 00/100"/>
  </r>
  <r>
    <n v="1262"/>
    <m/>
    <s v="ü"/>
    <d v="2018-07-12T00:00:00"/>
    <n v="1075000"/>
    <x v="40"/>
    <x v="37"/>
    <s v="Calle Güigüe Nro. 88-101"/>
    <s v="Cancelación Vigilancia, mes de junio y anticipo mes de Julio/2018"/>
    <s v="Vigilancia"/>
    <m/>
    <s v="01262"/>
    <s v="12 de julio de 2018"/>
    <d v="2018-07-01T00:00:00"/>
    <s v="1.075.000,00"/>
    <s v="Un Millón Setenta y Cinco Mil Bolívares con 00/100"/>
  </r>
  <r>
    <n v="1263"/>
    <m/>
    <s v="ü"/>
    <d v="2018-07-12T00:00:00"/>
    <n v="225000"/>
    <x v="69"/>
    <x v="61"/>
    <s v="Calle Güigüe Nro. 89-40"/>
    <s v="Cancelación Vigilancia, saldo mes de Junio/2018"/>
    <s v="Vigilancia"/>
    <m/>
    <s v="01263"/>
    <s v="12 de julio de 2018"/>
    <d v="2018-07-01T00:00:00"/>
    <s v="225.000,00"/>
    <s v="Doscientos Veinticinco Mil Bolívares con 00/100"/>
  </r>
  <r>
    <n v="1264"/>
    <m/>
    <s v="ü"/>
    <d v="2018-07-12T00:00:00"/>
    <n v="625000"/>
    <x v="17"/>
    <x v="74"/>
    <s v="Av. &quot;M&quot; Nro. 146-20"/>
    <s v="Cancelación Vigilancia, mes de Junio/2018"/>
    <s v="Vigilancia"/>
    <m/>
    <s v="01264"/>
    <s v="12 de julio de 2018"/>
    <d v="2018-07-01T00:00:00"/>
    <s v="625.000,00"/>
    <s v="Seiscientos Veinticinco Mil Bolívares con 00/100"/>
  </r>
  <r>
    <n v="1265"/>
    <m/>
    <s v="ü"/>
    <d v="2018-07-12T00:00:00"/>
    <n v="1625000"/>
    <x v="54"/>
    <x v="50"/>
    <s v="Calle Güigüe Nro. 89-21"/>
    <s v="Cancelación Vigilancia, meses de Junio y Julio/2018"/>
    <s v="Vigilancia"/>
    <m/>
    <s v="01265"/>
    <s v="12 de julio de 2018"/>
    <d v="2018-07-01T00:00:00"/>
    <s v="1.625.000,00"/>
    <s v="Un Millón Seiscientos Veinticinco Mil Bolívares con 00/100"/>
  </r>
  <r>
    <n v="1266"/>
    <m/>
    <s v="ü"/>
    <d v="2018-07-12T00:00:00"/>
    <n v="1220000"/>
    <x v="54"/>
    <x v="50"/>
    <s v="Calle Güigüe Nro. 89-21"/>
    <s v="Colaboración reparación portón principal"/>
    <s v="Reparación Portón"/>
    <m/>
    <s v="01266"/>
    <s v="12 de julio de 2018"/>
    <d v="2018-07-01T00:00:00"/>
    <s v="1.220.000,00"/>
    <s v="Un Millón Doscientos Veinte Mil Bolívares con 00/100"/>
  </r>
  <r>
    <n v="1267"/>
    <m/>
    <s v="ü"/>
    <d v="2018-07-12T00:00:00"/>
    <n v="2000000"/>
    <x v="43"/>
    <x v="40"/>
    <s v="Calle Güigüe Nro. 88-50"/>
    <s v="Cancelación Vigilancia, meses de Junio y Julio/2018"/>
    <s v="Vigilancia"/>
    <m/>
    <s v="01267"/>
    <s v="12 de julio de 2018"/>
    <d v="2018-07-01T00:00:00"/>
    <s v="2.000.000,00"/>
    <s v="Dos Millones Bolívares con 00/100"/>
  </r>
  <r>
    <n v="1268"/>
    <m/>
    <s v="ü"/>
    <d v="2018-07-12T00:00:00"/>
    <n v="1500000"/>
    <x v="43"/>
    <x v="40"/>
    <s v="Calle Güigüe Nro. 88-50"/>
    <s v="Colaboración reparación portón principal"/>
    <s v="Reparación Portón"/>
    <m/>
    <s v="01268"/>
    <s v="12 de julio de 2018"/>
    <d v="2018-07-01T00:00:00"/>
    <s v="1.500.000,00"/>
    <s v="Un Millón Quinientos Mil Bolívares con 00/100"/>
  </r>
  <r>
    <n v="1269"/>
    <m/>
    <s v="ü"/>
    <d v="2018-07-12T00:00:00"/>
    <n v="1300000"/>
    <x v="14"/>
    <x v="13"/>
    <s v="Calle Güigüe Nro. 89-83"/>
    <s v="Colaboración reparación portón principal"/>
    <s v="Reparación Portón"/>
    <m/>
    <s v="01269"/>
    <s v="12 de julio de 2018"/>
    <d v="2018-07-01T00:00:00"/>
    <s v="1.300.000,00"/>
    <s v="Un Millón Trescientos Mil Bolívares con 00/100"/>
  </r>
  <r>
    <n v="1270"/>
    <m/>
    <s v="ü"/>
    <d v="2018-07-12T00:00:00"/>
    <n v="1220000"/>
    <x v="69"/>
    <x v="61"/>
    <s v="Calle Güigüe Nro. 89-40"/>
    <s v="Colaboración reparación portón principal"/>
    <s v="Reparación Portón"/>
    <m/>
    <s v="01270"/>
    <s v="12 de julio de 2018"/>
    <d v="2018-07-01T00:00:00"/>
    <s v="1.220.000,00"/>
    <s v="Un Millón Doscientos Veinte Mil Bolívares con 00/100"/>
  </r>
  <r>
    <n v="1271"/>
    <m/>
    <s v="ü"/>
    <d v="2018-07-12T00:00:00"/>
    <n v="1220000"/>
    <x v="86"/>
    <x v="73"/>
    <s v="Calle Guacara Nro. 89-50"/>
    <s v="Colaboración reparación portón principal"/>
    <s v="Reparación Portón"/>
    <m/>
    <s v="01271"/>
    <s v="12 de julio de 2018"/>
    <d v="2018-07-01T00:00:00"/>
    <s v="1.220.000,00"/>
    <s v="Un Millón Doscientos Veinte Mil Bolívares con 00/100"/>
  </r>
  <r>
    <n v="1272"/>
    <m/>
    <s v="ü"/>
    <d v="2018-07-12T00:00:00"/>
    <n v="1220000"/>
    <x v="87"/>
    <x v="75"/>
    <s v="Calle Güigüe Nro. 88-06"/>
    <s v="Colaboración reparación portón principal (saldo a favor Bs. 3.255.000)"/>
    <s v="Reparación Portón"/>
    <m/>
    <s v="01272"/>
    <s v="12 de julio de 2018"/>
    <d v="2018-07-01T00:00:00"/>
    <s v="1.220.000,00"/>
    <s v="Un Millón Doscientos Veinte Mil Bolívares con 00/100"/>
  </r>
  <r>
    <n v="1273"/>
    <m/>
    <s v="ü"/>
    <d v="2018-06-12T00:00:00"/>
    <n v="1225000"/>
    <x v="28"/>
    <x v="77"/>
    <s v="Calle Güigüe Nro. 88-30"/>
    <s v="Cancelación Vigilancia, ajuste mes de Junio y cancelación mes de Julio/2018"/>
    <s v="Vigilancia"/>
    <m/>
    <s v="01273"/>
    <s v="12 de junio de 2018"/>
    <d v="2018-06-01T00:00:00"/>
    <s v="1.225.000,00"/>
    <s v="Un Millón Doscientos Veinticinco Mil Bolívares con 00/100"/>
  </r>
  <r>
    <n v="1274"/>
    <m/>
    <s v="ü"/>
    <d v="2018-07-13T00:00:00"/>
    <n v="1000000"/>
    <x v="35"/>
    <x v="32"/>
    <s v="Calle Güigüe Nro. 89-80"/>
    <s v="Cancelación Vigilancia, mes de Julio/2018"/>
    <s v="Vigilancia"/>
    <m/>
    <s v="01274"/>
    <s v="13 de julio de 2018"/>
    <d v="2018-07-01T00:00:00"/>
    <s v="1.000.000,00"/>
    <s v="Un Millón Bolívares con 00/100"/>
  </r>
  <r>
    <n v="1275"/>
    <m/>
    <s v="ü"/>
    <d v="2018-07-13T00:00:00"/>
    <n v="1220000"/>
    <x v="35"/>
    <x v="32"/>
    <s v="Calle Güigüe Nro. 89-80"/>
    <s v="Colaboración reparación portón principal"/>
    <s v="Reparación Portón"/>
    <m/>
    <s v="01275"/>
    <s v="13 de julio de 2018"/>
    <d v="2018-07-01T00:00:00"/>
    <s v="1.220.000,00"/>
    <s v="Un Millón Doscientos Veinte Mil Bolívares con 00/100"/>
  </r>
  <r>
    <n v="1276"/>
    <m/>
    <s v="ü"/>
    <d v="2018-07-14T00:00:00"/>
    <n v="1000000"/>
    <x v="69"/>
    <x v="61"/>
    <s v="Calle Güigüe Nro. 89-40"/>
    <s v="Cancelación Vigilancia, mes de Julio/2018"/>
    <s v="Vigilancia"/>
    <m/>
    <s v="01276"/>
    <s v="14 de julio de 2018"/>
    <d v="2018-07-01T00:00:00"/>
    <s v="1.000.000,00"/>
    <s v="Un Millón Bolívares con 00/100"/>
  </r>
  <r>
    <n v="1277"/>
    <m/>
    <s v="ü"/>
    <d v="2018-07-14T00:00:00"/>
    <n v="150000"/>
    <x v="60"/>
    <x v="54"/>
    <s v="Calle Guacara Nro. 88-51"/>
    <s v="Cancelación Vigilancia, saldo mes de Julio/2018"/>
    <s v="Vigilancia"/>
    <m/>
    <s v="01277"/>
    <s v="14 de julio de 2018"/>
    <d v="2018-07-01T00:00:00"/>
    <s v="150.000,00"/>
    <s v="Ciento Cincuenta Mil Bolívares con 00/100"/>
  </r>
  <r>
    <n v="1278"/>
    <m/>
    <s v="ü"/>
    <d v="2018-07-14T00:00:00"/>
    <n v="850000"/>
    <x v="60"/>
    <x v="54"/>
    <s v="Calle Guacara Nro. 88-51"/>
    <s v="Colaboración reparación portón principal"/>
    <s v="Reparación Portón"/>
    <m/>
    <s v="01278"/>
    <s v="14 de julio de 2018"/>
    <d v="2018-07-01T00:00:00"/>
    <s v="850.000,00"/>
    <s v="Ochocientos Cincuenta Mil Bolívares con 00/100"/>
  </r>
  <r>
    <n v="1279"/>
    <m/>
    <s v="ü"/>
    <d v="2018-07-14T00:00:00"/>
    <n v="1220000"/>
    <x v="77"/>
    <x v="85"/>
    <s v="Calle Guacara Nro. 88-65"/>
    <s v="Colaboración reparación portón principal"/>
    <s v="Reparación Portón"/>
    <m/>
    <s v="01279"/>
    <s v="14 de julio de 2018"/>
    <d v="2018-07-01T00:00:00"/>
    <s v="1.220.000,00"/>
    <s v="Un Millón Doscientos Veinte Mil Bolívares con 00/100"/>
  </r>
  <r>
    <n v="1280"/>
    <m/>
    <s v="ü"/>
    <d v="2018-07-16T00:00:00"/>
    <n v="825000"/>
    <x v="63"/>
    <x v="56"/>
    <s v="Calle Guacara Nro. 88-85"/>
    <s v="Cancelación Vigilancia, ajuste mes de Junio y diferencia mes de Julio/2018"/>
    <s v="Vigilancia"/>
    <m/>
    <s v="01280"/>
    <s v="16 de julio de 2018"/>
    <d v="2018-07-01T00:00:00"/>
    <s v="825.000,00"/>
    <s v="Ochocientos Veinticinco Mil Bolívares con 00/100"/>
  </r>
  <r>
    <n v="1281"/>
    <m/>
    <s v="ü"/>
    <d v="2018-07-16T00:00:00"/>
    <n v="1220000"/>
    <x v="63"/>
    <x v="56"/>
    <s v="Calle Guacara Nro. 88-85"/>
    <s v="Colaboración reparación portón principal"/>
    <s v="Reparación Portón"/>
    <m/>
    <s v="01281"/>
    <s v="16 de julio de 2018"/>
    <d v="2018-07-01T00:00:00"/>
    <s v="1.220.000,00"/>
    <s v="Un Millón Doscientos Veinte Mil Bolívares con 00/100"/>
  </r>
  <r>
    <n v="1282"/>
    <m/>
    <m/>
    <d v="2018-07-16T00:00:00"/>
    <n v="2225000"/>
    <x v="34"/>
    <x v="9"/>
    <s v="Av. &quot;O&quot; Nro. 146-11"/>
    <s v="Cancelación Vigilancia, ajuste mes de Junio y cancelación meses de Julio y Agosto/2018"/>
    <s v="Vigilancia"/>
    <m/>
    <s v="01282"/>
    <s v="16 de julio de 2018"/>
    <d v="2018-07-01T00:00:00"/>
    <s v="2.225.000,00"/>
    <s v="Dos Millones Doscientos Veinticinco Mil Bolívares con 00/100"/>
  </r>
  <r>
    <n v="1283"/>
    <m/>
    <s v="ü"/>
    <d v="2018-07-17T00:00:00"/>
    <n v="800000"/>
    <x v="83"/>
    <x v="70"/>
    <s v="Calle Güigüe Nro. 89-22"/>
    <s v="Cancelación Vigilancia, mes de Junio y anticipo mes de Julio/2018"/>
    <s v="Vigilancia"/>
    <m/>
    <s v="01283"/>
    <s v="17 de julio de 2018"/>
    <d v="2018-07-01T00:00:00"/>
    <s v="800.000,00"/>
    <s v="Ochocientos Mil Bolívares con 00/100"/>
  </r>
  <r>
    <n v="1284"/>
    <m/>
    <s v="ü"/>
    <d v="2018-07-17T00:00:00"/>
    <n v="1000000"/>
    <x v="25"/>
    <x v="23"/>
    <s v="Calle Güigüe Nro. 88-58"/>
    <s v="Cancelación Vigilancia, mes de Julio/2018"/>
    <s v="Vigilancia"/>
    <m/>
    <s v="01284"/>
    <s v="17 de julio de 2018"/>
    <d v="2018-07-01T00:00:00"/>
    <s v="1.000.000,00"/>
    <s v="Un Millón Bolívares con 00/100"/>
  </r>
  <r>
    <n v="1285"/>
    <m/>
    <s v="ü"/>
    <d v="2018-07-18T00:00:00"/>
    <n v="1000000"/>
    <x v="19"/>
    <x v="17"/>
    <s v="Calle Guacara Nro. 89-130"/>
    <s v="Cancelación Vigilancia, mes de Julio/2018"/>
    <s v="Vigilancia"/>
    <m/>
    <s v="01285"/>
    <s v="18 de julio de 2018"/>
    <d v="2018-07-01T00:00:00"/>
    <s v="1.000.000,00"/>
    <s v="Un Millón Bolívares con 00/100"/>
  </r>
  <r>
    <n v="1286"/>
    <m/>
    <s v="ü"/>
    <d v="2018-07-18T00:00:00"/>
    <n v="1220000"/>
    <x v="19"/>
    <x v="17"/>
    <s v="Calle Guacara Nro. 89-130"/>
    <s v="Colaboración reparación portón principal"/>
    <s v="Reparación Portón"/>
    <m/>
    <s v="01286"/>
    <s v="18 de julio de 2018"/>
    <d v="2018-07-01T00:00:00"/>
    <s v="1.220.000,00"/>
    <s v="Un Millón Doscientos Veinte Mil Bolívares con 00/100"/>
  </r>
  <r>
    <n v="1287"/>
    <m/>
    <s v="ü"/>
    <d v="2018-07-18T00:00:00"/>
    <n v="1200000"/>
    <x v="3"/>
    <x v="3"/>
    <s v="Calle Güigüe Nro. 88-62"/>
    <s v="Colaboración Vigilancia, meses de Junio y Julio/2018"/>
    <s v="Vigilancia"/>
    <m/>
    <s v="01287"/>
    <s v="18 de julio de 2018"/>
    <d v="2018-07-01T00:00:00"/>
    <s v="1.200.000,00"/>
    <s v="Un Millón Doscientos Mil Bolívares con 00/100"/>
  </r>
  <r>
    <n v="1288"/>
    <m/>
    <s v="ü"/>
    <d v="2018-07-20T00:00:00"/>
    <n v="1220000"/>
    <x v="12"/>
    <x v="12"/>
    <s v="Calle Guacara Nro. 89-20"/>
    <s v="Colaboración reparación portón principal"/>
    <s v="Reparación Portón"/>
    <m/>
    <s v="01288"/>
    <s v="20 de julio de 2018"/>
    <d v="2018-07-01T00:00:00"/>
    <s v="1.220.000,00"/>
    <s v="Un Millón Doscientos Veinte Mil Bolívares con 00/100"/>
  </r>
  <r>
    <n v="1289"/>
    <m/>
    <s v="ü"/>
    <d v="2018-07-20T00:00:00"/>
    <n v="550000"/>
    <x v="40"/>
    <x v="37"/>
    <s v="Calle Güigüe Nro. 88-101"/>
    <s v="Cancelación Vigilancia, saldo mes de Julio/2018"/>
    <s v="Vigilancia"/>
    <m/>
    <s v="01289"/>
    <s v="20 de julio de 2018"/>
    <d v="2018-07-01T00:00:00"/>
    <s v="550.000,00"/>
    <s v="Quinientos Cincuenta Mil Bolívares con 00/100"/>
  </r>
  <r>
    <n v="1290"/>
    <m/>
    <m/>
    <d v="2018-07-21T00:00:00"/>
    <n v="100000"/>
    <x v="82"/>
    <x v="9"/>
    <s v="Calle Guacara Nro. 90-61"/>
    <s v="Colaboración Vigilancia, mes de Junio/2018"/>
    <s v="Vigilancia"/>
    <m/>
    <s v="01290"/>
    <s v="21 de julio de 2018"/>
    <d v="2018-07-01T00:00:00"/>
    <s v="100.000,00"/>
    <s v="Cien Mil Bolívares con 00/100"/>
  </r>
  <r>
    <n v="1291"/>
    <m/>
    <s v="ü"/>
    <d v="2018-07-20T00:00:00"/>
    <n v="1000000"/>
    <x v="56"/>
    <x v="52"/>
    <s v="Calle Güigüe Nro. 88-70"/>
    <s v="Cancelación Vigilancia, mes de Julio/2018"/>
    <s v="Vigilancia"/>
    <m/>
    <s v="01291"/>
    <s v="20 de julio de 2018"/>
    <d v="2018-07-01T00:00:00"/>
    <s v="1.000.000,00"/>
    <s v="Un Millón Bolívares con 00/100"/>
  </r>
  <r>
    <n v="1292"/>
    <m/>
    <s v="ü"/>
    <d v="2018-07-20T00:00:00"/>
    <n v="1300000"/>
    <x v="56"/>
    <x v="52"/>
    <s v="Calle Güigüe Nro. 88-70"/>
    <s v="Colaboración reparación portón principal"/>
    <s v="Reparación Portón"/>
    <m/>
    <s v="01292"/>
    <s v="20 de julio de 2018"/>
    <d v="2018-07-01T00:00:00"/>
    <s v="1.300.000,00"/>
    <s v="Un Millón Trescientos Mil Bolívares con 00/100"/>
  </r>
  <r>
    <n v="1293"/>
    <m/>
    <s v="ü"/>
    <d v="2018-07-20T00:00:00"/>
    <n v="3000000"/>
    <x v="56"/>
    <x v="52"/>
    <s v="Calle Güigüe Nro. 88-70"/>
    <s v="Donativo para los vigilantes"/>
    <s v="Otros"/>
    <m/>
    <s v="01293"/>
    <s v="20 de julio de 2018"/>
    <d v="2018-07-01T00:00:00"/>
    <s v="3.000.000,00"/>
    <s v="Tres Millones Bolívares con 00/100"/>
  </r>
  <r>
    <n v="1294"/>
    <m/>
    <s v="ü"/>
    <d v="2018-07-23T00:00:00"/>
    <n v="1220000"/>
    <x v="38"/>
    <x v="35"/>
    <s v="Calle Guacara Nro. 89-78"/>
    <s v="Colaboración reparación portón principal"/>
    <s v="Reparación Portón"/>
    <m/>
    <s v="01294"/>
    <s v="23 de julio de 2018"/>
    <d v="2018-07-01T00:00:00"/>
    <s v="1.220.000,00"/>
    <s v="Un Millón Doscientos Veinte Mil Bolívares con 00/100"/>
  </r>
  <r>
    <n v="1295"/>
    <m/>
    <s v="ü"/>
    <d v="2018-07-20T00:00:00"/>
    <n v="1220000"/>
    <x v="45"/>
    <x v="42"/>
    <s v="Calle Güigüe Nro. 87-A-11"/>
    <s v="Colaboración reparación portón principal"/>
    <s v="Reparación Portón"/>
    <m/>
    <s v="01295"/>
    <s v="20 de julio de 2018"/>
    <d v="2018-07-01T00:00:00"/>
    <s v="1.220.000,00"/>
    <s v="Un Millón Doscientos Veinte Mil Bolívares con 00/100"/>
  </r>
  <r>
    <n v="1296"/>
    <m/>
    <s v="ü"/>
    <d v="2018-07-23T00:00:00"/>
    <n v="1000000"/>
    <x v="24"/>
    <x v="22"/>
    <s v="Calle Güigüe Nro. 88-54"/>
    <s v="Cancelación Vigilancia, ajuste mes de Junio/2018, más adicional de Bs. 25.000"/>
    <s v="Vigilancia"/>
    <m/>
    <s v="01296"/>
    <s v="23 de julio de 2018"/>
    <d v="2018-07-01T00:00:00"/>
    <s v="1.000.000,00"/>
    <s v="Un Millón Bolívares con 00/100"/>
  </r>
  <r>
    <n v="1297"/>
    <m/>
    <s v="ü"/>
    <d v="2018-07-23T00:00:00"/>
    <n v="1200000"/>
    <x v="24"/>
    <x v="22"/>
    <s v="Calle Güigüe Nro. 88-54"/>
    <s v="Colaboración reparación portón principal"/>
    <s v="Reparación Portón"/>
    <m/>
    <s v="01297"/>
    <s v="23 de julio de 2018"/>
    <d v="2018-07-01T00:00:00"/>
    <s v="1.200.000,00"/>
    <s v="Un Millón Doscientos Mil Bolívares con 00/100"/>
  </r>
  <r>
    <n v="1298"/>
    <m/>
    <s v="ü"/>
    <d v="2018-07-23T00:00:00"/>
    <n v="150000"/>
    <x v="18"/>
    <x v="16"/>
    <s v="Calle Guacara Nro. 87-100"/>
    <s v="Cancelación Vigilancia, ajuste mes de Julio/2018"/>
    <s v="Vigilancia"/>
    <m/>
    <s v="01298"/>
    <s v="23 de julio de 2018"/>
    <d v="2018-07-01T00:00:00"/>
    <s v="150.000,00"/>
    <s v="Ciento Cincuenta Mil Bolívares con 00/100"/>
  </r>
  <r>
    <n v="1299"/>
    <m/>
    <s v="ü"/>
    <d v="2018-07-23T00:00:00"/>
    <n v="295000"/>
    <x v="18"/>
    <x v="16"/>
    <s v="Calle Guacara Nro. 87-100"/>
    <s v="Colaboración reparación portón principal"/>
    <s v="Reparación Portón"/>
    <m/>
    <s v="01299"/>
    <s v="23 de julio de 2018"/>
    <d v="2018-07-01T00:00:00"/>
    <s v="295.000,00"/>
    <s v="Doscientos Noventa y Cinco Mil Bolívares con 00/100"/>
  </r>
  <r>
    <n v="1300"/>
    <m/>
    <s v="ü"/>
    <d v="2018-07-23T00:00:00"/>
    <n v="225000"/>
    <x v="47"/>
    <x v="44"/>
    <s v="Calle Güigüe Nro. 88-80"/>
    <s v="Cancelación Vigilancia, ajuste mes de Junio/2018 (saldo a favor Bs. 2.775.000)"/>
    <s v="Vigilancia"/>
    <m/>
    <s v="01300"/>
    <s v="23 de julio de 2018"/>
    <d v="2018-07-01T00:00:00"/>
    <s v="225.000,00"/>
    <s v="Doscientos Veinticinco Mil Bolívares con 00/100"/>
  </r>
  <r>
    <n v="1301"/>
    <m/>
    <s v="ü"/>
    <d v="2018-07-23T00:00:00"/>
    <n v="600000"/>
    <x v="47"/>
    <x v="44"/>
    <s v="Calle Güigüe Nro. 88-80"/>
    <s v="Cancelación Vigilancia, saldo mes de Julio/2018 (saldo a favor Bs. 2.175.000)"/>
    <s v="Vigilancia"/>
    <m/>
    <s v="01301"/>
    <s v="23 de julio de 2018"/>
    <d v="2018-07-01T00:00:00"/>
    <s v="600.000,00"/>
    <s v="Seiscientos Mil Bolívares con 00/100"/>
  </r>
  <r>
    <n v="1302"/>
    <m/>
    <s v="ü"/>
    <d v="2018-07-23T00:00:00"/>
    <n v="1220000"/>
    <x v="47"/>
    <x v="44"/>
    <s v="Calle Güigüe Nro. 88-80"/>
    <s v="Colaboración reparación portón principal (saldo a favor Bs. 995.000)"/>
    <s v="Reparación Portón"/>
    <m/>
    <s v="01302"/>
    <s v="23 de julio de 2018"/>
    <d v="2018-07-01T00:00:00"/>
    <s v="1.220.000,00"/>
    <s v="Un Millón Doscientos Veinte Mil Bolívares con 00/100"/>
  </r>
  <r>
    <n v="1303"/>
    <m/>
    <s v="ü"/>
    <d v="2018-07-23T00:00:00"/>
    <n v="2000000"/>
    <x v="27"/>
    <x v="25"/>
    <s v="Calle Güigüe Nro. 89-106"/>
    <s v="Cancelación Vigilancia, meses de Julio y Agosto/2018"/>
    <s v="Vigilancia"/>
    <m/>
    <s v="01303"/>
    <s v="23 de julio de 2018"/>
    <d v="2018-07-01T00:00:00"/>
    <s v="2.000.000,00"/>
    <s v="Dos Millones Bolívares con 00/100"/>
  </r>
  <r>
    <n v="1304"/>
    <m/>
    <s v="ü"/>
    <d v="2018-07-26T00:00:00"/>
    <n v="150000"/>
    <x v="53"/>
    <x v="80"/>
    <s v="Calle Guacara Nro. 88-91"/>
    <s v="Cancelación Vigilancia, mes de Junio y anticipo Julio/2018"/>
    <s v="Vigilancia"/>
    <m/>
    <s v="01304"/>
    <s v="26 de julio de 2018"/>
    <d v="2018-07-01T00:00:00"/>
    <s v="150.000,00"/>
    <s v="Ciento Cincuenta Mil Bolívares con 00/100"/>
  </r>
  <r>
    <n v="1305"/>
    <m/>
    <s v="ü"/>
    <d v="2018-07-26T00:00:00"/>
    <n v="1200000"/>
    <x v="53"/>
    <x v="80"/>
    <s v="Calle Guacara Nro. 88-91"/>
    <s v="Colaboración reparación portón principal"/>
    <s v="Reparación Portón"/>
    <m/>
    <s v="01305"/>
    <s v="26 de julio de 2018"/>
    <d v="2018-07-01T00:00:00"/>
    <s v="1.200.000,00"/>
    <s v="Un Millón Doscientos Mil Bolívares con 00/100"/>
  </r>
  <r>
    <n v="1306"/>
    <m/>
    <s v="ü"/>
    <d v="2018-07-26T00:00:00"/>
    <n v="625000"/>
    <x v="36"/>
    <x v="33"/>
    <s v="Calle Güigüe Nro. 89-10"/>
    <s v="Cancelación Vigilancia, saldo mes de Julio/2018"/>
    <s v="Vigilancia"/>
    <m/>
    <s v="01306"/>
    <s v="26 de julio de 2018"/>
    <d v="2018-07-01T00:00:00"/>
    <s v="625.000,00"/>
    <s v="Seiscientos Veinticinco Mil Bolívares con 00/100"/>
  </r>
  <r>
    <n v="1307"/>
    <m/>
    <s v="ü"/>
    <d v="2018-07-26T00:00:00"/>
    <n v="1220000"/>
    <x v="36"/>
    <x v="33"/>
    <s v="Calle Güigüe Nro. 89-10"/>
    <s v="Colaboración reparación portón principal"/>
    <s v="Reparación Portón"/>
    <m/>
    <s v="01307"/>
    <s v="26 de julio de 2018"/>
    <d v="2018-07-01T00:00:00"/>
    <s v="1.220.000,00"/>
    <s v="Un Millón Doscientos Veinte Mil Bolívares con 00/100"/>
  </r>
  <r>
    <n v="1308"/>
    <m/>
    <s v="ü"/>
    <d v="2018-07-26T00:00:00"/>
    <n v="1985000"/>
    <x v="55"/>
    <x v="51"/>
    <s v="Calle Güigüe Nro. 89-16"/>
    <s v="Cancelación Vigilancia, meses de Febrero, Marzo, Abril, Mayo, Junio y Julio/2018"/>
    <s v="Vigilancia"/>
    <m/>
    <s v="01308"/>
    <s v="26 de julio de 2018"/>
    <d v="2018-07-01T00:00:00"/>
    <s v="1.985.000,00"/>
    <s v="Un Millón Novecientos Ochenta y Cinco Mil Bolívares con 00/100"/>
  </r>
  <r>
    <n v="1309"/>
    <m/>
    <s v="ü"/>
    <d v="2018-07-26T00:00:00"/>
    <n v="1220000"/>
    <x v="55"/>
    <x v="51"/>
    <s v="Calle Güigüe Nro. 89-16"/>
    <s v="Colaboración reparación portón principal"/>
    <s v="Reparación Portón"/>
    <m/>
    <s v="01309"/>
    <s v="26 de julio de 2018"/>
    <d v="2018-07-01T00:00:00"/>
    <s v="1.220.000,00"/>
    <s v="Un Millón Doscientos Veinte Mil Bolívares con 00/100"/>
  </r>
  <r>
    <n v="1310"/>
    <m/>
    <s v="ü"/>
    <d v="2018-07-27T00:00:00"/>
    <n v="150000"/>
    <x v="11"/>
    <x v="11"/>
    <s v="Calle Guacara Nro. 89-86"/>
    <s v="Cancelación Vigilancia, ajuste mes de Julio/2018"/>
    <s v="Vigilancia"/>
    <m/>
    <s v="01310"/>
    <s v="27 de julio de 2018"/>
    <d v="2018-07-01T00:00:00"/>
    <s v="150.000,00"/>
    <s v="Ciento Cincuenta Mil Bolívares con 00/100"/>
  </r>
  <r>
    <n v="1311"/>
    <m/>
    <s v="ü"/>
    <d v="2018-06-28T00:00:00"/>
    <n v="1220000"/>
    <x v="11"/>
    <x v="11"/>
    <s v="Calle Guacara Nro. 89-86"/>
    <s v="Colaboración reparación portón principal"/>
    <s v="Reparación Portón"/>
    <m/>
    <s v="01311"/>
    <s v="28 de junio de 2018"/>
    <d v="2018-06-01T00:00:00"/>
    <s v="1.220.000,00"/>
    <s v="Un Millón Doscientos Veinte Mil Bolívares con 00/100"/>
  </r>
  <r>
    <n v="1312"/>
    <m/>
    <s v="ü"/>
    <d v="2018-07-27T00:00:00"/>
    <n v="1250000"/>
    <x v="8"/>
    <x v="78"/>
    <s v="Calle Guacara Nro. 90-51"/>
    <s v="Colaboración reparación portón principal"/>
    <s v="Reparación Portón"/>
    <m/>
    <s v="01312"/>
    <s v="27 de julio de 2018"/>
    <d v="2018-07-01T00:00:00"/>
    <s v="1.250.000,00"/>
    <s v="Un Millón Doscientos Cincuenta Mil Bolívares con 00/100"/>
  </r>
  <r>
    <n v="1313"/>
    <m/>
    <s v="ü"/>
    <d v="2018-07-27T00:00:00"/>
    <n v="1000000"/>
    <x v="26"/>
    <x v="24"/>
    <s v="Calle Güigüe Nro. 89-96"/>
    <s v="Cancelación Vigilancia, mes de Julio/2018"/>
    <s v="Vigilancia"/>
    <m/>
    <s v="01313"/>
    <s v="27 de julio de 2018"/>
    <d v="2018-07-01T00:00:00"/>
    <s v="1.000.000,00"/>
    <s v="Un Millón Bolívares con 00/100"/>
  </r>
  <r>
    <n v="1314"/>
    <m/>
    <s v="ü"/>
    <d v="2018-07-28T00:00:00"/>
    <n v="1225000"/>
    <x v="93"/>
    <x v="87"/>
    <s v="Calle Güigüe Nro. 89-89"/>
    <s v="Cancelación Vigilancia, ajuste mes de Junio y cancelación mes de Julio/2018"/>
    <s v="Vigilancia"/>
    <m/>
    <s v="01314"/>
    <s v="28 de julio de 2018"/>
    <d v="2018-07-01T00:00:00"/>
    <s v="1.225.000,00"/>
    <s v="Un Millón Doscientos Veinticinco Mil Bolívares con 00/100"/>
  </r>
  <r>
    <n v="1315"/>
    <m/>
    <s v="ü"/>
    <d v="2018-07-28T00:00:00"/>
    <n v="1220000"/>
    <x v="93"/>
    <x v="87"/>
    <s v="Calle Güigüe Nro. 89-89"/>
    <s v="Colaboración reparación portón principal"/>
    <s v="Reparación Portón"/>
    <m/>
    <s v="01315"/>
    <s v="28 de julio de 2018"/>
    <d v="2018-07-01T00:00:00"/>
    <s v="1.220.000,00"/>
    <s v="Un Millón Doscientos Veinte Mil Bolívares con 00/100"/>
  </r>
  <r>
    <n v="1316"/>
    <m/>
    <m/>
    <d v="2018-07-29T00:00:00"/>
    <n v="1000000"/>
    <x v="5"/>
    <x v="9"/>
    <s v="Calle Güigüe Nro. 88-120"/>
    <s v="Cancelación Vigilancia, mes de Agosto/2018"/>
    <s v="Vigilancia"/>
    <m/>
    <s v="01316"/>
    <s v="29 de julio de 2018"/>
    <d v="2018-07-01T00:00:00"/>
    <s v="1.000.000,00"/>
    <s v="Un Millón Bolívares con 00/100"/>
  </r>
  <r>
    <n v="1317"/>
    <m/>
    <m/>
    <d v="2018-07-29T00:00:00"/>
    <n v="1220000"/>
    <x v="5"/>
    <x v="9"/>
    <s v="Calle Güigüe Nro. 88-120"/>
    <s v="Colaboración reparación portón principal"/>
    <s v="Reparación Portón"/>
    <m/>
    <s v="01317"/>
    <s v="29 de julio de 2018"/>
    <d v="2018-07-01T00:00:00"/>
    <s v="1.220.000,00"/>
    <s v="Un Millón Doscientos Veinte Mil Bolívares con 00/100"/>
  </r>
  <r>
    <n v="1318"/>
    <m/>
    <s v="ü"/>
    <d v="2018-07-29T00:00:00"/>
    <n v="500000"/>
    <x v="71"/>
    <x v="62"/>
    <s v="Calle Güigüe Nro. 89-71"/>
    <s v="Colaboración Vigilancia, mes de Junio/2017"/>
    <s v="Vigilancia"/>
    <m/>
    <s v="01318"/>
    <s v="29 de julio de 2018"/>
    <d v="2018-07-01T00:00:00"/>
    <s v="500.000,00"/>
    <s v="Quinientos Mil Bolívares con 00/100"/>
  </r>
  <r>
    <n v="1319"/>
    <m/>
    <s v="ü"/>
    <d v="2018-07-29T00:00:00"/>
    <n v="500000"/>
    <x v="71"/>
    <x v="62"/>
    <s v="Calle Güigüe Nro. 89-71"/>
    <s v="Colaboración reparación portón principal"/>
    <s v="Reparación Portón"/>
    <m/>
    <s v="01319"/>
    <s v="29 de julio de 2018"/>
    <d v="2018-07-01T00:00:00"/>
    <s v="500.000,00"/>
    <s v="Quinientos Mil Bolívares con 00/100"/>
  </r>
  <r>
    <n v="1320"/>
    <m/>
    <s v="ü"/>
    <d v="2018-07-31T00:00:00"/>
    <n v="1000000"/>
    <x v="58"/>
    <x v="53"/>
    <s v="Calle Güigüe Nro. 88-51"/>
    <s v="Cancelación Vigilancia, mes de Julio/2018"/>
    <s v="Vigilancia"/>
    <m/>
    <s v="01320"/>
    <s v="31 de julio de 2018"/>
    <d v="2018-07-01T00:00:00"/>
    <s v="1.000.000,00"/>
    <s v="Un Millón Bolívares con 00/100"/>
  </r>
  <r>
    <n v="1321"/>
    <m/>
    <m/>
    <d v="2018-07-31T00:00:00"/>
    <n v="200000"/>
    <x v="82"/>
    <x v="9"/>
    <s v="Calle Guacara Nro. 90-61"/>
    <s v="Colaboración Vigilancia, mes de Julio/2018"/>
    <s v="Vigilancia"/>
    <m/>
    <s v="01321"/>
    <s v="31 de julio de 2018"/>
    <d v="2018-07-01T00:00:00"/>
    <s v="200.000,00"/>
    <s v="Doscientos Mil Bolívares con 00/100"/>
  </r>
  <r>
    <n v="1322"/>
    <m/>
    <s v="ü"/>
    <d v="2018-07-31T00:00:00"/>
    <n v="1200000"/>
    <x v="45"/>
    <x v="42"/>
    <s v="Calle Güigüe Nro. 87-A-11"/>
    <s v="Cancelación Vigilancia, saldo mes de Agosto/2018"/>
    <s v="Vigilancia"/>
    <m/>
    <s v="01322"/>
    <s v="31 de julio de 2018"/>
    <d v="2018-07-01T00:00:00"/>
    <s v="1.200.000,00"/>
    <s v="Un Millón Doscientos Mil Bolívares con 00/100"/>
  </r>
  <r>
    <n v="1323"/>
    <m/>
    <s v="ü"/>
    <d v="2018-07-31T00:00:00"/>
    <n v="1220000"/>
    <x v="20"/>
    <x v="18"/>
    <s v="Calle Guacara Nro. 89-30"/>
    <s v="Cancelación Vigilancia, mes de Agosto/2018"/>
    <s v="Vigilancia"/>
    <m/>
    <s v="01323"/>
    <s v="31 de julio de 2018"/>
    <d v="2018-07-01T00:00:00"/>
    <s v="1.220.000,00"/>
    <s v="Un Millón Doscientos Veinte Mil Bolívares con 00/100"/>
  </r>
  <r>
    <n v="1324"/>
    <n v="1324"/>
    <m/>
    <d v="2018-08-01T00:00:00"/>
    <n v="1350000"/>
    <x v="89"/>
    <x v="81"/>
    <s v="Calle Guacara Nro. 88-75"/>
    <s v="Cancelación Vigilancia, ajuste mes de Julio y cancelación mes de Agosto/2018"/>
    <s v="Vigilancia"/>
    <m/>
    <s v="01324"/>
    <s v="01 de agosto de 2018"/>
    <d v="2018-08-01T00:00:00"/>
    <s v="1.350.000,00"/>
    <s v="Un Millón Trescientos Cincuenta Mil Bolívares con 00/100"/>
  </r>
  <r>
    <n v="1325"/>
    <n v="1325"/>
    <m/>
    <d v="2018-08-01T00:00:00"/>
    <n v="1220000"/>
    <x v="89"/>
    <x v="81"/>
    <s v="Calle Guacara Nro. 88-75"/>
    <s v="Colaboración reparación portón principal"/>
    <s v="Reparación Portón"/>
    <m/>
    <s v="01325"/>
    <s v="01 de agosto de 2018"/>
    <d v="2018-08-01T00:00:00"/>
    <s v="1.220.000,00"/>
    <s v="Un Millón Doscientos Veinte Mil Bolívares con 00/100"/>
  </r>
  <r>
    <n v="1326"/>
    <n v="1326"/>
    <m/>
    <d v="2018-08-01T00:00:00"/>
    <n v="1200000"/>
    <x v="90"/>
    <x v="82"/>
    <s v="Calle Güigüe Nro. 89-04"/>
    <s v="Cancelación Vigilancia, mes de Agosto/2018"/>
    <s v="Vigilancia"/>
    <m/>
    <s v="01326"/>
    <s v="01 de agosto de 2018"/>
    <d v="2018-08-01T00:00:00"/>
    <s v="1.200.000,00"/>
    <s v="Un Millón Doscientos Mil Bolívares con 00/100"/>
  </r>
  <r>
    <n v="1327"/>
    <n v="1327"/>
    <m/>
    <d v="2018-08-01T00:00:00"/>
    <n v="1220000"/>
    <x v="90"/>
    <x v="82"/>
    <s v="Calle Güigüe Nro. 89-04"/>
    <s v="Colaboración reparación portón principal"/>
    <s v="Reparación Portón"/>
    <m/>
    <s v="01327"/>
    <s v="01 de agosto de 2018"/>
    <d v="2018-08-01T00:00:00"/>
    <s v="1.220.000,00"/>
    <s v="Un Millón Doscientos Veinte Mil Bolívares con 00/100"/>
  </r>
  <r>
    <n v="1328"/>
    <n v="1328"/>
    <m/>
    <d v="2018-08-01T00:00:00"/>
    <n v="2200000"/>
    <x v="61"/>
    <x v="14"/>
    <s v="Calle Guacara Nro. 87-07"/>
    <s v="Cancelación Vigilancia, meses de Julio y Agosto/2018"/>
    <s v="Vigilancia"/>
    <m/>
    <s v="01328"/>
    <s v="01 de agosto de 2018"/>
    <d v="2018-08-01T00:00:00"/>
    <s v="2.200.000,00"/>
    <s v="Dos Millones Doscientos Mil Bolívares con 00/100"/>
  </r>
  <r>
    <n v="1329"/>
    <n v="1329"/>
    <m/>
    <d v="2018-08-01T00:00:00"/>
    <n v="1220000"/>
    <x v="61"/>
    <x v="14"/>
    <s v="Calle Guacara Nro. 87-07"/>
    <s v="Colaboración reparación portón principal"/>
    <s v="Reparación Portón"/>
    <m/>
    <s v="01329"/>
    <s v="01 de agosto de 2018"/>
    <d v="2018-08-01T00:00:00"/>
    <s v="1.220.000,00"/>
    <s v="Un Millón Doscientos Veinte Mil Bolívares con 00/100"/>
  </r>
  <r>
    <n v="1330"/>
    <n v="1330"/>
    <m/>
    <d v="2018-08-01T00:00:00"/>
    <n v="1200000"/>
    <x v="15"/>
    <x v="14"/>
    <s v="Calle Guacara Nro. 89-94"/>
    <s v="Cancelación Vigilancia, mes de Agosto/2018"/>
    <s v="Vigilancia"/>
    <m/>
    <s v="01330"/>
    <s v="01 de agosto de 2018"/>
    <d v="2018-08-01T00:00:00"/>
    <s v="1.200.000,00"/>
    <s v="Un Millón Doscientos Mil Bolívares con 00/100"/>
  </r>
  <r>
    <n v="1331"/>
    <n v="1331"/>
    <m/>
    <d v="2018-08-01T00:00:00"/>
    <n v="1220000"/>
    <x v="15"/>
    <x v="14"/>
    <s v="Calle Guacara Nro. 89-94"/>
    <s v="Colaboración reparación portón principal"/>
    <s v="Reparación Portón"/>
    <m/>
    <s v="01331"/>
    <s v="01 de agosto de 2018"/>
    <d v="2018-08-01T00:00:00"/>
    <s v="1.220.000,00"/>
    <s v="Un Millón Doscientos Veinte Mil Bolívares con 00/100"/>
  </r>
  <r>
    <n v="1332"/>
    <n v="1332"/>
    <m/>
    <d v="2018-08-01T00:00:00"/>
    <n v="2500000"/>
    <x v="81"/>
    <x v="69"/>
    <s v="Calle Güigüe Nro. 89-65"/>
    <s v="Cancelación Vigilancia, mes de Agosto y anticipo Septiembre/2018"/>
    <s v="Vigilancia"/>
    <m/>
    <s v="01332"/>
    <s v="01 de agosto de 2018"/>
    <d v="2018-08-01T00:00:00"/>
    <s v="2.500.000,00"/>
    <s v="Dos Millones Quinientos Mil Bolívares con 00/100"/>
  </r>
  <r>
    <n v="1333"/>
    <n v="1333"/>
    <m/>
    <d v="2018-08-01T00:00:00"/>
    <n v="1200000"/>
    <x v="7"/>
    <x v="7"/>
    <s v="Calle Guacara Nro. 87-86"/>
    <s v="Cancelación Vigilancia, mes de Agosto/2018"/>
    <s v="Vigilancia"/>
    <m/>
    <s v="01333"/>
    <s v="01 de agosto de 2018"/>
    <d v="2018-08-01T00:00:00"/>
    <s v="1.200.000,00"/>
    <s v="Un Millón Doscientos Mil Bolívares con 00/100"/>
  </r>
  <r>
    <n v="1334"/>
    <n v="1334"/>
    <m/>
    <d v="2018-08-01T00:00:00"/>
    <n v="1200000"/>
    <x v="69"/>
    <x v="61"/>
    <s v="Calle Güigüe Nro. 89-40"/>
    <s v="Cancelación Vigilancia, mes de Agosto/2018"/>
    <s v="Vigilancia"/>
    <m/>
    <s v="01334"/>
    <s v="01 de agosto de 2018"/>
    <d v="2018-08-01T00:00:00"/>
    <s v="1.200.000,00"/>
    <s v="Un Millón Doscientos Mil Bolívares con 00/100"/>
  </r>
  <r>
    <n v="1335"/>
    <n v="1334"/>
    <m/>
    <d v="2018-08-01T00:00:00"/>
    <n v="1200000"/>
    <x v="52"/>
    <x v="9"/>
    <s v="Calle Güigüe Nro. 89-45"/>
    <s v="Cancelación Vigilancia, mes de Agosto/2018 (saldo a favor: Bs. 3.598.000)"/>
    <s v="Vigilancia"/>
    <m/>
    <s v="01335"/>
    <s v="01 de agosto de 2018"/>
    <d v="2018-08-01T00:00:00"/>
    <s v="1.200.000,00"/>
    <s v="Un Millón Doscientos Mil Bolívares con 00/100"/>
  </r>
  <r>
    <n v="1336"/>
    <n v="1336"/>
    <m/>
    <d v="2018-08-01T00:00:00"/>
    <n v="1740000"/>
    <x v="73"/>
    <x v="9"/>
    <s v="Calle Güigüe Nros. 88-71 y 88-81"/>
    <s v="Cancelación Vigilancia, mes de Agosto/2018"/>
    <s v="Vigilancia"/>
    <m/>
    <s v="01336"/>
    <s v="01 de agosto de 2018"/>
    <d v="2018-08-01T00:00:00"/>
    <s v="1.740.000,00"/>
    <s v="Un Millón Setecientos Cuarenta Mil Bolívares con 00/100"/>
  </r>
  <r>
    <n v="1337"/>
    <n v="1337"/>
    <m/>
    <d v="2018-08-01T00:00:00"/>
    <n v="1200000"/>
    <x v="87"/>
    <x v="75"/>
    <s v="Calle Güigüe Nro. 88-06"/>
    <s v="Cancelación Vigilancia, mes de Agosto/2018 (saldo a favor: Bs. 2.055.000)"/>
    <s v="Vigilancia"/>
    <m/>
    <s v="01337"/>
    <s v="01 de agosto de 2018"/>
    <d v="2018-08-01T00:00:00"/>
    <s v="1.200.000,00"/>
    <s v="Un Millón Doscientos Mil Bolívares con 00/100"/>
  </r>
  <r>
    <n v="1338"/>
    <n v="1338"/>
    <m/>
    <d v="2018-08-01T00:00:00"/>
    <n v="1200000"/>
    <x v="42"/>
    <x v="39"/>
    <s v="Calle Güigüe Nro. 89-79"/>
    <s v="Cancelación Vigilancia, mes de Agosto/2018 (saldo a favor: Bs. 1.155.000)"/>
    <s v="Vigilancia"/>
    <m/>
    <s v="01338"/>
    <s v="01 de agosto de 2018"/>
    <d v="2018-08-01T00:00:00"/>
    <s v="1.200.000,00"/>
    <s v="Un Millón Doscientos Mil Bolívares con 00/100"/>
  </r>
  <r>
    <n v="1339"/>
    <n v="1339"/>
    <m/>
    <d v="2018-08-01T00:00:00"/>
    <n v="1200000"/>
    <x v="92"/>
    <x v="86"/>
    <s v="Calle Guacara Nro. 88-A-10"/>
    <s v="Cancelación Vigilancia, mes de Agosto/2018 (saldo a favor: Bs. 580.000)"/>
    <s v="Vigilancia"/>
    <m/>
    <s v="01339"/>
    <s v="01 de agosto de 2018"/>
    <d v="2018-08-01T00:00:00"/>
    <s v="1.200.000,00"/>
    <s v="Un Millón Doscientos Mil Bolívares con 00/100"/>
  </r>
  <r>
    <n v="1340"/>
    <n v="1340"/>
    <m/>
    <d v="2018-08-01T00:00:00"/>
    <n v="1200000"/>
    <x v="0"/>
    <x v="0"/>
    <s v="Calle Guacara Nro. 88-45"/>
    <s v="Cancelación Vigilancia, mes de Agosto/2018 (saldo a favor: Bs. 2.295.000)"/>
    <s v="Vigilancia"/>
    <m/>
    <s v="01340"/>
    <s v="01 de agosto de 2018"/>
    <d v="2018-08-01T00:00:00"/>
    <s v="1.200.000,00"/>
    <s v="Un Millón Doscientos Mil Bolívares con 00/100"/>
  </r>
  <r>
    <n v="1341"/>
    <n v="1341"/>
    <m/>
    <d v="2018-08-01T00:00:00"/>
    <n v="990000"/>
    <x v="75"/>
    <x v="65"/>
    <s v="Av. &quot;Ñ&quot; Nro. 145-25"/>
    <s v="Anticipo Vigilancia, mes de Agosto/2018 (saldo pendiente: Bs. 210.000)"/>
    <s v="Vigilancia"/>
    <m/>
    <s v="01341"/>
    <s v="01 de agosto de 2018"/>
    <d v="2018-08-01T00:00:00"/>
    <s v="990.000,00"/>
    <s v="Novecientos Noventa Mil Bolívares con 00/100"/>
  </r>
  <r>
    <m/>
    <m/>
    <m/>
    <m/>
    <m/>
    <x v="94"/>
    <x v="88"/>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2">
  <r>
    <n v="1"/>
    <m/>
    <s v="ü"/>
    <d v="2016-12-09T00:00:00"/>
    <n v="10500"/>
    <s v="Familia Del Negro Palermo"/>
    <s v="vdelnegro@gmail.com"/>
    <s v="Calle Guacara Nro. 88-45"/>
    <s v="Anticipo Vigilancia, mes de Enero/2017"/>
    <x v="0"/>
    <s v="https://drive.google.com/open?id=0ByOb8wNqoBtVQ2JYRkVQTFVWQU0"/>
    <s v="00001"/>
    <s v="09 de diciembre de 2016"/>
    <x v="0"/>
    <s v="10.500,00"/>
    <s v="Diez Mil Quinientos Bolívares con 00/100"/>
  </r>
  <r>
    <n v="2"/>
    <m/>
    <s v="ü"/>
    <d v="2016-12-13T00:00:00"/>
    <n v="10500"/>
    <s v="Familia Colosso Delgado"/>
    <s v="mcolosso@gmail.com"/>
    <s v="Calle Güigüe Nro. 88-44"/>
    <s v="Anticipo Vigilancia, mes de Enero/2017"/>
    <x v="0"/>
    <s v="https://drive.google.com/open?id=0ByOb8wNqoBtVWTdmYzQ4N0NUQ3c"/>
    <s v="00002"/>
    <s v="13 de diciembre de 2016"/>
    <x v="0"/>
    <s v="10.500,00"/>
    <s v="Diez Mil Quinientos Bolívares con 00/100"/>
  </r>
  <r>
    <n v="3"/>
    <m/>
    <s v="ü"/>
    <d v="2016-12-20T00:00:00"/>
    <n v="4500"/>
    <s v="Familia Méndez Parra"/>
    <s v="briceidamp@hotmail.com"/>
    <s v="Calle Guacara Nro. 88-19"/>
    <s v="Anticipo Vigilancia, mes de Enero/2017"/>
    <x v="0"/>
    <s v="https://drive.google.com/open?id=0ByOb8wNqoBtVZU5vcE5wOUtYRVU"/>
    <s v="00003"/>
    <s v="20 de diciembre de 2016"/>
    <x v="0"/>
    <s v="4.500,00"/>
    <s v="Cuatro Mil Quinientos Bolívares con 00/100"/>
  </r>
  <r>
    <n v="4"/>
    <m/>
    <s v="ü"/>
    <d v="2017-01-02T00:00:00"/>
    <n v="10500"/>
    <s v="Familia Martínez Boada"/>
    <s v="florcitakmz@gmail.com"/>
    <s v="Calle Güigüe Nro. 88-62"/>
    <s v="Anticipo Vigilancia, mes de Enero/2017"/>
    <x v="0"/>
    <s v="https://drive.google.com/open?id=0ByOb8wNqoBtVbnMxZWNSWHF3WlU"/>
    <s v="00004"/>
    <s v="02 de enero de 2017"/>
    <x v="1"/>
    <s v="10.500,00"/>
    <s v="Diez Mil Quinientos Bolívares con 00/100"/>
  </r>
  <r>
    <n v="5"/>
    <m/>
    <s v="ü"/>
    <d v="2017-01-06T00:00:00"/>
    <n v="10500"/>
    <s v="Familia Fermín Rivas"/>
    <s v="angelferminb@gmail.com"/>
    <s v="Calle Güigüe Nro. 89-55"/>
    <s v="Anticipo Vigilancia, mes de Enero/2017"/>
    <x v="0"/>
    <s v="https://drive.google.com/open?id=0ByOb8wNqoBtVcm9mb2w4S1F3N1k"/>
    <s v="00005"/>
    <s v="06 de enero de 2017"/>
    <x v="1"/>
    <s v="10.500,00"/>
    <s v="Diez Mil Quinientos Bolívares con 00/100"/>
  </r>
  <r>
    <n v="6"/>
    <m/>
    <s v="ü"/>
    <d v="2017-01-07T00:00:00"/>
    <n v="10500"/>
    <s v="Familia Loponte Arteaga"/>
    <s v="nancyloponte@hotmail.com"/>
    <s v="Calle Güigüe Nro. 88-120"/>
    <s v="Anticipo Vigilancia, mes de Enero/2017"/>
    <x v="0"/>
    <s v="https://drive.google.com/open?id=0ByOb8wNqoBtVM1MzMzhjNmMzeEE"/>
    <s v="00006"/>
    <s v="07 de enero de 2017"/>
    <x v="1"/>
    <s v="10.500,00"/>
    <s v="Diez Mil Quinientos Bolívares con 00/100"/>
  </r>
  <r>
    <n v="7"/>
    <m/>
    <s v="ü"/>
    <d v="2017-01-10T00:00:00"/>
    <n v="10000"/>
    <s v="Familia Durvelle Serrano"/>
    <s v="sdurvelle@hotmail.com"/>
    <s v="Calle Guacara Nro. 89-60"/>
    <s v="Anticipo Vigilancia, mes de Enero/2017"/>
    <x v="0"/>
    <s v="https://drive.google.com/open?id=0ByOb8wNqoBtVUmlGT0tPUnR5WU0"/>
    <s v="00007"/>
    <s v="10 de enero de 2017"/>
    <x v="1"/>
    <s v="10.000,00"/>
    <s v="Diez Mil Bolívares con 00/100"/>
  </r>
  <r>
    <n v="8"/>
    <m/>
    <s v="ü"/>
    <d v="2017-01-11T00:00:00"/>
    <n v="5000"/>
    <s v="Chin Chun Ya (Goya)"/>
    <s v="uc2721@gmail.com"/>
    <s v="Calle Guacara Nro. 87-86"/>
    <s v="Colaboración Vigilancia, mes de Enero/2017"/>
    <x v="0"/>
    <s v="https://drive.google.com/open?id=0ByOb8wNqoBtVb0Z2TFRxN0pyLTA"/>
    <s v="00008"/>
    <s v="11 de enero de 2017"/>
    <x v="1"/>
    <s v="5.000,00"/>
    <s v="Cinco Mil Bolívares con 00/100"/>
  </r>
  <r>
    <n v="9"/>
    <m/>
    <s v="ü"/>
    <d v="2017-01-11T00:00:00"/>
    <n v="10500"/>
    <s v="Familia Castro Jiménez"/>
    <s v="0426-543.4303"/>
    <s v="Calle Guacara Nro. 90-51"/>
    <s v="Anticipo Vigilancia, mes de Enero/2017"/>
    <x v="0"/>
    <s v="https://drive.google.com/open?id=0ByOb8wNqoBtVRXNhMmNDZkI0eVE"/>
    <s v="00009"/>
    <s v="11 de enero de 2017"/>
    <x v="1"/>
    <s v="10.500,00"/>
    <s v="Diez Mil Quinientos Bolívares con 00/100"/>
  </r>
  <r>
    <n v="10"/>
    <m/>
    <s v="ü"/>
    <d v="2017-01-15T00:00:00"/>
    <n v="12000"/>
    <s v="La Casita Encantada"/>
    <s v="En Físico"/>
    <s v="Av. &quot;M&quot; Nro. 146-30"/>
    <s v="Cancelación Vigilancia, mes de Enero/2017"/>
    <x v="0"/>
    <s v="https://drive.google.com/open?id=0ByOb8wNqoBtVRDZWQUxwZm43cUU"/>
    <s v="00010"/>
    <s v="15 de enero de 2017"/>
    <x v="1"/>
    <s v="12.000,00"/>
    <s v="Doce Mil Bolívares con 00/100"/>
  </r>
  <r>
    <n v="11"/>
    <m/>
    <s v="ü"/>
    <d v="2017-01-13T00:00:00"/>
    <n v="10500"/>
    <s v="Familia Barreto Pérez"/>
    <s v="bbetsa19@hotmail.com"/>
    <s v="Av. &quot;M&quot; Nro. 146-15"/>
    <s v="Anticipo Vigilancia, mes de Enero/2017"/>
    <x v="0"/>
    <s v="https://drive.google.com/open?id=0ByOb8wNqoBtVc1BVRG1xMDFyck0"/>
    <s v="00011"/>
    <s v="13 de enero de 2017"/>
    <x v="1"/>
    <s v="10.500,00"/>
    <s v="Diez Mil Quinientos Bolívares con 00/100"/>
  </r>
  <r>
    <n v="12"/>
    <m/>
    <s v="ü"/>
    <d v="2017-01-15T00:00:00"/>
    <n v="10500"/>
    <s v="Familia González Arévalo"/>
    <s v="feryenis@hotmail.com"/>
    <s v="Calle Guacara Nro. 89-86"/>
    <s v="Anticipo Vigilancia, mes de Enero/2017"/>
    <x v="0"/>
    <s v="https://drive.google.com/open?id=0ByOb8wNqoBtVLTlZOGVxSlVYV0U"/>
    <s v="00012"/>
    <s v="15 de enero de 2017"/>
    <x v="1"/>
    <s v="10.500,00"/>
    <s v="Diez Mil Quinientos Bolívares con 00/100"/>
  </r>
  <r>
    <n v="13"/>
    <m/>
    <s v="ü"/>
    <d v="2017-01-19T00:00:00"/>
    <n v="10500"/>
    <s v="Familia Arcia Polanco"/>
    <s v="misipo29@gmail.com"/>
    <s v="Calle Guacara Nro. 89-20"/>
    <s v="Anticipo Vigilancia, mes de Enero/2017"/>
    <x v="0"/>
    <s v="https://drive.google.com/open?id=0ByOb8wNqoBtVQzNkS1BObWJDMWs"/>
    <s v="00013"/>
    <s v="19 de enero de 2017"/>
    <x v="1"/>
    <s v="10.500,00"/>
    <s v="Diez Mil Quinientos Bolívares con 00/100"/>
  </r>
  <r>
    <n v="14"/>
    <m/>
    <s v="ü"/>
    <d v="2017-01-19T00:00:00"/>
    <n v="4500"/>
    <s v="Familia Herrera Guada"/>
    <s v="En Físico"/>
    <s v="Calle Güigüe Nro. 89-90"/>
    <s v="Colaboración Vigilancia, mes de Enero/2017"/>
    <x v="0"/>
    <s v="https://drive.google.com/open?id=0ByOb8wNqoBtVUnAtM1N6cFhtTlU"/>
    <s v="00014"/>
    <s v="19 de enero de 2017"/>
    <x v="1"/>
    <s v="4.500,00"/>
    <s v="Cuatro Mil Quinientos Bolívares con 00/100"/>
  </r>
  <r>
    <n v="15"/>
    <m/>
    <s v="ü"/>
    <d v="2017-01-20T00:00:00"/>
    <n v="6500"/>
    <s v="Familia Arcia Polanco"/>
    <s v="misipo29@gmail.com"/>
    <s v="Calle Guacara Nro. 89-20"/>
    <s v="Cancelación saldo Vigilancia, mes de Enero/2017"/>
    <x v="0"/>
    <s v="https://drive.google.com/open?id=0ByOb8wNqoBtVQU84dFVIUlhueVk"/>
    <s v="00015"/>
    <s v="20 de enero de 2017"/>
    <x v="1"/>
    <s v="6.500,00"/>
    <s v="Seis Mil Quinientos Bolívares con 00/100"/>
  </r>
  <r>
    <n v="16"/>
    <m/>
    <s v="ü"/>
    <d v="2017-01-20T00:00:00"/>
    <n v="6500"/>
    <s v="Familia Del Negro Palermo"/>
    <s v="vdelnegro@gmail.com"/>
    <s v="Calle Guacara Nro. 88-45"/>
    <s v="Cancelación saldo Vigilancia, mes de Enero/2017"/>
    <x v="0"/>
    <s v="https://drive.google.com/open?id=0ByOb8wNqoBtVTXZQd1FMTHZsSHc"/>
    <s v="00016"/>
    <s v="20 de enero de 2017"/>
    <x v="1"/>
    <s v="6.500,00"/>
    <s v="Seis Mil Quinientos Bolívares con 00/100"/>
  </r>
  <r>
    <n v="17"/>
    <m/>
    <s v="ü"/>
    <d v="2017-01-20T00:00:00"/>
    <n v="17000"/>
    <s v="Familia Ferrer Bahri"/>
    <s v="bahrimariela@hotmail.com"/>
    <s v="Calle Güigüe Nro. 89-83"/>
    <s v="Cancelación Vigilancia, mes de Enero/2017"/>
    <x v="0"/>
    <s v="https://drive.google.com/open?id=0ByOb8wNqoBtVbmVRMlBsVFN0b0U"/>
    <s v="00017"/>
    <s v="20 de enero de 2017"/>
    <x v="1"/>
    <s v="17.000,00"/>
    <s v="Diecisiete Mil Bolívares con 00/100"/>
  </r>
  <r>
    <n v="18"/>
    <m/>
    <s v="ü"/>
    <d v="2017-01-20T00:00:00"/>
    <n v="6000"/>
    <s v="Héctor Hernández"/>
    <s v="eof64@hotmail.com"/>
    <s v="Calle Guacara Nro. 89-94"/>
    <s v="Colaboración Vigilancia, mes de Enero/2017"/>
    <x v="0"/>
    <s v="https://drive.google.com/open?id=0ByOb8wNqoBtVQW1LSko5bFZRUUE"/>
    <s v="00018"/>
    <s v="20 de enero de 2017"/>
    <x v="1"/>
    <s v="6.000,00"/>
    <s v="Seis Mil Bolívares con 00/100"/>
  </r>
  <r>
    <n v="19"/>
    <m/>
    <s v="ü"/>
    <d v="2017-01-24T00:00:00"/>
    <n v="6500"/>
    <s v="Familia Colosso Delgado"/>
    <s v="mcolosso@gmail.com"/>
    <s v="Calle Güigüe Nro. 88-44"/>
    <s v="Cancelación saldo Vigilancia, mes de Enero/2017"/>
    <x v="0"/>
    <s v="https://drive.google.com/open?id=0ByOb8wNqoBtVcEo1SFFiUkRWVTg"/>
    <s v="00019"/>
    <s v="24 de enero de 2017"/>
    <x v="1"/>
    <s v="6.500,00"/>
    <s v="Seis Mil Quinientos Bolívares con 00/100"/>
  </r>
  <r>
    <n v="20"/>
    <m/>
    <s v="ü"/>
    <d v="2017-01-24T00:00:00"/>
    <n v="10000"/>
    <s v="Familia Méndez Parra"/>
    <s v="briceidamp@hotmail.com"/>
    <s v="Calle Guacara Nro. 88-19"/>
    <s v="Anticipo Vigilancia, mes de Enero/2017"/>
    <x v="0"/>
    <s v="https://drive.google.com/open?id=0ByOb8wNqoBtVTU4tNjBsajdQRDQ"/>
    <s v="00020"/>
    <s v="24 de enero de 2017"/>
    <x v="1"/>
    <s v="10.000,00"/>
    <s v="Diez Mil Bolívares con 00/100"/>
  </r>
  <r>
    <n v="21"/>
    <m/>
    <s v="ü"/>
    <d v="2017-01-24T00:00:00"/>
    <n v="17000"/>
    <s v="Wu Hung Fung"/>
    <s v="carolinahung24@gmail.com"/>
    <s v="Calle Guacara Nro. 90-81"/>
    <s v="Cancelación Vigilancia, mes de Enero/2017"/>
    <x v="0"/>
    <s v="https://drive.google.com/open?id=0ByOb8wNqoBtVS3l5VmhmSjFmSVU"/>
    <s v="00021"/>
    <s v="24 de enero de 2017"/>
    <x v="1"/>
    <s v="17.000,00"/>
    <s v="Diecisiete Mil Bolívares con 00/100"/>
  </r>
  <r>
    <n v="22"/>
    <m/>
    <s v="ü"/>
    <d v="2017-01-25T00:00:00"/>
    <n v="2000"/>
    <s v="Familia Flores Montagne"/>
    <s v="namaricakes@gmail.com"/>
    <s v="Av. &quot;M&quot; Nro. 146-20"/>
    <s v="Colaboración Vigilancia, mes de Enero/2017"/>
    <x v="0"/>
    <s v="https://drive.google.com/open?id=0ByOb8wNqoBtVWUo3dWpkTk55NmM"/>
    <s v="00022"/>
    <s v="25 de enero de 2017"/>
    <x v="1"/>
    <s v="2.000,00"/>
    <s v="Dos Mil Bolívares con 00/100"/>
  </r>
  <r>
    <n v="23"/>
    <m/>
    <s v="ü"/>
    <d v="2017-01-25T00:00:00"/>
    <n v="6500"/>
    <s v="Familia Martínez Boada"/>
    <s v="florcitakmz@gmail.com"/>
    <s v="Calle Güigüe Nro. 88-62"/>
    <s v="Cancelación saldo Vigilancia, mes de Enero/2017"/>
    <x v="0"/>
    <s v="https://drive.google.com/open?id=0ByOb8wNqoBtVQmtEU3cxY0lSZkk"/>
    <s v="00023"/>
    <s v="25 de enero de 2017"/>
    <x v="1"/>
    <s v="6.500,00"/>
    <s v="Seis Mil Quinientos Bolívares con 00/100"/>
  </r>
  <r>
    <n v="24"/>
    <m/>
    <s v="ü"/>
    <d v="2017-01-25T00:00:00"/>
    <n v="17000"/>
    <s v="Familia Puerta Burguillos"/>
    <s v="namaricakes@gmail.com"/>
    <s v="Calle Guacara Nro. 87-100"/>
    <s v="Cancelación Vigilancia, mes de Enero/2017"/>
    <x v="0"/>
    <s v="https://drive.google.com/open?id=0ByOb8wNqoBtVYlZIVVZKODlkY2s"/>
    <s v="00024"/>
    <s v="25 de enero de 2017"/>
    <x v="1"/>
    <s v="17.000,00"/>
    <s v="Diecisiete Mil Bolívares con 00/100"/>
  </r>
  <r>
    <n v="25"/>
    <m/>
    <s v="ü"/>
    <d v="2017-01-26T00:00:00"/>
    <n v="17000"/>
    <s v="Beatriz Lara"/>
    <s v="valentina.gutierrez@hotmail.com"/>
    <s v="Calle Guacara Nro. 89-130"/>
    <s v="Cancelación Vigilancia, mes de Enero/2017"/>
    <x v="0"/>
    <s v="https://drive.google.com/open?id=0ByOb8wNqoBtVOGxVVDBFdjFoOEE"/>
    <s v="00025"/>
    <s v="26 de enero de 2017"/>
    <x v="1"/>
    <s v="17.000,00"/>
    <s v="Diecisiete Mil Bolívares con 00/100"/>
  </r>
  <r>
    <n v="26"/>
    <m/>
    <s v="ü"/>
    <d v="2017-01-27T00:00:00"/>
    <n v="17000"/>
    <s v="Familia Lomeña Agudo"/>
    <s v="claudialomena@hotmail.com"/>
    <s v="Calle Guacara Nro. 89-30"/>
    <s v="Cancelación Vigilancia, mes de Enero/2017"/>
    <x v="0"/>
    <s v="https://drive.google.com/open?id=0ByOb8wNqoBtVWWhHMFRzN19FMkE"/>
    <s v="00026"/>
    <s v="27 de enero de 2017"/>
    <x v="1"/>
    <s v="17.000,00"/>
    <s v="Diecisiete Mil Bolívares con 00/100"/>
  </r>
  <r>
    <n v="27"/>
    <m/>
    <s v="ü"/>
    <d v="2017-01-30T00:00:00"/>
    <n v="6500"/>
    <s v="Familia Fermín Rivas"/>
    <s v="angelferminb@gmail.com"/>
    <s v="Calle Güigüe Nro. 89-55"/>
    <s v="Cancelación saldo Vigilancia, mes de Enero/2017"/>
    <x v="0"/>
    <s v="https://drive.google.com/open?id=0ByOb8wNqoBtVaE9MMGtlUFp2OHM"/>
    <s v="00027"/>
    <s v="30 de enero de 2017"/>
    <x v="1"/>
    <s v="6.500,00"/>
    <s v="Seis Mil Quinientos Bolívares con 00/100"/>
  </r>
  <r>
    <n v="28"/>
    <m/>
    <s v="ü"/>
    <d v="2017-01-30T00:00:00"/>
    <n v="7488"/>
    <s v="Familia Fermín Rivas"/>
    <s v="angelferminb@gmail.com"/>
    <s v="Calle Güigüe Nro. 89-55"/>
    <s v="Anticipo Vigilancia, mes de Febero/2017"/>
    <x v="0"/>
    <s v="https://drive.google.com/open?id=0ByOb8wNqoBtVMWUwa3dUWW1rNjg"/>
    <s v="00028"/>
    <s v="30 de enero de 2017"/>
    <x v="1"/>
    <s v="7.488,00"/>
    <s v="Siete Mil Cuatrocientos Ochenta y Ocho Bolívares con 00/100"/>
  </r>
  <r>
    <n v="29"/>
    <m/>
    <s v="ü"/>
    <d v="2017-01-31T00:00:00"/>
    <n v="17000"/>
    <s v="Familia Ochoa Mendoza"/>
    <s v="marisoljudithm@hotmail.com"/>
    <s v="Calle Güigüe Nro. 89-105"/>
    <s v="Cancelación Vigilancia, mes de Enero/2017"/>
    <x v="0"/>
    <s v="https://drive.google.com/open?id=0ByOb8wNqoBtVTFo0NGg5NmJjTWM"/>
    <s v="00029"/>
    <s v="31 de enero de 2017"/>
    <x v="1"/>
    <s v="17.000,00"/>
    <s v="Diecisiete Mil Bolívares con 00/100"/>
  </r>
  <r>
    <n v="30"/>
    <m/>
    <s v="ü"/>
    <d v="2017-01-31T00:00:00"/>
    <n v="7960"/>
    <s v="Victoria Francischiello"/>
    <s v="victoriafrancischiello@hotmail.com"/>
    <s v="Calle Guacara Nro. 88-25"/>
    <s v="Colaboración Vigilancia, mes de Enero/2017"/>
    <x v="0"/>
    <s v="https://drive.google.com/open?id=0ByOb8wNqoBtVcjJtZUVZdEZrak0"/>
    <s v="00030"/>
    <s v="31 de enero de 2017"/>
    <x v="1"/>
    <s v="7.960,00"/>
    <s v="Siete Mil Novecientos Sesenta Bolívares con 00/100"/>
  </r>
  <r>
    <n v="31"/>
    <m/>
    <s v="ü"/>
    <d v="2017-02-01T00:00:00"/>
    <n v="17000"/>
    <s v="Familia Díaz González"/>
    <s v="luisrdt57@gmail.com"/>
    <s v="Calle Güigüe Nro. 88-116"/>
    <s v="Cancelación Vigilancia, mes de Enero/2017"/>
    <x v="0"/>
    <s v="https://drive.google.com/open?id=0ByOb8wNqoBtVZWtLcEtyMWxfV28"/>
    <s v="00031"/>
    <s v="01 de febrero de 2017"/>
    <x v="2"/>
    <s v="17.000,00"/>
    <s v="Diecisiete Mil Bolívares con 00/100"/>
  </r>
  <r>
    <n v="32"/>
    <m/>
    <s v="ü"/>
    <d v="2017-02-01T00:00:00"/>
    <n v="17000"/>
    <s v="Familia Navarro Assing"/>
    <s v="liliaassing@gmail.com"/>
    <s v="Calle Güigüe Nro. 88-54"/>
    <s v="Cancelación Vigilancia, mes de Enero/2017"/>
    <x v="0"/>
    <s v="https://drive.google.com/open?id=0ByOb8wNqoBtVYzd4OGlhTTFJTlU"/>
    <s v="00032"/>
    <s v="01 de febrero de 2017"/>
    <x v="2"/>
    <s v="17.000,00"/>
    <s v="Diecisiete Mil Bolívares con 00/100"/>
  </r>
  <r>
    <n v="33"/>
    <m/>
    <s v="ü"/>
    <d v="2017-02-01T00:00:00"/>
    <n v="10500"/>
    <s v="Familia Rodríguez Aular"/>
    <s v="mvaular@hotmail.com"/>
    <s v="Calle Güigüe Nro. 88-58"/>
    <s v="Colaboración Vigilancia, mes de Enero/2017"/>
    <x v="0"/>
    <s v="https://drive.google.com/open?id=0ByOb8wNqoBtVclJQNllLdEJPQXc"/>
    <s v="00033"/>
    <s v="01 de febrero de 2017"/>
    <x v="2"/>
    <s v="10.500,00"/>
    <s v="Diez Mil Quinientos Bolívares con 00/100"/>
  </r>
  <r>
    <n v="34"/>
    <m/>
    <s v="ü"/>
    <d v="2017-02-02T00:00:00"/>
    <n v="17000"/>
    <s v="Amarilis Guerra"/>
    <s v="amarilisguerra1@yahoo.com"/>
    <s v="Calle Güigüe Nro. 89-96"/>
    <s v="Cancelación Vigilancia, mes de Enero/2017"/>
    <x v="0"/>
    <s v="https://drive.google.com/open?id=0ByOb8wNqoBtVbTczRzFtWnRLVDg"/>
    <s v="00034"/>
    <s v="02 de febrero de 2017"/>
    <x v="2"/>
    <s v="17.000,00"/>
    <s v="Diecisiete Mil Bolívares con 00/100"/>
  </r>
  <r>
    <n v="35"/>
    <m/>
    <s v="ü"/>
    <d v="2017-02-02T00:00:00"/>
    <n v="17000"/>
    <s v="Anahiz Seijas"/>
    <s v="anahiz_2@hotmail.es"/>
    <s v="Calle Güigüe Nro. 89-106"/>
    <s v="Cancelación Vigilancia, mes de Enero/2017"/>
    <x v="0"/>
    <s v="https://drive.google.com/open?id=0ByOb8wNqoBtVempWaXRRMXprTkE"/>
    <s v="00035"/>
    <s v="02 de febrero de 2017"/>
    <x v="2"/>
    <s v="17.000,00"/>
    <s v="Diecisiete Mil Bolívares con 00/100"/>
  </r>
  <r>
    <n v="36"/>
    <m/>
    <s v="ü"/>
    <d v="2017-02-02T00:00:00"/>
    <n v="17000"/>
    <s v="Familia Durvelle Serrano"/>
    <s v="sdurvelle@hotmail.com"/>
    <s v="Calle Guacara Nro. 89-60"/>
    <s v="Cancelación Vigilancia, mes de Febrero/2017"/>
    <x v="0"/>
    <s v="https://drive.google.com/open?id=0ByOb8wNqoBtVQm9MS3FaU19uRDQ"/>
    <s v="00036"/>
    <s v="02 de febrero de 2017"/>
    <x v="2"/>
    <s v="17.000,00"/>
    <s v="Diecisiete Mil Bolívares con 00/100"/>
  </r>
  <r>
    <n v="37"/>
    <m/>
    <s v="ü"/>
    <d v="2017-02-02T00:00:00"/>
    <n v="3000"/>
    <s v="Ma. de Jesus Alonso"/>
    <s v="marjoriealonsoh@hotmail.com"/>
    <s v="Calle Güigüe Nro. 88-30"/>
    <s v="Colaboración Vigilancia, mes de Enero/2017"/>
    <x v="0"/>
    <s v="https://drive.google.com/open?id=0ByOb8wNqoBtVamduZWo4ZThvSUE"/>
    <s v="00037"/>
    <s v="02 de febrero de 2017"/>
    <x v="2"/>
    <s v="3.000,00"/>
    <s v="Tres Mil Bolívares con 00/100"/>
  </r>
  <r>
    <n v="38"/>
    <m/>
    <s v="ü"/>
    <d v="2017-02-03T00:00:00"/>
    <n v="17000"/>
    <s v="Familia Fernández Parés"/>
    <s v="vultecca@gmail.com"/>
    <s v="Calle Guacara Nro. 88-75"/>
    <s v="Cancelación Vigilancia, mes de Enero/2017"/>
    <x v="0"/>
    <s v="https://drive.google.com/open?id=0ByOb8wNqoBtVZVhicDRZalZyTVk"/>
    <s v="00038"/>
    <s v="03 de febrero de 2017"/>
    <x v="2"/>
    <s v="17.000,00"/>
    <s v="Diecisiete Mil Bolívares con 00/100"/>
  </r>
  <r>
    <n v="39"/>
    <m/>
    <s v="ü"/>
    <d v="2017-02-03T00:00:00"/>
    <n v="17000"/>
    <s v="Familia Sayago Peñaranda"/>
    <s v="alexissayago@gmail.com"/>
    <s v="Calle Güigüe Nro. 89-04"/>
    <s v="Cancelación Vigilancia, mes de Enero/2017"/>
    <x v="0"/>
    <s v="https://drive.google.com/open?id=0ByOb8wNqoBtVS2lTMnE2M0UzVW8"/>
    <s v="00039"/>
    <s v="03 de febrero de 2017"/>
    <x v="2"/>
    <s v="17.000,00"/>
    <s v="Diecisiete Mil Bolívares con 00/100"/>
  </r>
  <r>
    <n v="40"/>
    <m/>
    <s v="ü"/>
    <d v="2017-02-04T00:00:00"/>
    <n v="9512"/>
    <s v="Familia Fermín Rivas"/>
    <s v="angelferminb@gmail.com"/>
    <s v="Calle Güigüe Nro. 89-55"/>
    <s v="Cancelación saldo Vigilancia, mes de Febrero/2017"/>
    <x v="0"/>
    <s v="https://drive.google.com/open?id=0ByOb8wNqoBtVT1Qzd0hkN1g1OWs"/>
    <s v="00040"/>
    <s v="04 de febrero de 2017"/>
    <x v="2"/>
    <s v="9.512,00"/>
    <s v="Nueve Mil Quinientos Doce Bolívares con 00/100"/>
  </r>
  <r>
    <n v="41"/>
    <m/>
    <s v="ü"/>
    <d v="2017-02-05T00:00:00"/>
    <n v="5000"/>
    <s v="Chin Chun Ya (Goya)"/>
    <s v="uc2721@gmail.com"/>
    <s v="Calle Guacara Nro. 87-86"/>
    <s v="Colaboración Vigilancia, mes de Febrero/2017"/>
    <x v="0"/>
    <s v="https://drive.google.com/open?id=0ByOb8wNqoBtVVktmTlFfRDdlUGM"/>
    <s v="00041"/>
    <s v="05 de febrero de 2017"/>
    <x v="2"/>
    <s v="5.000,00"/>
    <s v="Cinco Mil Bolívares con 00/100"/>
  </r>
  <r>
    <n v="42"/>
    <m/>
    <s v="ü"/>
    <d v="2017-02-05T00:00:00"/>
    <n v="4000"/>
    <s v="Héctor Hernández"/>
    <s v="eof64@hotmail.com"/>
    <s v="Calle Guacara Nro. 89-94"/>
    <s v="Colaboración Vigilancia, mes de Enero/2017"/>
    <x v="0"/>
    <s v="https://drive.google.com/open?id=0ByOb8wNqoBtVNXZxU2VEOEt0RlU"/>
    <s v="00042"/>
    <s v="05 de febrero de 2017"/>
    <x v="2"/>
    <s v="4.000,00"/>
    <s v="Cuatro Mil Bolívares con 00/100"/>
  </r>
  <r>
    <n v="43"/>
    <m/>
    <s v="ü"/>
    <d v="2017-02-07T00:00:00"/>
    <n v="17000"/>
    <s v="Familia Colosso Delgado"/>
    <s v="mcolosso@gmail.com"/>
    <s v="Calle Güigüe Nro. 88-44"/>
    <s v="Cancelación Vigilancia, mes de Febrero/2017"/>
    <x v="0"/>
    <s v="https://drive.google.com/open?id=0ByOb8wNqoBtVUUtRcEp5REVFOUk"/>
    <s v="00043"/>
    <s v="07 de febrero de 2017"/>
    <x v="2"/>
    <s v="17.000,00"/>
    <s v="Diecisiete Mil Bolívares con 00/100"/>
  </r>
  <r>
    <n v="44"/>
    <m/>
    <s v="ü"/>
    <d v="2017-02-08T00:00:00"/>
    <n v="17000"/>
    <s v="Familia Kattar"/>
    <s v="jagiak123@yahoo.es"/>
    <s v="Calle Güigüe Nro. 89-95"/>
    <s v="Cancelación Vigilancia, mes de Enero/2017"/>
    <x v="0"/>
    <s v="https://drive.google.com/open?id=0ByOb8wNqoBtVaDZDQ2JQMkRIWjQ"/>
    <s v="00044"/>
    <s v="08 de febrero de 2017"/>
    <x v="2"/>
    <s v="17.000,00"/>
    <s v="Diecisiete Mil Bolívares con 00/100"/>
  </r>
  <r>
    <n v="45"/>
    <m/>
    <s v="ü"/>
    <d v="2017-02-08T00:00:00"/>
    <n v="12000"/>
    <s v="Familia Kattar"/>
    <s v="jagiak123@yahoo.es"/>
    <s v="Calle Güigüe Nro. 89-95"/>
    <s v="Anticipo Vigilancia, mes de Febero/2017"/>
    <x v="0"/>
    <s v="https://drive.google.com/open?id=0ByOb8wNqoBtVRDFXdWdqZF81b28"/>
    <s v="00045"/>
    <s v="08 de febrero de 2017"/>
    <x v="2"/>
    <s v="12.000,00"/>
    <s v="Doce Mil Bolívares con 00/100"/>
  </r>
  <r>
    <n v="46"/>
    <m/>
    <s v="ü"/>
    <d v="2017-02-08T00:00:00"/>
    <n v="17000"/>
    <s v="Familia Morales Sesar"/>
    <s v="moralesesar@gmail.com"/>
    <s v="Calle Güigüe Nro. 89-120"/>
    <s v="Cancelación Vigilancia, mes de Enero/2017"/>
    <x v="0"/>
    <s v="https://drive.google.com/open?id=0ByOb8wNqoBtVT0ZSd3ZWTVMybFE"/>
    <s v="00046"/>
    <s v="08 de febrero de 2017"/>
    <x v="2"/>
    <s v="17.000,00"/>
    <s v="Diecisiete Mil Bolívares con 00/100"/>
  </r>
  <r>
    <n v="47"/>
    <m/>
    <s v="ü"/>
    <d v="2017-02-08T00:00:00"/>
    <n v="2000"/>
    <s v="Familia Pérez Malpica"/>
    <s v="En Físico"/>
    <s v="Calle Güigüe Nro. 88-110"/>
    <s v="Colaboración Vigilancia, mes de Enero/2017"/>
    <x v="0"/>
    <s v="https://drive.google.com/open?id=0ByOb8wNqoBtVTGt0X2pvUXozaEU"/>
    <s v="00047"/>
    <s v="08 de febrero de 2017"/>
    <x v="2"/>
    <s v="2.000,00"/>
    <s v="Dos Mil Bolívares con 00/100"/>
  </r>
  <r>
    <n v="48"/>
    <m/>
    <s v="ü"/>
    <d v="2017-02-08T00:00:00"/>
    <n v="3000"/>
    <s v="Ma. de Jesus Alonso"/>
    <s v="marjoriealonsoh@hotmail.com"/>
    <s v="Calle Güigüe Nro. 88-30"/>
    <s v="Colaboración Vigilancia, mes de Febrero/2017"/>
    <x v="0"/>
    <s v="https://drive.google.com/open?id=0ByOb8wNqoBtVb0pxcE91dkRwNUk"/>
    <s v="00048"/>
    <s v="08 de febrero de 2017"/>
    <x v="2"/>
    <s v="3.000,00"/>
    <s v="Tres Mil Bolívares con 00/100"/>
  </r>
  <r>
    <n v="49"/>
    <m/>
    <s v="ü"/>
    <d v="2017-02-08T00:00:00"/>
    <n v="17000"/>
    <s v="Wu Hung Fung"/>
    <s v="carolinahung24@gmail.com"/>
    <s v="Calle Guacara Nro. 90-81"/>
    <s v="Cancelación Vigilancia, mes de Febrero/2017"/>
    <x v="0"/>
    <s v="https://drive.google.com/open?id=0ByOb8wNqoBtVb1VuTmFjUDNaME0"/>
    <s v="00049"/>
    <s v="08 de febrero de 2017"/>
    <x v="2"/>
    <s v="17.000,00"/>
    <s v="Diecisiete Mil Bolívares con 00/100"/>
  </r>
  <r>
    <n v="50"/>
    <m/>
    <s v="ü"/>
    <d v="2017-02-09T00:00:00"/>
    <n v="4500"/>
    <s v="Familia Herrera Guada"/>
    <s v="En Físico"/>
    <s v="Calle Güigüe Nro. 89-90"/>
    <s v="Colaboración Vigilancia, mes de Febrero/2017"/>
    <x v="0"/>
    <s v="https://drive.google.com/open?id=0ByOb8wNqoBtVaXZKdk1qOVM3Tjg"/>
    <s v="00050"/>
    <s v="09 de febrero de 2017"/>
    <x v="2"/>
    <s v="4.500,00"/>
    <s v="Cuatro Mil Quinientos Bolívares con 00/100"/>
  </r>
  <r>
    <n v="51"/>
    <m/>
    <s v="ü"/>
    <d v="2017-02-09T00:00:00"/>
    <n v="10500"/>
    <s v="Familia Hurtado"/>
    <s v="francisco_hurtado@hotmail.com"/>
    <s v="Av. &quot;O&quot; Nro. 146-11"/>
    <s v="Colaboración Vigilancia, mes de Enero/2017"/>
    <x v="0"/>
    <s v="https://drive.google.com/open?id=0ByOb8wNqoBtVN3BPaFhSVWZpTms"/>
    <s v="00051"/>
    <s v="09 de febrero de 2017"/>
    <x v="2"/>
    <s v="10.500,00"/>
    <s v="Diez Mil Quinientos Bolívares con 00/100"/>
  </r>
  <r>
    <n v="52"/>
    <m/>
    <s v="ü"/>
    <d v="2017-02-09T00:00:00"/>
    <n v="10000"/>
    <s v="Familia Kabblan"/>
    <s v="norisjsb56@hotmail.com"/>
    <s v="Calle Güigüe Nro. 89-80"/>
    <s v="Colaboración Vigilancia, mes de Enero/2017"/>
    <x v="0"/>
    <s v="https://drive.google.com/open?id=0ByOb8wNqoBtVdzdwOHk0RlotOEE"/>
    <s v="00052"/>
    <s v="09 de febrero de 2017"/>
    <x v="2"/>
    <s v="10.000,00"/>
    <s v="Diez Mil Bolívares con 00/100"/>
  </r>
  <r>
    <n v="53"/>
    <m/>
    <s v="ü"/>
    <d v="2017-02-11T00:00:00"/>
    <n v="17000"/>
    <s v="Familia Acosta"/>
    <s v="pablo962@hotmail.com"/>
    <s v="Calle Güigüe Nro. 89-10"/>
    <s v="Cancelación Vigilancia, mes de Enero/2017"/>
    <x v="0"/>
    <s v="https://drive.google.com/open?id=0ByOb8wNqoBtVYlNEMFVTUC1EUjg"/>
    <s v="00053"/>
    <s v="11 de febrero de 2017"/>
    <x v="2"/>
    <s v="17.000,00"/>
    <s v="Diecisiete Mil Bolívares con 00/100"/>
  </r>
  <r>
    <n v="54"/>
    <m/>
    <s v="ü"/>
    <d v="2017-02-12T00:00:00"/>
    <n v="17000"/>
    <s v="Familia Ferrer Bahri"/>
    <s v="bahrimariela@hotmail.com"/>
    <s v="Calle Güigüe Nro. 89-83"/>
    <s v="Cancelación Vigilancia, mes de Febrero/2017"/>
    <x v="0"/>
    <s v="https://drive.google.com/open?id=0ByOb8wNqoBtVWnlXMTFuSzA5dm8"/>
    <s v="00054"/>
    <s v="12 de febrero de 2017"/>
    <x v="2"/>
    <s v="17.000,00"/>
    <s v="Diecisiete Mil Bolívares con 00/100"/>
  </r>
  <r>
    <n v="55"/>
    <m/>
    <s v="ü"/>
    <d v="2017-02-12T00:00:00"/>
    <n v="17000"/>
    <s v="Familia González Arévalo"/>
    <s v="feryenis@hotmail.com"/>
    <s v="Calle Guacara Nro. 89-86"/>
    <s v="Cancelación Vigilancia, mes de Febrero/2017"/>
    <x v="0"/>
    <s v="https://drive.google.com/open?id=0ByOb8wNqoBtVR3NHX2RBVHdMRUE"/>
    <s v="00055"/>
    <s v="12 de febrero de 2017"/>
    <x v="2"/>
    <s v="17.000,00"/>
    <s v="Diecisiete Mil Bolívares con 00/100"/>
  </r>
  <r>
    <n v="56"/>
    <m/>
    <s v="ü"/>
    <d v="2017-02-12T00:00:00"/>
    <n v="2040"/>
    <s v="Victoria Francischiello"/>
    <s v="victoriafrancischiello@hotmail.com"/>
    <s v="Calle Guacara Nro. 88-25"/>
    <s v="Colaboración Vigilancia, mes de Enero/2017"/>
    <x v="0"/>
    <s v="https://drive.google.com/open?id=0ByOb8wNqoBtVOFV5X3hsb2tkLXc"/>
    <s v="00056"/>
    <s v="12 de febrero de 2017"/>
    <x v="2"/>
    <s v="2.040,00"/>
    <s v="Dos Mil Cuarenta Bolívares con 00/100"/>
  </r>
  <r>
    <n v="57"/>
    <m/>
    <s v="ü"/>
    <d v="2017-02-13T00:00:00"/>
    <n v="10000"/>
    <s v="Héctor Hernández"/>
    <s v="eof64@hotmail.com"/>
    <s v="Calle Guacara Nro. 89-94"/>
    <s v="Colaboración Vigilancia, mes de Febrero/2017"/>
    <x v="0"/>
    <s v="https://drive.google.com/open?id=0ByOb8wNqoBtVUjQ4Q0swVTVHZEU"/>
    <s v="00057"/>
    <s v="13 de febrero de 2017"/>
    <x v="2"/>
    <s v="10.000,00"/>
    <s v="Diez Mil Bolívares con 00/100"/>
  </r>
  <r>
    <n v="58"/>
    <m/>
    <s v="ü"/>
    <d v="2017-02-14T00:00:00"/>
    <n v="17000"/>
    <s v="Anahiz Seijas"/>
    <s v="anahiz_2@hotmail.es"/>
    <s v="Calle Güigüe Nro. 89-106"/>
    <s v="Cancelación Vigilancia, mes de Febrero/2017"/>
    <x v="0"/>
    <s v="https://drive.google.com/open?id=0ByOb8wNqoBtVdWRXdWdtZ1YwdXM"/>
    <s v="00058"/>
    <s v="14 de febrero de 2017"/>
    <x v="2"/>
    <s v="17.000,00"/>
    <s v="Diecisiete Mil Bolívares con 00/100"/>
  </r>
  <r>
    <n v="59"/>
    <m/>
    <s v="ü"/>
    <d v="2017-02-14T00:00:00"/>
    <n v="17000"/>
    <s v="Beatriz Lara"/>
    <s v="valentina.gutierrez@hotmail.com"/>
    <s v="Calle Guacara Nro. 89-130"/>
    <s v="Cancelación Vigilancia, mes de Febrero/2017"/>
    <x v="0"/>
    <s v="https://drive.google.com/open?id=0ByOb8wNqoBtVWHhMdUtYekJUV1U"/>
    <s v="00059"/>
    <s v="14 de febrero de 2017"/>
    <x v="2"/>
    <s v="17.000,00"/>
    <s v="Diecisiete Mil Bolívares con 00/100"/>
  </r>
  <r>
    <n v="60"/>
    <m/>
    <s v="ü"/>
    <d v="2017-02-14T00:00:00"/>
    <n v="34000"/>
    <s v="Familia Del Negro Palermo"/>
    <s v="vdelnegro@gmail.com"/>
    <s v="Calle Guacara Nro. 88-45"/>
    <s v="Cancelación Vigilancia, meses de Feb-Mar/2017"/>
    <x v="0"/>
    <s v="https://drive.google.com/open?id=0ByOb8wNqoBtVM2ZQQjdkOVV6UVE"/>
    <s v="00060"/>
    <s v="14 de febrero de 2017"/>
    <x v="2"/>
    <s v="34.000,00"/>
    <s v="Treinta y Cuatro Mil Bolívares con 00/100"/>
  </r>
  <r>
    <n v="61"/>
    <m/>
    <s v="ü"/>
    <d v="2017-02-14T00:00:00"/>
    <n v="17000"/>
    <s v="Familia Il Grande Franceschi"/>
    <s v="arcifran75@hotmail.com"/>
    <s v="Av. &quot;I&quot; Nro. 146-40"/>
    <s v="Cancelación Vigilancia, mes de Enero/2017"/>
    <x v="0"/>
    <s v="https://drive.google.com/open?id=0ByOb8wNqoBtVQWlFM0g0XzIxcU0"/>
    <s v="00061"/>
    <s v="14 de febrero de 2017"/>
    <x v="2"/>
    <s v="17.000,00"/>
    <s v="Diecisiete Mil Bolívares con 00/100"/>
  </r>
  <r>
    <n v="62"/>
    <m/>
    <s v="ü"/>
    <d v="2017-02-14T00:00:00"/>
    <n v="17000"/>
    <s v="Familia Nava Gordon"/>
    <s v="maru_19_66@hotmail.com"/>
    <s v="Calle Guacara Nro. 89-78"/>
    <s v="Cancelación Vigilancia, mes de Enero/2017"/>
    <x v="0"/>
    <s v="https://drive.google.com/open?id=0ByOb8wNqoBtVTGhxT2p0M2pybG8"/>
    <s v="00062"/>
    <s v="14 de febrero de 2017"/>
    <x v="2"/>
    <s v="17.000,00"/>
    <s v="Diecisiete Mil Bolívares con 00/100"/>
  </r>
  <r>
    <n v="63"/>
    <m/>
    <s v="ü"/>
    <d v="2017-02-14T00:00:00"/>
    <n v="17000"/>
    <s v="Familia Ochoa Mendoza"/>
    <s v="marisoljudithm@hotmail.com"/>
    <s v="Calle Güigüe Nro. 89-105"/>
    <s v="Cancelación Vigilancia, mes de Febrero/2017"/>
    <x v="0"/>
    <s v="https://drive.google.com/open?id=0ByOb8wNqoBtVWF9BSkxwOHgzMDA"/>
    <s v="00063"/>
    <s v="14 de febrero de 2017"/>
    <x v="2"/>
    <s v="17.000,00"/>
    <s v="Diecisiete Mil Bolívares con 00/100"/>
  </r>
  <r>
    <n v="64"/>
    <m/>
    <s v="ü"/>
    <d v="2017-02-15T00:00:00"/>
    <n v="17000"/>
    <s v="Familia Astor Zamora"/>
    <s v="imzastor@gmail.com"/>
    <s v="Calle Güigüe Nro. 88-111"/>
    <s v="Cancelación Vigilancia, mes de Enero/2017"/>
    <x v="0"/>
    <s v="https://drive.google.com/open?id=0ByOb8wNqoBtVUnJDbUZaZ3k2NDQ"/>
    <s v="00064"/>
    <s v="15 de febrero de 2017"/>
    <x v="2"/>
    <s v="17.000,00"/>
    <s v="Diecisiete Mil Bolívares con 00/100"/>
  </r>
  <r>
    <n v="65"/>
    <m/>
    <s v="ü"/>
    <d v="2017-02-15T00:00:00"/>
    <n v="17000"/>
    <s v="Familia Barreto Pérez"/>
    <s v="bbetsa19@hotmail.com"/>
    <s v="Av. &quot;M&quot; Nro. 146-15"/>
    <s v="Cancelación Vigilancia, mes de Febrero/2017"/>
    <x v="0"/>
    <s v="https://drive.google.com/open?id=0ByOb8wNqoBtVVDhUS2R2Z2xoWTg"/>
    <s v="00065"/>
    <s v="15 de febrero de 2017"/>
    <x v="2"/>
    <s v="17.000,00"/>
    <s v="Diecisiete Mil Bolívares con 00/100"/>
  </r>
  <r>
    <n v="66"/>
    <m/>
    <s v="ü"/>
    <d v="2017-02-15T00:00:00"/>
    <n v="17000"/>
    <s v="Familia Castillo Mena"/>
    <s v="emmecas@hotmail.com"/>
    <s v="Calle Güigüe Nro. 88-101"/>
    <s v="Cancelación Vigilancia, mes de Enero/2017"/>
    <x v="0"/>
    <s v="https://drive.google.com/open?id=0ByOb8wNqoBtVTlB1OEItUXRHYk0"/>
    <s v="00066"/>
    <s v="15 de febrero de 2017"/>
    <x v="2"/>
    <s v="17.000,00"/>
    <s v="Diecisiete Mil Bolívares con 00/100"/>
  </r>
  <r>
    <n v="67"/>
    <m/>
    <s v="ü"/>
    <d v="2017-02-15T00:00:00"/>
    <n v="17000"/>
    <s v="Familia Castillo Rodríguez"/>
    <s v="vesperanzacastillor@gmail.com"/>
    <s v="Calle Güigüe Nro. 88-91"/>
    <s v="Cancelación Vigilancia, mes de Enero/2017"/>
    <x v="0"/>
    <s v="https://drive.google.com/open?id=0ByOb8wNqoBtVakxqRFctYlFad0U"/>
    <s v="00067"/>
    <s v="15 de febrero de 2017"/>
    <x v="2"/>
    <s v="17.000,00"/>
    <s v="Diecisiete Mil Bolívares con 00/100"/>
  </r>
  <r>
    <n v="68"/>
    <m/>
    <s v="ü"/>
    <d v="2017-02-15T00:00:00"/>
    <n v="34000"/>
    <s v="Familia López Hermoso"/>
    <s v="lopez.humberto14@yahoo.com.ve"/>
    <s v="Calle Güigüe Nro. 89-79"/>
    <s v="Cancelación Vigilancia, meses de Ene-Feb/2017"/>
    <x v="0"/>
    <s v="https://drive.google.com/open?id=0ByOb8wNqoBtVNFRlVVkyeENWb3c"/>
    <s v="00068"/>
    <s v="15 de febrero de 2017"/>
    <x v="2"/>
    <s v="34.000,00"/>
    <s v="Treinta y Cuatro Mil Bolívares con 00/100"/>
  </r>
  <r>
    <n v="69"/>
    <m/>
    <s v="ü"/>
    <d v="2017-02-15T00:00:00"/>
    <n v="10000"/>
    <s v="Victoria Francischiello"/>
    <s v="victoriafrancischiello@hotmail.com"/>
    <s v="Calle Guacara Nro. 88-25"/>
    <s v="Colaboración Vigilancia, mes de Febrero/2017"/>
    <x v="0"/>
    <s v="https://drive.google.com/open?id=0ByOb8wNqoBtVSG1iQnZKWnJRTGM"/>
    <s v="00069"/>
    <s v="15 de febrero de 2017"/>
    <x v="2"/>
    <s v="10.000,00"/>
    <s v="Diez Mil Bolívares con 00/100"/>
  </r>
  <r>
    <n v="70"/>
    <m/>
    <s v="û"/>
    <d v="2017-02-16T00:00:00"/>
    <n v="170000"/>
    <s v="Familia Del Negro Palermo"/>
    <s v="vdelnegro@gmail.com"/>
    <s v="Calle Guacara Nro. 88-45"/>
    <s v="Anticipo Vigilancia y compra de control"/>
    <x v="1"/>
    <s v="https://drive.google.com/open?id=0ByOb8wNqoBtVbWtSbzJfSnl2NkE"/>
    <s v="00070"/>
    <s v="16 de febrero de 2017"/>
    <x v="2"/>
    <s v="170.000,00"/>
    <s v="Ciento Setenta Mil Bolívares con 00/100"/>
  </r>
  <r>
    <n v="71"/>
    <m/>
    <s v="ü"/>
    <d v="2017-02-16T00:00:00"/>
    <n v="17000"/>
    <s v="Familia Fernández Parés"/>
    <s v="vultecca@gmail.com"/>
    <s v="Calle Guacara Nro. 88-75"/>
    <s v="Cancelación Vigilancia, mes de Febrero/2017"/>
    <x v="0"/>
    <s v="https://drive.google.com/open?id=0ByOb8wNqoBtVdXUwLVFWVWlEUDA"/>
    <s v="00071"/>
    <s v="16 de febrero de 2017"/>
    <x v="2"/>
    <s v="17.000,00"/>
    <s v="Diecisiete Mil Bolívares con 00/100"/>
  </r>
  <r>
    <n v="72"/>
    <m/>
    <s v="ü"/>
    <d v="2017-02-16T00:00:00"/>
    <n v="17000"/>
    <s v="Familia Jiménez Navarro"/>
    <s v="joyasonline2012@gmail.com"/>
    <s v="Calle Güigüe Nro. 88-50"/>
    <s v="Cancelación Vigilancia, mes de Enero/2017"/>
    <x v="0"/>
    <s v="https://drive.google.com/open?id=0ByOb8wNqoBtVUllDQVNEdWdNVjg"/>
    <s v="00072"/>
    <s v="16 de febrero de 2017"/>
    <x v="2"/>
    <s v="17.000,00"/>
    <s v="Diecisiete Mil Bolívares con 00/100"/>
  </r>
  <r>
    <n v="73"/>
    <m/>
    <s v="ü"/>
    <d v="2017-02-16T00:00:00"/>
    <n v="17000"/>
    <s v="Familia Lomeña Agudo"/>
    <s v="claudialomena@hotmail.com"/>
    <s v="Calle Guacara Nro. 89-30"/>
    <s v="Cancelación Vigilancia, mes de Febrero/2017"/>
    <x v="0"/>
    <s v="https://drive.google.com/open?id=0ByOb8wNqoBtVcDFJWTY3dkhSZWc"/>
    <s v="00073"/>
    <s v="16 de febrero de 2017"/>
    <x v="2"/>
    <s v="17.000,00"/>
    <s v="Diecisiete Mil Bolívares con 00/100"/>
  </r>
  <r>
    <n v="74"/>
    <m/>
    <s v="ü"/>
    <d v="2017-02-17T00:00:00"/>
    <n v="17000"/>
    <s v="Familia Navarro Assing"/>
    <s v="liliaassing@gmail.com"/>
    <s v="Calle Güigüe Nro. 88-54"/>
    <s v="Cancelación Vigilancia, mes de Febrero/2017"/>
    <x v="0"/>
    <s v="https://drive.google.com/open?id=0ByOb8wNqoBtVcWc4NWNJMzBqakE"/>
    <s v="00074"/>
    <s v="17 de febrero de 2017"/>
    <x v="2"/>
    <s v="17.000,00"/>
    <s v="Diecisiete Mil Bolívares con 00/100"/>
  </r>
  <r>
    <n v="75"/>
    <m/>
    <s v="ü"/>
    <d v="2017-02-17T00:00:00"/>
    <n v="17000"/>
    <s v="Familia Nava Gordon"/>
    <s v="maru_19_66@hotmail.com"/>
    <s v="Calle Guacara Nro. 89-78"/>
    <s v="Cancelación Vigilancia, mes de Febrero/2017"/>
    <x v="0"/>
    <s v="https://drive.google.com/open?id=0ByOb8wNqoBtVRG13cEJ2M3poNFk"/>
    <s v="00075"/>
    <s v="17 de febrero de 2017"/>
    <x v="2"/>
    <s v="17.000,00"/>
    <s v="Diecisiete Mil Bolívares con 00/100"/>
  </r>
  <r>
    <n v="76"/>
    <m/>
    <s v="ü"/>
    <d v="2017-02-18T00:00:00"/>
    <n v="17000"/>
    <s v="Familia Arcia Polanco"/>
    <s v="misipo29@gmail.com"/>
    <s v="Calle Guacara Nro. 89-20"/>
    <s v="Cancelación Vigilancia, mes de Febrero/2017"/>
    <x v="0"/>
    <s v="https://drive.google.com/open?id=0ByOb8wNqoBtVR0hrSGxIT3dpNkk"/>
    <s v="00076"/>
    <s v="18 de febrero de 2017"/>
    <x v="2"/>
    <s v="17.000,00"/>
    <s v="Diecisiete Mil Bolívares con 00/100"/>
  </r>
  <r>
    <n v="77"/>
    <m/>
    <s v="ü"/>
    <d v="2017-02-18T00:00:00"/>
    <n v="17000"/>
    <s v="Familia Castro Jiménez"/>
    <s v="0426-543.4303"/>
    <s v="Calle Guacara Nro. 90-51"/>
    <s v="Cancelación Vigilancia, mes de Febrero/2017"/>
    <x v="0"/>
    <s v="https://drive.google.com/open?id=0ByOb8wNqoBtVSTZKZWhwQ1hZODA"/>
    <s v="00077"/>
    <s v="18 de febrero de 2017"/>
    <x v="2"/>
    <s v="17.000,00"/>
    <s v="Diecisiete Mil Bolívares con 00/100"/>
  </r>
  <r>
    <n v="78"/>
    <m/>
    <s v="ü"/>
    <d v="2017-02-18T00:00:00"/>
    <n v="14000"/>
    <s v="Familia Manrique Riera"/>
    <s v="patriciamanrique@gmail.com"/>
    <s v="Calle Guacara Nro. 89-40"/>
    <s v="Anticipo Vigilancia, mes de Enero/2017"/>
    <x v="0"/>
    <s v="https://drive.google.com/open?id=0ByOb8wNqoBtVM2RKU0ZLUldzR1U"/>
    <s v="00078"/>
    <s v="18 de febrero de 2017"/>
    <x v="2"/>
    <s v="14.000,00"/>
    <s v="Catorce Mil Bolívares con 00/100"/>
  </r>
  <r>
    <n v="79"/>
    <m/>
    <s v="ü"/>
    <d v="2017-02-18T00:00:00"/>
    <n v="10000"/>
    <s v="Familia Narváez Caldera"/>
    <s v="jeannette_nc@yahoo.com"/>
    <s v="Calle Güigüe Nro. 87-A-11"/>
    <s v="Anticipo Vigilancia, mes de Enero/2017"/>
    <x v="0"/>
    <s v="https://drive.google.com/open?id=0ByOb8wNqoBtVeTdod09mT0JMdnc"/>
    <s v="00079"/>
    <s v="18 de febrero de 2017"/>
    <x v="2"/>
    <s v="10.000,00"/>
    <s v="Diez Mil Bolívares con 00/100"/>
  </r>
  <r>
    <n v="80"/>
    <m/>
    <s v="ü"/>
    <d v="2017-02-18T00:00:00"/>
    <n v="17000"/>
    <s v="Familia Sayago Peñaranda"/>
    <s v="alexissayago@gmail.com"/>
    <s v="Calle Güigüe Nro. 89-04"/>
    <s v="Cancelación Vigilancia, mes de Febrero/2017"/>
    <x v="0"/>
    <s v="https://drive.google.com/open?id=0ByOb8wNqoBtVOFNfaUFxSXA2MFk"/>
    <s v="00080"/>
    <s v="18 de febrero de 2017"/>
    <x v="2"/>
    <s v="17.000,00"/>
    <s v="Diecisiete Mil Bolívares con 00/100"/>
  </r>
  <r>
    <n v="81"/>
    <m/>
    <s v="ü"/>
    <d v="2017-02-18T00:00:00"/>
    <n v="34000"/>
    <s v="Familia Scabuzzo Gómez"/>
    <s v="sfscabuzzo@msn.com"/>
    <s v="Av. &quot;I&quot; Nro. 146-20"/>
    <s v="Cancelación Vigilancia, meses de Ene-Feb/2017"/>
    <x v="0"/>
    <s v="https://drive.google.com/open?id=0ByOb8wNqoBtVbGFhMEVMdDkwS2M"/>
    <s v="00081"/>
    <s v="18 de febrero de 2017"/>
    <x v="2"/>
    <s v="34.000,00"/>
    <s v="Treinta y Cuatro Mil Bolívares con 00/100"/>
  </r>
  <r>
    <n v="82"/>
    <m/>
    <s v="ü"/>
    <d v="2017-02-19T00:00:00"/>
    <n v="6000"/>
    <s v="Zoraida Khair"/>
    <s v="zorakhair@hotmail.com"/>
    <s v="Calle Güigüe Nro. 88-80"/>
    <s v="Colaboración Vigilancia, mes de Febrero/2017"/>
    <x v="0"/>
    <s v="https://drive.google.com/open?id=0ByOb8wNqoBtVTm16QVpmaGpjcDg"/>
    <s v="00082"/>
    <s v="19 de febrero de 2017"/>
    <x v="2"/>
    <s v="6.000,00"/>
    <s v="Seis Mil Bolívares con 00/100"/>
  </r>
  <r>
    <n v="83"/>
    <m/>
    <s v="ü"/>
    <d v="2017-02-20T00:00:00"/>
    <n v="2000"/>
    <s v="Familia Flores Montagne"/>
    <s v="namaricakes@gmail.com"/>
    <s v="Av. &quot;M&quot; Nro. 146-20"/>
    <s v="Colaboración Vigilancia, mes de Febrero/2017"/>
    <x v="0"/>
    <s v="https://drive.google.com/open?id=0ByOb8wNqoBtVbzFKV21LSDBaMTQ"/>
    <s v="00083"/>
    <s v="20 de febrero de 2017"/>
    <x v="2"/>
    <s v="2.000,00"/>
    <s v="Dos Mil Bolívares con 00/100"/>
  </r>
  <r>
    <n v="84"/>
    <m/>
    <s v="ü"/>
    <d v="2017-02-20T00:00:00"/>
    <n v="17000"/>
    <s v="Familia Jiménez Navarro"/>
    <s v="joyasonline2012@gmail.com"/>
    <s v="Calle Güigüe Nro. 88-50"/>
    <s v="Cancelación Vigilancia, mes de Febrero/2017"/>
    <x v="0"/>
    <s v="https://drive.google.com/open?id=0ByOb8wNqoBtVblhXQTV6U0ZQN2s"/>
    <s v="00084"/>
    <s v="20 de febrero de 2017"/>
    <x v="2"/>
    <s v="17.000,00"/>
    <s v="Diecisiete Mil Bolívares con 00/100"/>
  </r>
  <r>
    <n v="85"/>
    <m/>
    <s v="ü"/>
    <d v="2017-02-20T00:00:00"/>
    <n v="10000"/>
    <s v="Familia Kabblan"/>
    <s v="norisjsb56@hotmail.com"/>
    <s v="Calle Güigüe Nro. 89-80"/>
    <s v="Colaboración Vigilancia, mes de Febrero/2017"/>
    <x v="0"/>
    <s v="https://drive.google.com/open?id=0ByOb8wNqoBtVYjBuQ3lYdlJqM2M"/>
    <s v="00085"/>
    <s v="20 de febrero de 2017"/>
    <x v="2"/>
    <s v="10.000,00"/>
    <s v="Diez Mil Bolívares con 00/100"/>
  </r>
  <r>
    <n v="86"/>
    <m/>
    <s v="ü"/>
    <d v="2017-02-20T00:00:00"/>
    <n v="17000"/>
    <s v="Familia Matta Palomino"/>
    <s v="normaapm@hotmail.com"/>
    <s v="Calle Güigüe Nro. 88-90"/>
    <s v="Cancelación Vigilancia, mes de Febrero/2017"/>
    <x v="0"/>
    <s v="https://drive.google.com/open?id=0ByOb8wNqoBtVdTZiMWp5M1djRlE"/>
    <s v="00086"/>
    <s v="20 de febrero de 2017"/>
    <x v="2"/>
    <s v="17.000,00"/>
    <s v="Diecisiete Mil Bolívares con 00/100"/>
  </r>
  <r>
    <n v="87"/>
    <m/>
    <s v="ü"/>
    <d v="2017-02-20T00:00:00"/>
    <n v="17000"/>
    <s v="Familia Puerta Burguillos"/>
    <s v="namaricakes@gmail.com"/>
    <s v="Calle Guacara Nro. 87-100"/>
    <s v="Cancelación Vigilancia, mes de Febrero/2017"/>
    <x v="0"/>
    <s v="https://drive.google.com/open?id=0ByOb8wNqoBtVeHJtMFp0d3Zxd0k"/>
    <s v="00087"/>
    <s v="20 de febrero de 2017"/>
    <x v="2"/>
    <s v="17.000,00"/>
    <s v="Diecisiete Mil Bolívares con 00/100"/>
  </r>
  <r>
    <n v="88"/>
    <m/>
    <s v="ü"/>
    <d v="2017-02-22T00:00:00"/>
    <n v="34000"/>
    <s v="Ana de González"/>
    <s v="mikelnowak25@gmail.com"/>
    <s v="Av. &quot;O&quot; Nro. 146-17"/>
    <s v="Cancelación Vigilancia, meses de Ene-Feb/2017"/>
    <x v="0"/>
    <s v="https://drive.google.com/open?id=0ByOb8wNqoBtVTmhhUDVjeEk4VTg"/>
    <s v="00088"/>
    <s v="22 de febrero de 2017"/>
    <x v="2"/>
    <s v="34.000,00"/>
    <s v="Treinta y Cuatro Mil Bolívares con 00/100"/>
  </r>
  <r>
    <n v="89"/>
    <m/>
    <s v="ü"/>
    <d v="2017-02-22T00:00:00"/>
    <n v="34000"/>
    <s v="Familia Loponte Arteaga"/>
    <s v="nancyloponte@hotmail.com"/>
    <s v="Calle Güigüe Nro. 88-120"/>
    <s v="Cancelación Vigilancia, meses de Feb-Mar/2017"/>
    <x v="0"/>
    <s v="https://drive.google.com/open?id=0ByOb8wNqoBtVMVAxRHh5N0RINDA"/>
    <s v="00089"/>
    <s v="22 de febrero de 2017"/>
    <x v="2"/>
    <s v="34.000,00"/>
    <s v="Treinta y Cuatro Mil Bolívares con 00/100"/>
  </r>
  <r>
    <n v="90"/>
    <m/>
    <s v="ü"/>
    <d v="2017-02-23T00:00:00"/>
    <n v="17000"/>
    <s v="Amarilis Guerra"/>
    <s v="amarilisguerra1@yahoo.com"/>
    <s v="Calle Güigüe Nro. 89-96"/>
    <s v="Cancelación Vigilancia, mes de Febrero/2017"/>
    <x v="0"/>
    <s v="https://drive.google.com/open?id=0ByOb8wNqoBtVbmRuMUwxWTU0dE0"/>
    <s v="00090"/>
    <s v="23 de febrero de 2017"/>
    <x v="2"/>
    <s v="17.000,00"/>
    <s v="Diecisiete Mil Bolívares con 00/100"/>
  </r>
  <r>
    <n v="91"/>
    <m/>
    <s v="ü"/>
    <d v="2017-02-23T00:00:00"/>
    <n v="10500"/>
    <s v="Familia Hoyte Rafmari"/>
    <s v="0412-741.3242"/>
    <s v="Av. &quot;I&quot; Nro. 146-30"/>
    <s v="Colaboración Vigilancia, mes de Enero/2017"/>
    <x v="0"/>
    <s v="https://drive.google.com/open?id=0ByOb8wNqoBtVMC1WZ3ZxQlNDdnM"/>
    <s v="00091"/>
    <s v="23 de febrero de 2017"/>
    <x v="2"/>
    <s v="10.500,00"/>
    <s v="Diez Mil Quinientos Bolívares con 00/100"/>
  </r>
  <r>
    <n v="92"/>
    <m/>
    <s v="ü"/>
    <d v="2017-02-23T00:00:00"/>
    <n v="17000"/>
    <s v="Familia Morales Sesar"/>
    <s v="moralesesar@gmail.com"/>
    <s v="Calle Güigüe Nro. 89-120"/>
    <s v="Cancelación Vigilancia, mes de Febrero/2017"/>
    <x v="0"/>
    <s v="https://drive.google.com/open?id=0ByOb8wNqoBtVY3BmbmVXU1BhRGc"/>
    <s v="00092"/>
    <s v="23 de febrero de 2017"/>
    <x v="2"/>
    <s v="17.000,00"/>
    <s v="Diecisiete Mil Bolívares con 00/100"/>
  </r>
  <r>
    <n v="93"/>
    <m/>
    <s v="ü"/>
    <d v="2017-02-24T00:00:00"/>
    <n v="20000"/>
    <s v="Familia García Hurtado"/>
    <s v="0414-241.8055"/>
    <s v="Calle Guacara Nro. 90-110"/>
    <s v="Colaboración Vigilancia, meses de Enero y Febrero/2017"/>
    <x v="0"/>
    <s v="https://drive.google.com/open?id=0ByOb8wNqoBtVODlZNnBTM1Z6NlU"/>
    <s v="00093"/>
    <s v="24 de febrero de 2017"/>
    <x v="2"/>
    <s v="20.000,00"/>
    <s v="Veinte Mil Bolívares con 00/100"/>
  </r>
  <r>
    <n v="94"/>
    <m/>
    <s v="ü"/>
    <d v="2017-02-24T00:00:00"/>
    <n v="16000"/>
    <s v="Familia Jiménez Salvatierra"/>
    <s v="0414-582.8909"/>
    <s v="Calle Güigüe Nro. 89-45"/>
    <s v="Anticipo Vigilancia, mes de Enero/2017"/>
    <x v="0"/>
    <s v="https://drive.google.com/open?id=0ByOb8wNqoBtVWHVhTFJKcGZHWUk"/>
    <s v="00094"/>
    <s v="24 de febrero de 2017"/>
    <x v="2"/>
    <s v="16.000,00"/>
    <s v="Dieciséis Mil Bolívares con 00/100"/>
  </r>
  <r>
    <n v="95"/>
    <m/>
    <s v="ü"/>
    <d v="2017-02-23T00:00:00"/>
    <n v="20000"/>
    <s v="Familia Zavarce Barón"/>
    <s v="0414-241.8055"/>
    <s v="Calle Guacara Nro. 88-91"/>
    <s v="Colaboración Vigilancia, meses de Enero y Febrero/2017"/>
    <x v="0"/>
    <s v="https://drive.google.com/open?id=0ByOb8wNqoBtVRHRIOGp5T3BLbmc"/>
    <s v="00095"/>
    <s v="23 de febrero de 2017"/>
    <x v="2"/>
    <s v="20.000,00"/>
    <s v="Veinte Mil Bolívares con 00/100"/>
  </r>
  <r>
    <n v="96"/>
    <m/>
    <s v="ü"/>
    <d v="2017-02-24T00:00:00"/>
    <n v="34000"/>
    <s v="Familia Piñero Padilla"/>
    <s v="achepaul2005@hotmail.com"/>
    <s v="Calle Güigüe Nro. 89-21"/>
    <s v="Cancelación Vigilancia, meses de Ene-Feb/2017"/>
    <x v="0"/>
    <s v="https://drive.google.com/open?id=0ByOb8wNqoBtVOE52UWMwV2J5ajg"/>
    <s v="00096"/>
    <s v="24 de febrero de 2017"/>
    <x v="2"/>
    <s v="34.000,00"/>
    <s v="Treinta y Cuatro Mil Bolívares con 00/100"/>
  </r>
  <r>
    <n v="97"/>
    <m/>
    <s v="ü"/>
    <d v="2017-02-24T00:00:00"/>
    <n v="3000"/>
    <s v="Silvia Power"/>
    <s v="spowermeneses@gmail.com"/>
    <s v="Calle Güigüe Nro. 89-16"/>
    <s v="Colaboración Vigilancia, meses de Ene-Feb/2017"/>
    <x v="0"/>
    <s v="https://drive.google.com/open?id=0ByOb8wNqoBtVd01iVE5RNTlwbXM"/>
    <s v="00097"/>
    <s v="24 de febrero de 2017"/>
    <x v="2"/>
    <s v="3.000,00"/>
    <s v="Tres Mil Bolívares con 00/100"/>
  </r>
  <r>
    <n v="98"/>
    <m/>
    <s v="ü"/>
    <d v="2017-02-25T00:00:00"/>
    <n v="20000"/>
    <s v="Familia Gascón Domínguez"/>
    <s v="vrgascon@gmail.com"/>
    <s v="Calle Güigüe Nro. 88-70"/>
    <s v="Colaboración Vigilancia, meses de Ene-Feb/2017"/>
    <x v="0"/>
    <s v="https://drive.google.com/open?id=0ByOb8wNqoBtVSnQtSDhQbFktRmc"/>
    <s v="00098"/>
    <s v="25 de febrero de 2017"/>
    <x v="2"/>
    <s v="20.000,00"/>
    <s v="Veinte Mil Bolívares con 00/100"/>
  </r>
  <r>
    <n v="99"/>
    <m/>
    <s v="ü"/>
    <d v="2017-02-25T00:00:00"/>
    <n v="10500"/>
    <s v="Familia Méndez Parra"/>
    <s v="briceidamp@hotmail.com"/>
    <s v="Calle Guacara Nro. 88-19"/>
    <s v="Colaboración Vigilancia, mes de Febrero/2017"/>
    <x v="0"/>
    <s v="https://drive.google.com/open?id=0ByOb8wNqoBtVTllwTk1GcEZFZVE"/>
    <s v="00099"/>
    <s v="25 de febrero de 2017"/>
    <x v="2"/>
    <s v="10.500,00"/>
    <s v="Diez Mil Quinientos Bolívares con 00/100"/>
  </r>
  <r>
    <n v="100"/>
    <m/>
    <s v="ü"/>
    <d v="2017-03-01T00:00:00"/>
    <n v="14200"/>
    <s v="Familia Puerta Burguillos"/>
    <s v="namaricakes@gmail.com"/>
    <s v="Calle Guacara Nro. 87-100"/>
    <s v="Anticipo Vigilancia, mes de Marzo/2017"/>
    <x v="0"/>
    <s v="https://drive.google.com/open?id=0ByOb8wNqoBtVSTY3V2lRMUxyTzQ"/>
    <s v="00100"/>
    <s v="01 de marzo de 2017"/>
    <x v="3"/>
    <s v="14.200,00"/>
    <s v="Catorce Mil Doscientos Bolívares con 00/100"/>
  </r>
  <r>
    <n v="101"/>
    <m/>
    <s v="ü"/>
    <d v="2017-03-02T00:00:00"/>
    <n v="6000"/>
    <s v="Familia Rivero"/>
    <s v="En Físico"/>
    <s v="Calle Güigüe Nro. 88-40"/>
    <s v="Colaboración Vigilancia, meses de Ene-Feb/2017"/>
    <x v="0"/>
    <s v="https://drive.google.com/open?id=0ByOb8wNqoBtVU1lmUmtjYmFJOEU"/>
    <s v="00101"/>
    <s v="02 de marzo de 2017"/>
    <x v="3"/>
    <s v="6.000,00"/>
    <s v="Seis Mil Bolívares con 00/100"/>
  </r>
  <r>
    <n v="102"/>
    <m/>
    <s v="ü"/>
    <d v="2017-03-02T00:00:00"/>
    <n v="17000"/>
    <s v="Wu Hung Fung"/>
    <s v="carolinahung24@gmail.com"/>
    <s v="Calle Guacara Nro. 90-81"/>
    <s v="Cancelación Vigilancia, mes de Marzo/2017"/>
    <x v="0"/>
    <s v="https://drive.google.com/open?id=0ByOb8wNqoBtVXzBQUk5oOTdOdnc"/>
    <s v="00102"/>
    <s v="02 de marzo de 2017"/>
    <x v="3"/>
    <s v="17.000,00"/>
    <s v="Diecisiete Mil Bolívares con 00/100"/>
  </r>
  <r>
    <n v="103"/>
    <m/>
    <s v="ü"/>
    <d v="2017-03-02T00:00:00"/>
    <n v="2000"/>
    <s v="Wu Hung Fung"/>
    <s v="carolinahung24@gmail.com"/>
    <s v="Calle Guacara Nro. 90-81"/>
    <s v="Donación Vigilancia, mes de Marzo/2017"/>
    <x v="0"/>
    <s v="https://drive.google.com/open?id=0ByOb8wNqoBtVeUlCb3hya095NGc"/>
    <s v="00103"/>
    <s v="02 de marzo de 2017"/>
    <x v="3"/>
    <s v="2.000,00"/>
    <s v="Dos Mil Bolívares con 00/100"/>
  </r>
  <r>
    <n v="104"/>
    <m/>
    <s v="ü"/>
    <d v="2017-03-03T00:00:00"/>
    <n v="24000"/>
    <s v="Familia Narváez Caldera"/>
    <s v="jeannette_nc@yahoo.com"/>
    <s v="Calle Güigüe Nro. 87-A-11"/>
    <s v="Cancelación Saldo Vigilancia, mes de Enero/2017 y cancelación Vigilancia, mes de Febrero/2017"/>
    <x v="0"/>
    <s v="https://drive.google.com/open?id=0ByOb8wNqoBtVdUo1SDNIdi1tRm8"/>
    <s v="00104"/>
    <s v="03 de marzo de 2017"/>
    <x v="3"/>
    <s v="24.000,00"/>
    <s v="Veinticuatro Mil Bolívares con 00/100"/>
  </r>
  <r>
    <n v="105"/>
    <m/>
    <s v="ü"/>
    <d v="2017-03-03T00:00:00"/>
    <n v="17000"/>
    <s v="Dra. Lilia Magallanes"/>
    <s v="liliamagallanes2010@gmail.com"/>
    <s v="Calle Güigüe Nro. 88-51"/>
    <s v="Colaboración Vigilancia, meses de Ene-Mar/2017"/>
    <x v="0"/>
    <s v="https://drive.google.com/open?id=0ByOb8wNqoBtVRFlqUkZfeGp5M28"/>
    <s v="00105"/>
    <s v="03 de marzo de 2017"/>
    <x v="3"/>
    <s v="17.000,00"/>
    <s v="Diecisiete Mil Bolívares con 00/100"/>
  </r>
  <r>
    <n v="106"/>
    <m/>
    <s v="ü"/>
    <d v="2017-03-05T00:00:00"/>
    <n v="7000"/>
    <s v="Chin Chun Ya (Goya)"/>
    <s v="uc2721@gmail.com"/>
    <s v="Calle Guacara Nro. 87-86"/>
    <s v="Colaboración Vigilancia, mes de Marzo/2017"/>
    <x v="0"/>
    <s v="https://drive.google.com/open?id=0ByOb8wNqoBtVdlNhb0wyRkNIOTQ"/>
    <s v="00106"/>
    <s v="05 de marzo de 2017"/>
    <x v="3"/>
    <s v="7.000,00"/>
    <s v="Siete Mil Bolívares con 00/100"/>
  </r>
  <r>
    <n v="107"/>
    <m/>
    <s v="ü"/>
    <d v="2017-03-05T00:00:00"/>
    <n v="34000"/>
    <s v="Familia Zavarce Pérez"/>
    <s v="En Físico"/>
    <s v="Calle Guacara Nro. 90-35"/>
    <s v="Cancelación Vigilancia, meses de Ene-Feb/2017"/>
    <x v="0"/>
    <s v="https://drive.google.com/open?id=0ByOb8wNqoBtVakQ5Z2l1RTAtNGs"/>
    <s v="00107"/>
    <s v="05 de marzo de 2017"/>
    <x v="3"/>
    <s v="34.000,00"/>
    <s v="Treinta y Cuatro Mil Bolívares con 00/100"/>
  </r>
  <r>
    <n v="108"/>
    <m/>
    <s v="ü"/>
    <d v="2017-03-05T00:00:00"/>
    <n v="3000"/>
    <s v="Familia Zavarce Pérez"/>
    <s v="En Físico"/>
    <s v="Calle Guacara Nro. 90-35"/>
    <s v="Anticipio Vigilancia, mes de Marzo/2017"/>
    <x v="0"/>
    <s v="https://drive.google.com/open?id=0ByOb8wNqoBtVcVZvTjdxQUE4cUk"/>
    <s v="00108"/>
    <s v="05 de marzo de 2017"/>
    <x v="3"/>
    <s v="3.000,00"/>
    <s v="Tres Mil Bolívares con 00/100"/>
  </r>
  <r>
    <n v="109"/>
    <m/>
    <s v="ü"/>
    <d v="2017-03-06T00:00:00"/>
    <n v="26500"/>
    <s v="Familia Hatem Medina"/>
    <s v="hhatem1@hotmail.com"/>
    <s v="Calle Guacara Nro. 88-51"/>
    <s v="Colaboración Vigilancia, meses de Ene-Feb/2017"/>
    <x v="0"/>
    <s v="https://drive.google.com/open?id=0ByOb8wNqoBtVOVluZ3Z6aGNXSjg"/>
    <s v="00109"/>
    <s v="06 de marzo de 2017"/>
    <x v="3"/>
    <s v="26.500,00"/>
    <s v="Veintiseis Mil Quinientos Bolívares con 00/100"/>
  </r>
  <r>
    <n v="110"/>
    <m/>
    <s v="ü"/>
    <d v="2017-03-08T00:00:00"/>
    <n v="17000"/>
    <s v="Familia Colosso Delgado"/>
    <s v="mcolosso@gmail.com"/>
    <s v="Calle Güigüe Nro. 88-44"/>
    <s v="Cancelación Vigilancia, mes de Marzo/2017"/>
    <x v="0"/>
    <s v="https://drive.google.com/open?id=0ByOb8wNqoBtVUlpEa2NybWVrNWc"/>
    <s v="00110"/>
    <s v="08 de marzo de 2017"/>
    <x v="3"/>
    <s v="17.000,00"/>
    <s v="Diecisiete Mil Bolívares con 00/100"/>
  </r>
  <r>
    <n v="111"/>
    <m/>
    <s v="ü"/>
    <d v="2017-03-08T00:00:00"/>
    <n v="17000"/>
    <s v="Familia Fermín Rivas"/>
    <s v="angelferminb@gmail.com"/>
    <s v="Calle Güigüe Nro. 89-55"/>
    <s v="Cancelación Vigilancia, mes de Marzo/2017"/>
    <x v="0"/>
    <s v="https://drive.google.com/open?id=0ByOb8wNqoBtVd1Bha1RaTXJVTW8"/>
    <s v="00111"/>
    <s v="08 de marzo de 2017"/>
    <x v="3"/>
    <s v="17.000,00"/>
    <s v="Diecisiete Mil Bolívares con 00/100"/>
  </r>
  <r>
    <n v="112"/>
    <m/>
    <s v="ü"/>
    <d v="2017-03-08T00:00:00"/>
    <n v="17000"/>
    <s v="Familia Il Grande Franceschi"/>
    <s v="arcifran75@hotmail.com"/>
    <s v="Av. &quot;I&quot; Nro. 146-40"/>
    <s v="Cancelación Vigilancia, mes de Febrero/2017"/>
    <x v="0"/>
    <s v="https://drive.google.com/open?id=0ByOb8wNqoBtVTjVGLW5McTNyTEU"/>
    <s v="00112"/>
    <s v="08 de marzo de 2017"/>
    <x v="3"/>
    <s v="17.000,00"/>
    <s v="Diecisiete Mil Bolívares con 00/100"/>
  </r>
  <r>
    <n v="113"/>
    <m/>
    <s v="ü"/>
    <d v="2017-03-08T00:00:00"/>
    <n v="35000"/>
    <s v="Familia Jiménez Salvatierra"/>
    <s v="0414-582.8909"/>
    <s v="Calle Güigüe Nro. 89-45"/>
    <s v="Cancelación Saldo Vigilancia, mes de Enero/2017 y cancelación Vigilancia, meses de Feb-Mar/2017"/>
    <x v="0"/>
    <s v="https://drive.google.com/open?id=0ByOb8wNqoBtVVTZMQ3JGNkpOQ2s"/>
    <s v="00113"/>
    <s v="08 de marzo de 2017"/>
    <x v="3"/>
    <s v="35.000,00"/>
    <s v="Treinta y Cinco Mil Bolívares con 00/100"/>
  </r>
  <r>
    <n v="114"/>
    <m/>
    <s v="ü"/>
    <d v="2017-03-08T00:00:00"/>
    <n v="17000"/>
    <s v="Familia Lomeña Agudo"/>
    <s v="claudialomena@hotmail.com"/>
    <s v="Calle Guacara Nro. 89-30"/>
    <s v="Cancelación Vigilancia, mes de Marzo/2017"/>
    <x v="0"/>
    <s v="https://drive.google.com/open?id=0ByOb8wNqoBtVc182N2Job1dvOVk"/>
    <s v="00114"/>
    <s v="08 de marzo de 2017"/>
    <x v="3"/>
    <s v="17.000,00"/>
    <s v="Diecisiete Mil Bolívares con 00/100"/>
  </r>
  <r>
    <n v="115"/>
    <m/>
    <s v="ü"/>
    <d v="2017-03-08T00:00:00"/>
    <n v="34000"/>
    <s v="Franco Gómez"/>
    <s v="eof64@hotmail.com"/>
    <s v="Calle Guacara Nro. 87-07"/>
    <s v="Cancelación Vigilancia, meses de Ene-Feb/2017"/>
    <x v="0"/>
    <s v="https://drive.google.com/open?id=0ByOb8wNqoBtVY2hIMjBnenBHUlU"/>
    <s v="00115"/>
    <s v="08 de marzo de 2017"/>
    <x v="3"/>
    <s v="34.000,00"/>
    <s v="Treinta y Cuatro Mil Bolívares con 00/100"/>
  </r>
  <r>
    <n v="116"/>
    <m/>
    <s v="ü"/>
    <d v="2017-03-08T00:00:00"/>
    <n v="34000"/>
    <s v="Sra. Reina Meléndez"/>
    <s v="olgajipe@gmail.com"/>
    <s v="Av. &quot;M&quot; Nro. 145-10"/>
    <s v="Cancelación Vigilancia, meses de Ene-Feb/2017"/>
    <x v="0"/>
    <s v="https://drive.google.com/open?id=0ByOb8wNqoBtVdC1VZzF5Rk9vTEE"/>
    <s v="00116"/>
    <s v="08 de marzo de 2017"/>
    <x v="3"/>
    <s v="34.000,00"/>
    <s v="Treinta y Cuatro Mil Bolívares con 00/100"/>
  </r>
  <r>
    <n v="117"/>
    <m/>
    <s v="ü"/>
    <d v="2017-03-10T00:00:00"/>
    <n v="17000"/>
    <s v="Familia Arcia Polanco"/>
    <s v="misipo29@gmail.com"/>
    <s v="Calle Guacara Nro. 89-20"/>
    <s v="Cancelación Vigilancia, mes de Marzo/2017"/>
    <x v="0"/>
    <s v="https://drive.google.com/open?id=0ByOb8wNqoBtVT0ZVSFpaVlNyN0U"/>
    <s v="00117"/>
    <s v="10 de marzo de 2017"/>
    <x v="3"/>
    <s v="17.000,00"/>
    <s v="Diecisiete Mil Bolívares con 00/100"/>
  </r>
  <r>
    <n v="118"/>
    <m/>
    <s v="ü"/>
    <d v="2017-03-10T00:00:00"/>
    <n v="45000"/>
    <s v="Familia Machado Stoppa"/>
    <s v="machadoru@hotmail.com"/>
    <s v="Calle Guacara Nro. 88-85"/>
    <s v="Colaboración Vigilancia, meses de Ene-Mar/2017"/>
    <x v="0"/>
    <s v="https://drive.google.com/open?id=0ByOb8wNqoBtVeC1SNVJRNjFuTVE"/>
    <s v="00118"/>
    <s v="10 de marzo de 2017"/>
    <x v="3"/>
    <s v="45.000,00"/>
    <s v="Cuarenta y Cinco Mil Bolívares con 00/100"/>
  </r>
  <r>
    <n v="119"/>
    <m/>
    <s v="ü"/>
    <d v="2017-03-10T00:00:00"/>
    <n v="13613"/>
    <s v="Familia Martínez Boada"/>
    <s v="florcitakmz@gmail.com"/>
    <s v="Calle Güigüe Nro. 88-62"/>
    <s v="Anticipo Vigilancia, mes de Febrero/2017"/>
    <x v="0"/>
    <s v="https://drive.google.com/open?id=0ByOb8wNqoBtVQlRuWnlZdnQ2MEE"/>
    <s v="00119"/>
    <s v="10 de marzo de 2017"/>
    <x v="3"/>
    <s v="13.613,00"/>
    <s v="Trece Mil Seiscientos Trece Bolívares con 00/100"/>
  </r>
  <r>
    <n v="120"/>
    <m/>
    <s v="ü"/>
    <d v="2017-03-06T00:00:00"/>
    <n v="17000"/>
    <s v="Familia Matta Palomino"/>
    <s v="normaapm@hotmail.com"/>
    <s v="Calle Güigüe Nro. 88-90"/>
    <s v="Cancelación Vigilancia, mes de Enero/2017"/>
    <x v="0"/>
    <s v="https://drive.google.com/open?id=0ByOb8wNqoBtVc1NYcl9LRWhfVUU"/>
    <s v="00120"/>
    <s v="06 de marzo de 2017"/>
    <x v="3"/>
    <s v="17.000,00"/>
    <s v="Diecisiete Mil Bolívares con 00/100"/>
  </r>
  <r>
    <n v="121"/>
    <m/>
    <s v="ü"/>
    <d v="2017-03-10T00:00:00"/>
    <n v="17000"/>
    <s v="Familia Narváez Caldera"/>
    <s v="jeannette_nc@yahoo.com"/>
    <s v="Calle Güigüe Nro. 87-A-11"/>
    <s v="Cancelación Vigilancia, mes de Marzo/2017"/>
    <x v="0"/>
    <s v="https://drive.google.com/open?id=0ByOb8wNqoBtVbkNhZV92RVBBeDQ"/>
    <s v="00121"/>
    <s v="10 de marzo de 2017"/>
    <x v="3"/>
    <s v="17.000,00"/>
    <s v="Diecisiete Mil Bolívares con 00/100"/>
  </r>
  <r>
    <n v="122"/>
    <m/>
    <s v="ü"/>
    <d v="2017-03-10T00:00:00"/>
    <n v="2800"/>
    <s v="Familia Puerta Burguillos"/>
    <s v="namaricakes@gmail.com"/>
    <s v="Calle Guacara Nro. 87-100"/>
    <s v="Cancelación Saldo Vigilancia, mes de Marzo/2017"/>
    <x v="0"/>
    <s v="https://drive.google.com/open?id=0ByOb8wNqoBtVajFsUEY4SXhtSG8"/>
    <s v="00122"/>
    <s v="10 de marzo de 2017"/>
    <x v="3"/>
    <s v="2.800,00"/>
    <s v="Dos Mil Ochocientos Bolívares con 00/100"/>
  </r>
  <r>
    <n v="123"/>
    <m/>
    <s v="ü"/>
    <d v="2017-03-10T00:00:00"/>
    <n v="10000"/>
    <s v="Héctor Hernández"/>
    <s v="eof64@hotmail.com"/>
    <s v="Calle Guacara Nro. 89-94"/>
    <s v="Colaboración Vigilancia, mes de Marzo/2017"/>
    <x v="0"/>
    <s v="https://drive.google.com/open?id=0ByOb8wNqoBtVMDl1eDRUSl9QVkU"/>
    <s v="00123"/>
    <s v="10 de marzo de 2017"/>
    <x v="3"/>
    <s v="10.000,00"/>
    <s v="Diez Mil Bolívares con 00/100"/>
  </r>
  <r>
    <n v="124"/>
    <m/>
    <s v="ü"/>
    <d v="2017-03-11T00:00:00"/>
    <n v="10000"/>
    <s v="Familia Kabblan"/>
    <s v="norisjsb56@hotmail.com"/>
    <s v="Calle Güigüe Nro. 89-80"/>
    <s v="Colaboración Vigilancia, mes de Marzo/2017"/>
    <x v="0"/>
    <s v="https://drive.google.com/open?id=0ByOb8wNqoBtVUFhOUEVycGNfNEU"/>
    <s v="00124"/>
    <s v="11 de marzo de 2017"/>
    <x v="3"/>
    <s v="10.000,00"/>
    <s v="Diez Mil Bolívares con 00/100"/>
  </r>
  <r>
    <n v="125"/>
    <m/>
    <s v="ü"/>
    <d v="2017-03-11T00:00:00"/>
    <n v="17000"/>
    <s v="Familia Cegarra Villamizar"/>
    <s v="jesus.villamizar.ra@gmail.com"/>
    <s v="Calle Guacara Nro. 88-35"/>
    <s v="Cancelación Vigilancia, mes de Enero/2017"/>
    <x v="0"/>
    <s v="https://drive.google.com/open?id=0ByOb8wNqoBtVVm9PdXd6U0VPdXM"/>
    <s v="00125"/>
    <s v="11 de marzo de 2017"/>
    <x v="3"/>
    <s v="17.000,00"/>
    <s v="Diecisiete Mil Bolívares con 00/100"/>
  </r>
  <r>
    <n v="126"/>
    <m/>
    <s v="ü"/>
    <d v="2017-03-14T00:00:00"/>
    <n v="17000"/>
    <s v="Familia Scabuzzo Gómez"/>
    <s v="sfscabuzzo@msn.com"/>
    <s v="Av. &quot;I&quot; Nro. 146-20"/>
    <s v="Cancelación Vigilancia, mes de Marzo/2017"/>
    <x v="0"/>
    <s v="https://drive.google.com/open?id=0ByOb8wNqoBtVUU9TdUdRckFETmc"/>
    <s v="00126"/>
    <s v="14 de marzo de 2017"/>
    <x v="3"/>
    <s v="17.000,00"/>
    <s v="Diecisiete Mil Bolívares con 00/100"/>
  </r>
  <r>
    <n v="127"/>
    <m/>
    <s v="ü"/>
    <d v="2017-03-10T00:00:00"/>
    <n v="3000"/>
    <s v="Familia Flores Montagne"/>
    <s v="namaricakes@gmail.com"/>
    <s v="Av. &quot;M&quot; Nro. 146-20"/>
    <s v="Colaboración Vigilancia, mes de Marzo/2017"/>
    <x v="0"/>
    <s v="https://drive.google.com/open?id=0ByOb8wNqoBtVSElUZ2ctWVVhbmc"/>
    <s v="00127"/>
    <s v="10 de marzo de 2017"/>
    <x v="3"/>
    <s v="3.000,00"/>
    <s v="Tres Mil Bolívares con 00/100"/>
  </r>
  <r>
    <n v="128"/>
    <m/>
    <s v="ü"/>
    <d v="2017-01-13T00:00:00"/>
    <n v="6500"/>
    <s v="Familia Barreto Pérez"/>
    <s v="bbetsa19@hotmail.com"/>
    <s v="Av. &quot;M&quot; Nro. 146-15"/>
    <s v="Cancelación saldo Vigilancia, mes de Enero/2017"/>
    <x v="0"/>
    <s v="https://drive.google.com/open?id=0ByOb8wNqoBtVbGZjSklOSWZMMUU"/>
    <s v="00128"/>
    <s v="13 de enero de 2017"/>
    <x v="1"/>
    <s v="6.500,00"/>
    <s v="Seis Mil Quinientos Bolívares con 00/100"/>
  </r>
  <r>
    <n v="129"/>
    <m/>
    <s v="ü"/>
    <d v="2017-03-01T00:00:00"/>
    <n v="17000"/>
    <s v="Familia Castillo Mena"/>
    <s v="emmecas@hotmail.com"/>
    <s v="Calle Güigüe Nro. 88-101"/>
    <s v="Cancelación Vigilancia, mes de Febrero/2017"/>
    <x v="0"/>
    <s v="https://drive.google.com/open?id=0ByOb8wNqoBtVT2tYRlNoMkMwdUE"/>
    <s v="00129"/>
    <s v="01 de marzo de 2017"/>
    <x v="3"/>
    <s v="17.000,00"/>
    <s v="Diecisiete Mil Bolívares con 00/100"/>
  </r>
  <r>
    <n v="130"/>
    <m/>
    <s v="ü"/>
    <d v="2017-03-06T00:00:00"/>
    <n v="17000"/>
    <s v="Familia Castillo Rodríguez"/>
    <s v="vesperanzacastillor@gmail.com"/>
    <s v="Calle Güigüe Nro. 88-91"/>
    <s v="Cancelación Vigilancia, mes de Febrero/2017"/>
    <x v="0"/>
    <s v="https://drive.google.com/open?id=0ByOb8wNqoBtVTktPck5mMlpEY3c"/>
    <s v="00130"/>
    <s v="06 de marzo de 2017"/>
    <x v="3"/>
    <s v="17.000,00"/>
    <s v="Diecisiete Mil Bolívares con 00/100"/>
  </r>
  <r>
    <n v="131"/>
    <m/>
    <s v="ü"/>
    <d v="2017-02-27T00:00:00"/>
    <n v="17000"/>
    <s v="Familia Delgado Hidalgo"/>
    <s v="ardh@hotmail.com"/>
    <s v="Calle Güigüe Nro. 88-10"/>
    <s v="Cancelación Vigilancia, mes de Enero/2017"/>
    <x v="0"/>
    <s v="https://drive.google.com/open?id=0ByOb8wNqoBtVUGJmeHI2UTZKVlE"/>
    <s v="00131"/>
    <s v="27 de febrero de 2017"/>
    <x v="2"/>
    <s v="17.000,00"/>
    <s v="Diecisiete Mil Bolívares con 00/100"/>
  </r>
  <r>
    <n v="132"/>
    <m/>
    <s v="ü"/>
    <d v="2017-02-14T00:00:00"/>
    <n v="17000"/>
    <s v="Familia Díaz González"/>
    <s v="luisrdt57@gmail.com"/>
    <s v="Calle Güigüe Nro. 88-116"/>
    <s v="Cancelación Vigilancia, mes de Febrero/2017"/>
    <x v="0"/>
    <s v="https://drive.google.com/open?id=0ByOb8wNqoBtVYlpzUXFSREtCTUE"/>
    <s v="00132"/>
    <s v="14 de febrero de 2017"/>
    <x v="2"/>
    <s v="17.000,00"/>
    <s v="Diecisiete Mil Bolívares con 00/100"/>
  </r>
  <r>
    <n v="133"/>
    <m/>
    <s v="ü"/>
    <d v="2017-02-14T00:00:00"/>
    <n v="6200"/>
    <s v="Familia Durvelle Serrano"/>
    <s v="sdurvelle@hotmail.com"/>
    <s v="Calle Guacara Nro. 89-60"/>
    <s v="14/02/2017 Bs. 6.200 - Cancelación control del portón"/>
    <x v="2"/>
    <s v="https://drive.google.com/open?id=0ByOb8wNqoBtVLWdrMGVUemh6cGs"/>
    <s v="00133"/>
    <s v="14 de febrero de 2017"/>
    <x v="2"/>
    <s v="6.200,00"/>
    <s v="Seis Mil Doscientos Bolívares con 00/100"/>
  </r>
  <r>
    <n v="134"/>
    <m/>
    <s v="ü"/>
    <d v="2017-01-11T00:00:00"/>
    <n v="6500"/>
    <s v="Familia Castro Jiménez"/>
    <s v="0426-543.4303"/>
    <s v="Calle Guacara Nro. 90-51"/>
    <s v="Cancelación saldo Vigilancia, mes de Enero/2017"/>
    <x v="0"/>
    <s v="https://drive.google.com/open?id=0ByOb8wNqoBtVUFJvVmpSWnB4T2M"/>
    <s v="00134"/>
    <s v="11 de enero de 2017"/>
    <x v="1"/>
    <s v="6.500,00"/>
    <s v="Seis Mil Quinientos Bolívares con 00/100"/>
  </r>
  <r>
    <n v="135"/>
    <m/>
    <s v="ü"/>
    <d v="2017-02-20T00:00:00"/>
    <n v="34000"/>
    <s v="Familia Medina Colina"/>
    <s v="0414-409.4702"/>
    <s v="Calle Güigüe Nro. 89-70"/>
    <s v="Cancelación Vigilancia, meses de Ene-Feb/2017"/>
    <x v="0"/>
    <s v="https://drive.google.com/open?id=0ByOb8wNqoBtVVHhGTUdTOWd3TVk"/>
    <s v="00135"/>
    <s v="20 de febrero de 2017"/>
    <x v="2"/>
    <s v="34.000,00"/>
    <s v="Treinta y Cuatro Mil Bolívares con 00/100"/>
  </r>
  <r>
    <n v="136"/>
    <m/>
    <s v="ü"/>
    <d v="2017-03-14T00:00:00"/>
    <n v="17000"/>
    <s v="Familia Díaz González"/>
    <s v="luisrdt57@gmail.com"/>
    <s v="Calle Güigüe Nro. 88-116"/>
    <s v="Cancelación Vigilancia, mes de Marzo/2017"/>
    <x v="0"/>
    <s v="https://drive.google.com/open?id=0ByOb8wNqoBtVNm52V1J6V0N3aUE"/>
    <s v="00136"/>
    <s v="14 de marzo de 2017"/>
    <x v="3"/>
    <s v="17.000,00"/>
    <s v="Diecisiete Mil Bolívares con 00/100"/>
  </r>
  <r>
    <n v="137"/>
    <m/>
    <s v="ü"/>
    <d v="2017-03-14T00:00:00"/>
    <n v="5000"/>
    <s v="Familia Herrera Guada"/>
    <s v="En Físico"/>
    <s v="Calle Güigüe Nro. 89-90"/>
    <s v="Colaboración Vigilancia, mes de Marzo/2017"/>
    <x v="0"/>
    <s v="https://drive.google.com/open?id=0ByOb8wNqoBtVLVJ1Tk96RUN1M3M"/>
    <s v="00137"/>
    <s v="14 de marzo de 2017"/>
    <x v="3"/>
    <s v="5.000,00"/>
    <s v="Cinco Mil Bolívares con 00/100"/>
  </r>
  <r>
    <n v="138"/>
    <m/>
    <s v="ü"/>
    <d v="2017-03-10T00:00:00"/>
    <n v="22000"/>
    <s v="Familia González Arévalo"/>
    <s v="feryenis@hotmail.com"/>
    <s v="Calle Guacara Nro. 89-86"/>
    <s v="Cancelación Vigilancia, mes de Marzo/2017"/>
    <x v="0"/>
    <s v="https://drive.google.com/open?id=0ByOb8wNqoBtVcTJ2N1lNUHpoR1k"/>
    <s v="00138"/>
    <s v="10 de marzo de 2017"/>
    <x v="3"/>
    <s v="22.000,00"/>
    <s v="Veintidos Mil Bolívares con 00/100"/>
  </r>
  <r>
    <n v="139"/>
    <m/>
    <s v="ü"/>
    <d v="2017-03-16T00:00:00"/>
    <n v="17000"/>
    <s v="Familia Durvelle Serrano"/>
    <s v="sdurvelle@hotmail.com"/>
    <s v="Calle Guacara Nro. 89-60"/>
    <s v="Cancelación Vigilancia, mes de Marzo/2017"/>
    <x v="0"/>
    <s v="https://drive.google.com/open?id=0ByOb8wNqoBtVejltaUpYVXh5VlE"/>
    <s v="00139"/>
    <s v="16 de marzo de 2017"/>
    <x v="3"/>
    <s v="17.000,00"/>
    <s v="Diecisiete Mil Bolívares con 00/100"/>
  </r>
  <r>
    <n v="140"/>
    <m/>
    <s v="ü"/>
    <d v="2017-03-19T00:00:00"/>
    <n v="17000"/>
    <s v="Franco Gómez"/>
    <s v="eof64@hotmail.com"/>
    <s v="Calle Guacara Nro. 87-07"/>
    <s v="Cancelación Vigilancia, mes de Marzo/2017"/>
    <x v="0"/>
    <s v="https://drive.google.com/open?id=0ByOb8wNqoBtVdWZOUWFPdnR1N1E"/>
    <s v="00140"/>
    <s v="19 de marzo de 2017"/>
    <x v="3"/>
    <s v="17.000,00"/>
    <s v="Diecisiete Mil Bolívares con 00/100"/>
  </r>
  <r>
    <n v="141"/>
    <m/>
    <s v="ü"/>
    <d v="2017-03-18T00:00:00"/>
    <n v="10000"/>
    <s v="Victoria Francischiello"/>
    <s v="victoriafrancischiello@hotmail.com"/>
    <s v="Calle Guacara Nro. 88-25"/>
    <s v="Colaboración Vigilancia, mes de Marzo/2017"/>
    <x v="0"/>
    <s v="https://drive.google.com/open?id=0ByOb8wNqoBtVX2NYLWV3YkpZb28"/>
    <s v="00141"/>
    <s v="18 de marzo de 2017"/>
    <x v="3"/>
    <s v="10.000,00"/>
    <s v="Diez Mil Bolívares con 00/100"/>
  </r>
  <r>
    <n v="142"/>
    <m/>
    <s v="ü"/>
    <d v="2017-03-16T00:00:00"/>
    <n v="18000"/>
    <s v="Familia Hatem Medina"/>
    <s v="hhatem1@hotmail.com"/>
    <s v="Calle Guacara Nro. 88-51"/>
    <s v="Colaboración Vigilancia, mes de Marzo/2017 y anticipo Abril/2017"/>
    <x v="0"/>
    <s v="https://drive.google.com/open?id=0ByOb8wNqoBtVeHBDSHplc2c4Z2M"/>
    <s v="00142"/>
    <s v="16 de marzo de 2017"/>
    <x v="3"/>
    <s v="18.000,00"/>
    <s v="Dieciocho Mil Bolívares con 00/100"/>
  </r>
  <r>
    <n v="143"/>
    <m/>
    <s v="ü"/>
    <d v="2017-03-15T00:00:00"/>
    <n v="17000"/>
    <s v="Familia Fernández Parés"/>
    <s v="vultecca@gmail.com"/>
    <s v="Calle Guacara Nro. 88-75"/>
    <s v="Cancelación Vigilancia, mes de Marzo/2017"/>
    <x v="0"/>
    <s v="https://drive.google.com/open?id=0ByOb8wNqoBtVWV95R2U0RFZyYW8"/>
    <s v="00143"/>
    <s v="15 de marzo de 2017"/>
    <x v="3"/>
    <s v="17.000,00"/>
    <s v="Diecisiete Mil Bolívares con 00/100"/>
  </r>
  <r>
    <n v="144"/>
    <m/>
    <s v="ü"/>
    <d v="2017-03-16T00:00:00"/>
    <n v="17000"/>
    <s v="Beatriz Lara"/>
    <s v="valentina.gutierrez@hotmail.com"/>
    <s v="Calle Guacara Nro. 89-130"/>
    <s v="Cancelación Vigilancia, mes de Marzo/2017"/>
    <x v="0"/>
    <s v="https://drive.google.com/open?id=0ByOb8wNqoBtVcjJvNUUza2ZRa0k"/>
    <s v="00144"/>
    <s v="16 de marzo de 2017"/>
    <x v="3"/>
    <s v="17.000,00"/>
    <s v="Diecisiete Mil Bolívares con 00/100"/>
  </r>
  <r>
    <n v="145"/>
    <m/>
    <s v="ü"/>
    <d v="2017-03-15T00:00:00"/>
    <n v="17000"/>
    <s v="Familia Ferrer Bahri"/>
    <s v="bahrimariela@hotmail.com"/>
    <s v="Calle Güigüe Nro. 89-83"/>
    <s v="Cancelación Vigilancia, mes de Marzo/2017"/>
    <x v="0"/>
    <s v="https://drive.google.com/open?id=0ByOb8wNqoBtVel83UkE2ZGl3cjA"/>
    <s v="00145"/>
    <s v="15 de marzo de 2017"/>
    <x v="3"/>
    <s v="17.000,00"/>
    <s v="Diecisiete Mil Bolívares con 00/100"/>
  </r>
  <r>
    <n v="146"/>
    <m/>
    <s v="ü"/>
    <d v="2017-03-15T00:00:00"/>
    <n v="10500"/>
    <s v="Familia Hurtado"/>
    <s v="francisco_hurtado@hotmail.com"/>
    <s v="Av. &quot;O&quot; Nro. 146-11"/>
    <s v="Anticipo Vigilancia, mes de Febrero/2017"/>
    <x v="0"/>
    <s v="https://drive.google.com/open?id=0ByOb8wNqoBtVU0Nna2k1YjJ4aHc"/>
    <s v="00146"/>
    <s v="15 de marzo de 2017"/>
    <x v="3"/>
    <s v="10.500,00"/>
    <s v="Diez Mil Quinientos Bolívares con 00/100"/>
  </r>
  <r>
    <n v="147"/>
    <m/>
    <s v="ü"/>
    <d v="2017-03-25T00:00:00"/>
    <n v="17000"/>
    <s v="Familia Hurtado"/>
    <s v="francisco_hurtado@hotmail.com"/>
    <s v="Av. &quot;O&quot; Nro. 146-11"/>
    <s v="Cancelación saldo Vigilancia, mes de Febrero/2017 y anticipo Bs. 10.500 mes de Marzo/2017"/>
    <x v="0"/>
    <s v="https://drive.google.com/open?id=0ByOb8wNqoBtVbWI4bUszb2tYckk"/>
    <s v="00147"/>
    <s v="25 de marzo de 2017"/>
    <x v="3"/>
    <s v="17.000,00"/>
    <s v="Diecisiete Mil Bolívares con 00/100"/>
  </r>
  <r>
    <n v="148"/>
    <m/>
    <s v="ü"/>
    <d v="2017-03-21T00:00:00"/>
    <n v="17000"/>
    <s v="Familia Acosta"/>
    <s v="pablo962@hotmail.com"/>
    <s v="Calle Güigüe Nro. 89-10"/>
    <s v="Cancelación Vigilancia, mes de Febrero/2017"/>
    <x v="0"/>
    <s v="https://drive.google.com/open?id=0ByOb8wNqoBtVcGNWQVhDdkhfVXc"/>
    <s v="00148"/>
    <s v="21 de marzo de 2017"/>
    <x v="3"/>
    <s v="17.000,00"/>
    <s v="Diecisiete Mil Bolívares con 00/100"/>
  </r>
  <r>
    <n v="149"/>
    <m/>
    <s v="ü"/>
    <d v="2017-03-24T00:00:00"/>
    <n v="17000"/>
    <s v="Familia Morales Sesar"/>
    <s v="moralesesar@gmail.com"/>
    <s v="Calle Güigüe Nro. 89-120"/>
    <s v="Cancelación Vigilancia, mes de Marzo/2017"/>
    <x v="0"/>
    <s v="https://drive.google.com/open?id=0ByOb8wNqoBtVcFRNQVpiR0dNS2M"/>
    <s v="00149"/>
    <s v="24 de marzo de 2017"/>
    <x v="3"/>
    <s v="17.000,00"/>
    <s v="Diecisiete Mil Bolívares con 00/100"/>
  </r>
  <r>
    <n v="150"/>
    <m/>
    <s v="ü"/>
    <d v="2017-03-26T00:00:00"/>
    <n v="3000"/>
    <s v="Familia Rivero"/>
    <s v="En Físico"/>
    <s v="Calle Güigüe Nro. 88-40"/>
    <s v="Colaboración Vigilancia, mes de Marzo/2017"/>
    <x v="0"/>
    <s v="https://drive.google.com/open?id=0ByOb8wNqoBtVZTJBYXhQdlBrX0k"/>
    <s v="00150"/>
    <s v="26 de marzo de 2017"/>
    <x v="3"/>
    <s v="3.000,00"/>
    <s v="Tres Mil Bolívares con 00/100"/>
  </r>
  <r>
    <n v="151"/>
    <m/>
    <s v="ü"/>
    <d v="2017-03-27T00:00:00"/>
    <n v="17000"/>
    <s v="Familia Navarro Assing"/>
    <s v="liliaassing@gmail.com"/>
    <s v="Calle Güigüe Nro. 88-54"/>
    <s v="Cancelación Vigilancia, mes de Marzo/2017"/>
    <x v="0"/>
    <s v="https://drive.google.com/open?id=0ByOb8wNqoBtVQm55c1Jmdm54bTg"/>
    <s v="00151"/>
    <s v="27 de marzo de 2017"/>
    <x v="3"/>
    <s v="17.000,00"/>
    <s v="Diecisiete Mil Bolívares con 00/100"/>
  </r>
  <r>
    <n v="152"/>
    <m/>
    <s v="ü"/>
    <d v="2017-03-30T00:00:00"/>
    <n v="4000"/>
    <s v="Ma. de Jesus Alonso"/>
    <s v="marjoriealonsoh@hotmail.com"/>
    <s v="Calle Güigüe Nro. 88-30"/>
    <s v="Colaboración Vigilancia, mes de Marzo/2017"/>
    <x v="0"/>
    <s v="https://drive.google.com/open?id=0ByOb8wNqoBtVLTlOUkRqZEtQYms"/>
    <s v="00152"/>
    <s v="30 de marzo de 2017"/>
    <x v="3"/>
    <s v="4.000,00"/>
    <s v="Cuatro Mil Bolívares con 00/100"/>
  </r>
  <r>
    <n v="153"/>
    <m/>
    <s v="ü"/>
    <d v="2017-03-30T00:00:00"/>
    <n v="10000"/>
    <s v="Familia Gascón Domínguez"/>
    <s v="vrgascon@gmail.com"/>
    <s v="Calle Güigüe Nro. 88-70"/>
    <s v="Colaboración Vigilancia, mes de Marzo/2017"/>
    <x v="0"/>
    <s v="https://drive.google.com/open?id=0ByOb8wNqoBtVb0J3bGZITmRla0k"/>
    <s v="00153"/>
    <s v="30 de marzo de 2017"/>
    <x v="3"/>
    <s v="10.000,00"/>
    <s v="Diez Mil Bolívares con 00/100"/>
  </r>
  <r>
    <n v="154"/>
    <m/>
    <s v="ü"/>
    <d v="2017-04-04T00:00:00"/>
    <n v="17000"/>
    <s v="Familia Lomeña Agudo"/>
    <s v="claudialomena@hotmail.com"/>
    <s v="Calle Guacara Nro. 89-30"/>
    <s v="Cancelación Vigilancia, mes de Abril/2017"/>
    <x v="0"/>
    <m/>
    <s v="00154"/>
    <s v="04 de abril de 2017"/>
    <x v="4"/>
    <s v="17.000,00"/>
    <s v="Diecisiete Mil Bolívares con 00/100"/>
  </r>
  <r>
    <n v="155"/>
    <m/>
    <s v="ü"/>
    <d v="2017-04-04T00:00:00"/>
    <n v="21000"/>
    <s v="Familia Méndez Parra"/>
    <s v="briceidamp@hotmail.com"/>
    <s v="Calle Guacara Nro. 88-19"/>
    <s v="Colaboración Vigilancia, meses de Mar-Abr/2017"/>
    <x v="0"/>
    <m/>
    <s v="00155"/>
    <s v="04 de abril de 2017"/>
    <x v="4"/>
    <s v="21.000,00"/>
    <s v="Veintiun Mil Bolívares con 00/100"/>
  </r>
  <r>
    <n v="156"/>
    <m/>
    <s v="ü"/>
    <d v="2017-03-27T00:00:00"/>
    <n v="34000"/>
    <s v="Familia Cegarra Villamizar"/>
    <s v="jesus.villamizar.ra@gmail.com"/>
    <s v="Calle Guacara Nro. 88-35"/>
    <s v="Cancelación Vigilancia, meses de Feb-Mar/2017"/>
    <x v="0"/>
    <m/>
    <s v="00156"/>
    <s v="27 de marzo de 2017"/>
    <x v="3"/>
    <s v="34.000,00"/>
    <s v="Treinta y Cuatro Mil Bolívares con 00/100"/>
  </r>
  <r>
    <n v="157"/>
    <m/>
    <s v="ü"/>
    <d v="2017-03-24T00:00:00"/>
    <n v="7000"/>
    <s v="Familia Santos Carrillo"/>
    <s v="En Físico"/>
    <s v="Calle Guacara Nro. 90-93"/>
    <s v="Colaboración Vigilancia, meses de Noviembre/2016 a Enero/2017"/>
    <x v="0"/>
    <m/>
    <s v="00157"/>
    <s v="24 de marzo de 2017"/>
    <x v="3"/>
    <s v="7.000,00"/>
    <s v="Siete Mil Bolívares con 00/100"/>
  </r>
  <r>
    <n v="158"/>
    <m/>
    <s v="ü"/>
    <d v="2017-03-26T00:00:00"/>
    <n v="17000"/>
    <s v="Anahiz Seijas"/>
    <s v="anahiz_2@hotmail.es"/>
    <s v="Calle Güigüe Nro. 89-106"/>
    <s v="Cancelación Vigilancia, mes de Marzo/2017"/>
    <x v="0"/>
    <m/>
    <s v="00158"/>
    <s v="26 de marzo de 2017"/>
    <x v="3"/>
    <s v="17.000,00"/>
    <s v="Diecisiete Mil Bolívares con 00/100"/>
  </r>
  <r>
    <n v="159"/>
    <m/>
    <s v="ü"/>
    <d v="2017-03-31T00:00:00"/>
    <n v="17000"/>
    <s v="Familia Nava Gordon"/>
    <s v="maru_19_66@hotmail.com"/>
    <s v="Calle Guacara Nro. 89-78"/>
    <s v="Cancelación Vigilancia, mes de Marzo/2017"/>
    <x v="0"/>
    <m/>
    <s v="00159"/>
    <s v="31 de marzo de 2017"/>
    <x v="3"/>
    <s v="17.000,00"/>
    <s v="Diecisiete Mil Bolívares con 00/100"/>
  </r>
  <r>
    <n v="160"/>
    <m/>
    <s v="ü"/>
    <d v="2017-03-31T00:00:00"/>
    <n v="17000"/>
    <s v="Familia Barreto Pérez"/>
    <s v="bbetsa19@hotmail.com"/>
    <s v="Av. &quot;M&quot; Nro. 146-15"/>
    <s v="Cancelación Vigilancia, mes de Marzo/2017"/>
    <x v="0"/>
    <m/>
    <s v="00160"/>
    <s v="31 de marzo de 2017"/>
    <x v="3"/>
    <s v="17.000,00"/>
    <s v="Diecisiete Mil Bolívares con 00/100"/>
  </r>
  <r>
    <n v="161"/>
    <m/>
    <s v="ü"/>
    <d v="2017-03-27T00:00:00"/>
    <n v="34000"/>
    <s v="Familia López Hermoso"/>
    <s v="lopez.humberto14@yahoo.com.ve"/>
    <s v="Calle Güigüe Nro. 89-79"/>
    <s v="Cancelación Vigilancia, meses de Mar-Abr/2017"/>
    <x v="0"/>
    <m/>
    <s v="00161"/>
    <s v="27 de marzo de 2017"/>
    <x v="3"/>
    <s v="34.000,00"/>
    <s v="Treinta y Cuatro Mil Bolívares con 00/100"/>
  </r>
  <r>
    <n v="162"/>
    <m/>
    <s v="ü"/>
    <d v="2017-04-03T00:00:00"/>
    <n v="10000"/>
    <s v="Manuel Rodríguez"/>
    <s v="mrl58@hotmail.com"/>
    <s v="Calle Güigüe Nro. 89-29"/>
    <s v="Colaboración Vigilancia, mes de Abril/2017"/>
    <x v="0"/>
    <m/>
    <s v="00162"/>
    <s v="03 de abril de 2017"/>
    <x v="4"/>
    <s v="10.000,00"/>
    <s v="Diez Mil Bolívares con 00/100"/>
  </r>
  <r>
    <n v="163"/>
    <m/>
    <s v="ü"/>
    <d v="2017-04-05T00:00:00"/>
    <n v="17000"/>
    <s v="Familia Durvelle Serrano"/>
    <s v="sdurvelle@hotmail.com"/>
    <s v="Calle Guacara Nro. 89-60"/>
    <s v="Cancelación Vigilancia, mes de Abril/2017"/>
    <x v="0"/>
    <m/>
    <s v="00163"/>
    <s v="05 de abril de 2017"/>
    <x v="4"/>
    <s v="17.000,00"/>
    <s v="Diecisiete Mil Bolívares con 00/100"/>
  </r>
  <r>
    <n v="164"/>
    <m/>
    <s v="ü"/>
    <d v="2017-04-06T00:00:00"/>
    <n v="17000"/>
    <s v="Familia Colosso Delgado"/>
    <s v="mcolosso@gmail.com"/>
    <s v="Calle Güigüe Nro. 88-44"/>
    <s v="Cancelación Vigilancia, mes de Abril/2017"/>
    <x v="0"/>
    <m/>
    <s v="00164"/>
    <s v="06 de abril de 2017"/>
    <x v="4"/>
    <s v="17.000,00"/>
    <s v="Diecisiete Mil Bolívares con 00/100"/>
  </r>
  <r>
    <n v="165"/>
    <m/>
    <s v="ü"/>
    <d v="2017-04-06T00:00:00"/>
    <n v="17000"/>
    <s v="Familia Del Negro Palermo"/>
    <s v="vdelnegro@gmail.com"/>
    <s v="Calle Guacara Nro. 88-45"/>
    <s v="Cancelación Vigilancia, mes de Abril/2017"/>
    <x v="0"/>
    <m/>
    <s v="00165"/>
    <s v="06 de abril de 2017"/>
    <x v="4"/>
    <s v="17.000,00"/>
    <s v="Diecisiete Mil Bolívares con 00/100"/>
  </r>
  <r>
    <n v="166"/>
    <m/>
    <s v="ü"/>
    <d v="2017-04-06T00:00:00"/>
    <n v="14000"/>
    <s v="Familia Zavarce Pérez"/>
    <s v="En Físico"/>
    <s v="Calle Guacara Nro. 90-35"/>
    <s v="Cancelación Saldo Vigilancia, mes de Mar/2017"/>
    <x v="0"/>
    <m/>
    <s v="00166"/>
    <s v="06 de abril de 2017"/>
    <x v="4"/>
    <s v="14.000,00"/>
    <s v="Catorce Mil Bolívares con 00/100"/>
  </r>
  <r>
    <n v="167"/>
    <m/>
    <s v="ü"/>
    <d v="2017-03-15T00:00:00"/>
    <n v="17000"/>
    <s v="Familia Castillo Mena"/>
    <s v="emmecas@hotmail.com"/>
    <s v="Calle Güigüe Nro. 88-101"/>
    <s v="Cancelación Vigilancia, mes de Marzo/2017"/>
    <x v="0"/>
    <m/>
    <s v="00167"/>
    <s v="15 de marzo de 2017"/>
    <x v="3"/>
    <s v="17.000,00"/>
    <s v="Diecisiete Mil Bolívares con 00/100"/>
  </r>
  <r>
    <n v="168"/>
    <m/>
    <s v="ü"/>
    <d v="2017-04-05T00:00:00"/>
    <n v="17000"/>
    <s v="Familia Jiménez Navarro"/>
    <s v="joyasonline2012@gmail.com"/>
    <s v="Calle Güigüe Nro. 88-50"/>
    <s v="Cancelación Vigilancia, mes de Marzo/2017"/>
    <x v="0"/>
    <m/>
    <s v="00168"/>
    <s v="05 de abril de 2017"/>
    <x v="4"/>
    <s v="17.000,00"/>
    <s v="Diecisiete Mil Bolívares con 00/100"/>
  </r>
  <r>
    <n v="169"/>
    <m/>
    <s v="ü"/>
    <d v="2017-04-06T00:00:00"/>
    <n v="17000"/>
    <s v="Familia Ferrer Bahri"/>
    <s v="bahrimariela@hotmail.com"/>
    <s v="Calle Güigüe Nro. 89-83"/>
    <s v="Cancelación Vigilancia, mes de Abril/2017"/>
    <x v="0"/>
    <m/>
    <s v="00169"/>
    <s v="06 de abril de 2017"/>
    <x v="4"/>
    <s v="17.000,00"/>
    <s v="Diecisiete Mil Bolívares con 00/100"/>
  </r>
  <r>
    <n v="170"/>
    <m/>
    <s v="ü"/>
    <d v="2017-04-09T00:00:00"/>
    <n v="17000"/>
    <s v="Familia Fermín Rivas"/>
    <s v="angelferminb@gmail.com"/>
    <s v="Calle Güigüe Nro. 89-55"/>
    <s v="Cancelación Vigilancia, mes de Abril/2017"/>
    <x v="0"/>
    <m/>
    <s v="00170"/>
    <s v="09 de abril de 2017"/>
    <x v="4"/>
    <s v="17.000,00"/>
    <s v="Diecisiete Mil Bolívares con 00/100"/>
  </r>
  <r>
    <n v="171"/>
    <m/>
    <s v="ü"/>
    <d v="2017-03-13T00:00:00"/>
    <n v="17000"/>
    <s v="Amarilis Guerra"/>
    <s v="amarilisguerra1@yahoo.com"/>
    <s v="Calle Güigüe Nro. 89-96"/>
    <s v="Cancelación Vigilancia, mes de Marzo/2017"/>
    <x v="0"/>
    <m/>
    <s v="00171"/>
    <s v="13 de marzo de 2017"/>
    <x v="3"/>
    <s v="17.000,00"/>
    <s v="Diecisiete Mil Bolívares con 00/100"/>
  </r>
  <r>
    <n v="172"/>
    <m/>
    <s v="ü"/>
    <d v="2017-04-08T00:00:00"/>
    <n v="17000"/>
    <s v="Amarilis Guerra"/>
    <s v="amarilisguerra1@yahoo.com"/>
    <s v="Calle Güigüe Nro. 89-96"/>
    <s v="Cancelación Vigilancia, mes de Abril/2017"/>
    <x v="0"/>
    <m/>
    <s v="00172"/>
    <s v="08 de abril de 2017"/>
    <x v="4"/>
    <s v="17.000,00"/>
    <s v="Diecisiete Mil Bolívares con 00/100"/>
  </r>
  <r>
    <n v="173"/>
    <m/>
    <s v="ü"/>
    <d v="2017-04-11T00:00:00"/>
    <n v="10000"/>
    <s v="Familia Kabblan"/>
    <s v="norisjsb56@hotmail.com"/>
    <s v="Calle Güigüe Nro. 89-80"/>
    <s v="Colaboración Vigilancia, mes de Abril/2017"/>
    <x v="0"/>
    <m/>
    <s v="00173"/>
    <s v="11 de abril de 2017"/>
    <x v="4"/>
    <s v="10.000,00"/>
    <s v="Diez Mil Bolívares con 00/100"/>
  </r>
  <r>
    <n v="174"/>
    <m/>
    <s v="ü"/>
    <d v="2017-04-12T00:00:00"/>
    <n v="34000"/>
    <s v="Familia Il Grande Franceschi"/>
    <s v="arcifran75@hotmail.com"/>
    <s v="Av. &quot;I&quot; Nro. 146-40"/>
    <s v="Cancelación Vigilancia, meses de Mar-Abr/2017"/>
    <x v="0"/>
    <m/>
    <s v="00174"/>
    <s v="12 de abril de 2017"/>
    <x v="4"/>
    <s v="34.000,00"/>
    <s v="Treinta y Cuatro Mil Bolívares con 00/100"/>
  </r>
  <r>
    <n v="175"/>
    <m/>
    <s v="ü"/>
    <d v="2017-04-06T00:00:00"/>
    <n v="5000"/>
    <s v="Familia Herrera Guada"/>
    <s v="En Físico"/>
    <s v="Calle Güigüe Nro. 89-90"/>
    <s v="Colaboración Vigilancia, mes de Abril/2017"/>
    <x v="0"/>
    <m/>
    <s v="00175"/>
    <s v="06 de abril de 2017"/>
    <x v="4"/>
    <s v="5.000,00"/>
    <s v="Cinco Mil Bolívares con 00/100"/>
  </r>
  <r>
    <n v="176"/>
    <m/>
    <s v="ü"/>
    <d v="2017-04-06T00:00:00"/>
    <n v="12000"/>
    <s v="Familia Rodríguez Aular"/>
    <s v="mvaular@hotmail.com"/>
    <s v="Calle Güigüe Nro. 88-58"/>
    <s v="Colaboración Vigilancia, mes de Febrero/2017"/>
    <x v="0"/>
    <m/>
    <s v="00176"/>
    <s v="06 de abril de 2017"/>
    <x v="4"/>
    <s v="12.000,00"/>
    <s v="Doce Mil Bolívares con 00/100"/>
  </r>
  <r>
    <n v="177"/>
    <m/>
    <s v="ü"/>
    <d v="2017-04-16T00:00:00"/>
    <n v="17000"/>
    <s v="Familia Arcia Polanco"/>
    <s v="misipo29@gmail.com"/>
    <s v="Calle Guacara Nro. 89-20"/>
    <s v="Cancelación Vigilancia, mes de Abril/2017"/>
    <x v="0"/>
    <m/>
    <s v="00177"/>
    <s v="16 de abril de 2017"/>
    <x v="4"/>
    <s v="17.000,00"/>
    <s v="Diecisiete Mil Bolívares con 00/100"/>
  </r>
  <r>
    <n v="178"/>
    <m/>
    <s v="ü"/>
    <d v="2017-04-17T00:00:00"/>
    <n v="44000"/>
    <s v="Familia González Arévalo"/>
    <s v="feryenis@hotmail.com"/>
    <s v="Calle Guacara Nro. 89-86"/>
    <s v="Cancelación Vigilancia, meses de Abril y Mayo/2017 *DEFINITIVO*"/>
    <x v="0"/>
    <m/>
    <s v="00178"/>
    <s v="17 de abril de 2017"/>
    <x v="4"/>
    <s v="44.000,00"/>
    <s v="Cuarenta y Cuatro Mil Bolívares con 00/100"/>
  </r>
  <r>
    <n v="179"/>
    <m/>
    <s v="ü"/>
    <d v="2017-04-17T00:00:00"/>
    <n v="10000"/>
    <s v="Victoria Francischiello"/>
    <s v="victoriafrancischiello@hotmail.com"/>
    <s v="Calle Guacara Nro. 88-25"/>
    <s v="Colaboración Vigilancia, mes de Abril/2017"/>
    <x v="0"/>
    <m/>
    <s v="00179"/>
    <s v="17 de abril de 2017"/>
    <x v="4"/>
    <s v="10.000,00"/>
    <s v="Diez Mil Bolívares con 00/100"/>
  </r>
  <r>
    <n v="180"/>
    <m/>
    <s v="ü"/>
    <d v="2017-04-17T00:00:00"/>
    <n v="17000"/>
    <s v="Familia Fernández Parés"/>
    <s v="vultecca@gmail.com"/>
    <s v="Calle Guacara Nro. 88-75"/>
    <s v="Cancelación Vigilancia, mes de Abril/2017"/>
    <x v="0"/>
    <m/>
    <s v="00180"/>
    <s v="17 de abril de 2017"/>
    <x v="4"/>
    <s v="17.000,00"/>
    <s v="Diecisiete Mil Bolívares con 00/100"/>
  </r>
  <r>
    <n v="181"/>
    <m/>
    <s v="ü"/>
    <d v="2017-04-16T00:00:00"/>
    <n v="17000"/>
    <s v="Beatriz Lara"/>
    <s v="valentina.gutierrez@hotmail.com"/>
    <s v="Calle Guacara Nro. 89-130"/>
    <s v="Cancelación Vigilancia, mes de Abril/2017"/>
    <x v="0"/>
    <m/>
    <s v="00181"/>
    <s v="16 de abril de 2017"/>
    <x v="4"/>
    <s v="17.000,00"/>
    <s v="Diecisiete Mil Bolívares con 00/100"/>
  </r>
  <r>
    <n v="182"/>
    <m/>
    <s v="ü"/>
    <d v="2017-04-17T00:00:00"/>
    <n v="32000"/>
    <s v="Familia Matta Palomino"/>
    <s v="normaapm@hotmail.com"/>
    <s v="Calle Güigüe Nro. 88-90"/>
    <s v="Colaboración Vigilancia, meses de Mar-Abr/2017"/>
    <x v="0"/>
    <m/>
    <s v="00182"/>
    <s v="17 de abril de 2017"/>
    <x v="4"/>
    <s v="32.000,00"/>
    <s v="Treinta y Dos Mil Bolívares con 00/100"/>
  </r>
  <r>
    <n v="183"/>
    <m/>
    <s v="ü"/>
    <d v="2017-04-18T00:00:00"/>
    <n v="17000"/>
    <s v="Familia Morales Sesar"/>
    <s v="moralesesar@gmail.com"/>
    <s v="Calle Güigüe Nro. 89-120"/>
    <s v="Cancelación Vigilancia, mes de Abril/2017"/>
    <x v="0"/>
    <m/>
    <s v="00183"/>
    <s v="18 de abril de 2017"/>
    <x v="4"/>
    <s v="17.000,00"/>
    <s v="Diecisiete Mil Bolívares con 00/100"/>
  </r>
  <r>
    <n v="184"/>
    <m/>
    <s v="ü"/>
    <d v="2017-04-17T00:00:00"/>
    <n v="34000"/>
    <s v="Familia Piñero Padilla"/>
    <s v="achepaul2005@hotmail.com"/>
    <s v="Calle Güigüe Nro. 89-21"/>
    <s v="Cancelación Vigilancia, meses de Mar-Abr/2017"/>
    <x v="0"/>
    <m/>
    <s v="00184"/>
    <s v="17 de abril de 2017"/>
    <x v="4"/>
    <s v="34.000,00"/>
    <s v="Treinta y Cuatro Mil Bolívares con 00/100"/>
  </r>
  <r>
    <n v="185"/>
    <m/>
    <s v="ü"/>
    <d v="2017-04-17T00:00:00"/>
    <n v="17000"/>
    <s v="Franco Gómez"/>
    <s v="eof64@hotmail.com"/>
    <s v="Calle Guacara Nro. 87-07"/>
    <s v="Cancelación Vigilancia, mes de Abril/2017"/>
    <x v="0"/>
    <m/>
    <s v="00185"/>
    <s v="17 de abril de 2017"/>
    <x v="4"/>
    <s v="17.000,00"/>
    <s v="Diecisiete Mil Bolívares con 00/100"/>
  </r>
  <r>
    <n v="186"/>
    <m/>
    <s v="ü"/>
    <d v="2017-04-20T00:00:00"/>
    <n v="10000"/>
    <s v="Héctor Hernández"/>
    <s v="eof64@hotmail.com"/>
    <s v="Calle Guacara Nro. 89-94"/>
    <s v="Colaboración Vigilancia, mes de Abril/2017"/>
    <x v="0"/>
    <m/>
    <s v="00186"/>
    <s v="20 de abril de 2017"/>
    <x v="4"/>
    <s v="10.000,00"/>
    <s v="Diez Mil Bolívares con 00/100"/>
  </r>
  <r>
    <n v="187"/>
    <m/>
    <s v="ü"/>
    <d v="2017-04-06T00:00:00"/>
    <n v="7000"/>
    <s v="Chin Chun Ya (Goya)"/>
    <s v="uc2721@gmail.com"/>
    <s v="Calle Guacara Nro. 87-86"/>
    <s v="Colaboración Vigilancia, mes de Abril/2017"/>
    <x v="0"/>
    <m/>
    <s v="00187"/>
    <s v="06 de abril de 2017"/>
    <x v="4"/>
    <s v="7.000,00"/>
    <s v="Siete Mil Bolívares con 00/100"/>
  </r>
  <r>
    <n v="188"/>
    <m/>
    <s v="ü"/>
    <d v="2017-04-20T00:00:00"/>
    <n v="3000"/>
    <s v="Familia Rivero"/>
    <s v="En Físico"/>
    <s v="Calle Güigüe Nro. 88-40"/>
    <s v="Colaboración Vigilancia, mes de Abril/2017"/>
    <x v="0"/>
    <m/>
    <s v="00188"/>
    <s v="20 de abril de 2017"/>
    <x v="4"/>
    <s v="3.000,00"/>
    <s v="Tres Mil Bolívares con 00/100"/>
  </r>
  <r>
    <n v="189"/>
    <m/>
    <s v="ü"/>
    <d v="2017-01-15T00:00:00"/>
    <n v="12000"/>
    <s v="Familia Guerra Miret"/>
    <s v="antoniojguerrag@hotmail.com"/>
    <s v="Calle Güigüe Nro. 89-40"/>
    <s v="Colaboración Vigilancia, mes de Enero/2017"/>
    <x v="0"/>
    <m/>
    <s v="00189"/>
    <s v="15 de enero de 2017"/>
    <x v="1"/>
    <s v="12.000,00"/>
    <s v="Doce Mil Bolívares con 00/100"/>
  </r>
  <r>
    <n v="190"/>
    <m/>
    <s v="ü"/>
    <d v="2017-02-16T00:00:00"/>
    <n v="12000"/>
    <s v="Familia Guerra Miret"/>
    <s v="antoniojguerrag@hotmail.com"/>
    <s v="Calle Güigüe Nro. 89-40"/>
    <s v="Colaboración Vigilancia, mes de Febrero/2017"/>
    <x v="0"/>
    <m/>
    <s v="00190"/>
    <s v="16 de febrero de 2017"/>
    <x v="2"/>
    <s v="12.000,00"/>
    <s v="Doce Mil Bolívares con 00/100"/>
  </r>
  <r>
    <n v="191"/>
    <m/>
    <s v="ü"/>
    <d v="2017-03-15T00:00:00"/>
    <n v="12000"/>
    <s v="Familia Guerra Miret"/>
    <s v="antoniojguerrag@hotmail.com"/>
    <s v="Calle Güigüe Nro. 89-40"/>
    <s v="Colaboración Vigilancia, mes de Marzo/2017"/>
    <x v="0"/>
    <m/>
    <s v="00191"/>
    <s v="15 de marzo de 2017"/>
    <x v="3"/>
    <s v="12.000,00"/>
    <s v="Doce Mil Bolívares con 00/100"/>
  </r>
  <r>
    <n v="192"/>
    <m/>
    <s v="ü"/>
    <d v="2017-04-21T00:00:00"/>
    <n v="34000"/>
    <s v="Sra. Reina Meléndez"/>
    <s v="olgajipe@gmail.com"/>
    <s v="Av. &quot;M&quot; Nro. 145-10"/>
    <s v="Cancelación Vigilancia, meses de Mar-Abr/2017"/>
    <x v="0"/>
    <m/>
    <s v="00192"/>
    <s v="21 de abril de 2017"/>
    <x v="4"/>
    <s v="34.000,00"/>
    <s v="Treinta y Cuatro Mil Bolívares con 00/100"/>
  </r>
  <r>
    <n v="193"/>
    <m/>
    <s v="ü"/>
    <d v="2017-04-21T00:00:00"/>
    <n v="17000"/>
    <s v="Familia Díaz González"/>
    <s v="luisrdt57@gmail.com"/>
    <s v="Calle Güigüe Nro. 88-116"/>
    <s v="Cancelación Vigilancia, mes de Abril/2017"/>
    <x v="0"/>
    <m/>
    <s v="00193"/>
    <s v="21 de abril de 2017"/>
    <x v="4"/>
    <s v="17.000,00"/>
    <s v="Diecisiete Mil Bolívares con 00/100"/>
  </r>
  <r>
    <n v="194"/>
    <m/>
    <s v="ü"/>
    <d v="2017-04-20T00:00:00"/>
    <n v="17000"/>
    <s v="Familia Acosta"/>
    <s v="pablo962@hotmail.com"/>
    <s v="Calle Güigüe Nro. 89-10"/>
    <s v="Cancelación Vigilancia, mes de Marzo/2017"/>
    <x v="0"/>
    <m/>
    <s v="00194"/>
    <s v="20 de abril de 2017"/>
    <x v="4"/>
    <s v="17.000,00"/>
    <s v="Diecisiete Mil Bolívares con 00/100"/>
  </r>
  <r>
    <n v="195"/>
    <m/>
    <s v="ü"/>
    <d v="2017-04-22T00:00:00"/>
    <n v="17000"/>
    <s v="Familia Loponte Arteaga"/>
    <s v="nancyloponte@hotmail.com"/>
    <s v="Calle Güigüe Nro. 88-120"/>
    <s v="Cancelación Vigilancia, mes de Abril/2017"/>
    <x v="0"/>
    <m/>
    <s v="00195"/>
    <s v="22 de abril de 2017"/>
    <x v="4"/>
    <s v="17.000,00"/>
    <s v="Diecisiete Mil Bolívares con 00/100"/>
  </r>
  <r>
    <n v="196"/>
    <m/>
    <s v="ü"/>
    <d v="2017-04-22T00:00:00"/>
    <n v="34000"/>
    <s v="Yuraima Rodríguez"/>
    <s v="En Físico"/>
    <s v="Calle Guacara Nro. 89-70"/>
    <s v="Cancelación Vigilancia, meses de Ene-Feb/2017"/>
    <x v="0"/>
    <m/>
    <s v="00196"/>
    <s v="22 de abril de 2017"/>
    <x v="4"/>
    <s v="34.000,00"/>
    <s v="Treinta y Cuatro Mil Bolívares con 00/100"/>
  </r>
  <r>
    <n v="197"/>
    <m/>
    <s v="ü"/>
    <d v="2017-04-23T00:00:00"/>
    <n v="34000"/>
    <s v="Familia Astor Zamora"/>
    <s v="imzastor@gmail.com"/>
    <s v="Calle Güigüe Nro. 88-111"/>
    <s v="Cancelación Vigilancia, meses de Feb-Mar/2017"/>
    <x v="0"/>
    <m/>
    <s v="00197"/>
    <s v="23 de abril de 2017"/>
    <x v="4"/>
    <s v="34.000,00"/>
    <s v="Treinta y Cuatro Mil Bolívares con 00/100"/>
  </r>
  <r>
    <n v="198"/>
    <m/>
    <s v="ü"/>
    <d v="2017-04-23T00:00:00"/>
    <n v="30000"/>
    <s v="Gloria Molina"/>
    <s v="glomola2@yahoo.es"/>
    <s v="Calle Güigüe Nro. 89-71"/>
    <s v="Colaboración Vigilancia, meses de Ene-Mar/2017"/>
    <x v="0"/>
    <m/>
    <s v="00198"/>
    <s v="23 de abril de 2017"/>
    <x v="4"/>
    <s v="30.000,00"/>
    <s v="Treinta Mil Bolívares con 00/100"/>
  </r>
  <r>
    <n v="199"/>
    <m/>
    <s v="ü"/>
    <d v="2017-04-24T00:00:00"/>
    <n v="17000"/>
    <s v="Familia Castillo Mena"/>
    <s v="emmecas@hotmail.com"/>
    <s v="Calle Güigüe Nro. 88-101"/>
    <s v="Cancelación Vigilancia, mes de Abril/2017"/>
    <x v="0"/>
    <m/>
    <s v="00199"/>
    <s v="24 de abril de 2017"/>
    <x v="4"/>
    <s v="17.000,00"/>
    <s v="Diecisiete Mil Bolívares con 00/100"/>
  </r>
  <r>
    <n v="200"/>
    <m/>
    <s v="ü"/>
    <d v="2017-04-24T00:00:00"/>
    <n v="54000"/>
    <s v="Familia Manrique Riera"/>
    <s v="patriciamanrique@gmail.com"/>
    <s v="Calle Guacara Nro. 89-40"/>
    <s v="Cancelación Saldo Vigilancia, mes de Enero/2017 y Cancelación Vigilancia, meses de Feb-Abr/2017"/>
    <x v="0"/>
    <m/>
    <s v="00200"/>
    <s v="24 de abril de 2017"/>
    <x v="4"/>
    <s v="54.000,00"/>
    <s v="Cincuenta y Cuatro Mil Bolívares con 00/100"/>
  </r>
  <r>
    <n v="201"/>
    <m/>
    <s v="ü"/>
    <d v="2017-03-10T00:00:00"/>
    <n v="17000"/>
    <s v="Familia Sayago Peñaranda"/>
    <s v="alexissayago@gmail.com"/>
    <s v="Calle Güigüe Nro. 89-04"/>
    <s v="Cancelación Vigilancia, mes de Marzo/2017"/>
    <x v="0"/>
    <m/>
    <s v="00201"/>
    <s v="10 de marzo de 2017"/>
    <x v="3"/>
    <s v="17.000,00"/>
    <s v="Diecisiete Mil Bolívares con 00/100"/>
  </r>
  <r>
    <n v="202"/>
    <m/>
    <s v="ü"/>
    <d v="2017-04-21T00:00:00"/>
    <n v="17000"/>
    <s v="Familia Sayago Peñaranda"/>
    <s v="alexissayago@gmail.com"/>
    <s v="Calle Güigüe Nro. 89-04"/>
    <s v="Cancelación Vigilancia, mes de Abril/2017"/>
    <x v="0"/>
    <m/>
    <s v="00202"/>
    <s v="21 de abril de 2017"/>
    <x v="4"/>
    <s v="17.000,00"/>
    <s v="Diecisiete Mil Bolívares con 00/100"/>
  </r>
  <r>
    <n v="203"/>
    <m/>
    <s v="ü"/>
    <d v="2017-04-26T00:00:00"/>
    <n v="34000"/>
    <s v="Ana de González"/>
    <s v="mikelnowak25@gmail.com"/>
    <s v="Av. &quot;O&quot; Nro. 146-17"/>
    <s v="Cancelación Vigilancia, meses de Mar-Abr/2017"/>
    <x v="0"/>
    <m/>
    <s v="00203"/>
    <s v="26 de abril de 2017"/>
    <x v="4"/>
    <s v="34.000,00"/>
    <s v="Treinta y Cuatro Mil Bolívares con 00/100"/>
  </r>
  <r>
    <n v="204"/>
    <m/>
    <s v="ü"/>
    <d v="2017-04-27T00:00:00"/>
    <n v="17000"/>
    <s v="Familia Puerta Burguillos"/>
    <s v="namaricakes@gmail.com"/>
    <s v="Calle Guacara Nro. 87-100"/>
    <s v="Cancelación Vigilancia, mes de Abril/2017"/>
    <x v="0"/>
    <m/>
    <s v="00204"/>
    <s v="27 de abril de 2017"/>
    <x v="4"/>
    <s v="17.000,00"/>
    <s v="Diecisiete Mil Bolívares con 00/100"/>
  </r>
  <r>
    <n v="205"/>
    <m/>
    <s v="ü"/>
    <d v="2017-04-27T00:00:00"/>
    <n v="3000"/>
    <s v="Familia Flores Montagne"/>
    <s v="namaricakes@gmail.com"/>
    <s v="Av. &quot;M&quot; Nro. 146-20"/>
    <s v="Colaboración Vigilancia, mes de Abril/2017"/>
    <x v="0"/>
    <m/>
    <s v="00205"/>
    <s v="27 de abril de 2017"/>
    <x v="4"/>
    <s v="3.000,00"/>
    <s v="Tres Mil Bolívares con 00/100"/>
  </r>
  <r>
    <n v="206"/>
    <m/>
    <s v="ü"/>
    <d v="2017-04-27T00:00:00"/>
    <n v="17000"/>
    <s v="Familia Guerra Miret"/>
    <s v="antoniojguerrag@hotmail.com"/>
    <s v="Calle Güigüe Nro. 89-40"/>
    <s v="Colaboración Vigilancia, mes de Abril/2017"/>
    <x v="0"/>
    <m/>
    <s v="00206"/>
    <s v="27 de abril de 2017"/>
    <x v="4"/>
    <s v="17.000,00"/>
    <s v="Diecisiete Mil Bolívares con 00/100"/>
  </r>
  <r>
    <n v="207"/>
    <m/>
    <s v="ü"/>
    <d v="2017-03-27T00:00:00"/>
    <n v="10500"/>
    <s v="Familia Hoyte Rafmari"/>
    <s v="0412-741.3242"/>
    <s v="Av. &quot;I&quot; Nro. 146-30"/>
    <s v="Colaboración Vigilancia, mes de Febrero/2017"/>
    <x v="0"/>
    <m/>
    <s v="00207"/>
    <s v="27 de marzo de 2017"/>
    <x v="3"/>
    <s v="10.500,00"/>
    <s v="Diez Mil Quinientos Bolívares con 00/100"/>
  </r>
  <r>
    <n v="208"/>
    <m/>
    <s v="ü"/>
    <d v="2017-05-02T00:00:00"/>
    <n v="10000"/>
    <s v="Dra. Lilia Magallanes"/>
    <s v="liliamagallanes2010@gmail.com"/>
    <s v="Calle Güigüe Nro. 88-51"/>
    <s v="Colaboración Vigilancia, mes de Abril/2017"/>
    <x v="0"/>
    <m/>
    <s v="00208"/>
    <s v="02 de mayo de 2017"/>
    <x v="5"/>
    <s v="10.000,00"/>
    <s v="Diez Mil Bolívares con 00/100"/>
  </r>
  <r>
    <n v="209"/>
    <m/>
    <s v="ü"/>
    <d v="2017-05-05T00:00:00"/>
    <n v="17000"/>
    <s v="Familia Gascón Domínguez"/>
    <s v="vrgascon@gmail.com"/>
    <s v="Calle Güigüe Nro. 88-70"/>
    <s v="Cancelación Vigilancia, mes de Abril/2017"/>
    <x v="0"/>
    <m/>
    <s v="00209"/>
    <s v="05 de mayo de 2017"/>
    <x v="5"/>
    <s v="17.000,00"/>
    <s v="Diecisiete Mil Bolívares con 00/100"/>
  </r>
  <r>
    <n v="210"/>
    <m/>
    <s v="ü"/>
    <d v="2017-05-05T00:00:00"/>
    <n v="17000"/>
    <s v="Familia Morales Sesar"/>
    <s v="moralesesar@gmail.com"/>
    <s v="Calle Güigüe Nro. 89-120"/>
    <s v="Anticipo Vigilancia, mes de Mayo/2017"/>
    <x v="0"/>
    <m/>
    <s v="00210"/>
    <s v="05 de mayo de 2017"/>
    <x v="5"/>
    <s v="17.000,00"/>
    <s v="Diecisiete Mil Bolívares con 00/100"/>
  </r>
  <r>
    <n v="211"/>
    <m/>
    <s v="ü"/>
    <d v="2017-05-05T00:00:00"/>
    <n v="17000"/>
    <s v="Familia Barreto Pérez"/>
    <s v="bbetsa19@hotmail.com"/>
    <s v="Av. &quot;M&quot; Nro. 146-15"/>
    <s v="Cancelación Vigilancia, mes de Abril/2017"/>
    <x v="0"/>
    <m/>
    <s v="00211"/>
    <s v="05 de mayo de 2017"/>
    <x v="5"/>
    <s v="17.000,00"/>
    <s v="Diecisiete Mil Bolívares con 00/100"/>
  </r>
  <r>
    <n v="212"/>
    <m/>
    <s v="ü"/>
    <d v="2017-05-05T00:00:00"/>
    <n v="17000"/>
    <s v="Anahiz Seijas"/>
    <s v="anahiz_2@hotmail.es"/>
    <s v="Calle Güigüe Nro. 89-106"/>
    <s v="Cancelación Vigilancia, mes de Abril/2017"/>
    <x v="0"/>
    <m/>
    <s v="00212"/>
    <s v="05 de mayo de 2017"/>
    <x v="5"/>
    <s v="17.000,00"/>
    <s v="Diecisiete Mil Bolívares con 00/100"/>
  </r>
  <r>
    <n v="213"/>
    <m/>
    <s v="ü"/>
    <d v="2017-04-28T00:00:00"/>
    <n v="5000"/>
    <s v="Familia Sirit Palencia"/>
    <s v="irasirit@gmail.com"/>
    <s v="Calle Güigüe Nro. 89-35"/>
    <s v="Colaboración Vigilancia, mes de Abril/2017"/>
    <x v="0"/>
    <m/>
    <s v="00213"/>
    <s v="28 de abril de 2017"/>
    <x v="4"/>
    <s v="5.000,00"/>
    <s v="Cinco Mil Bolívares con 00/100"/>
  </r>
  <r>
    <n v="214"/>
    <m/>
    <s v="ü"/>
    <d v="2017-05-06T00:00:00"/>
    <n v="26000"/>
    <s v="Familia Durvelle Serrano"/>
    <s v="sdurvelle@hotmail.com"/>
    <s v="Calle Guacara Nro. 89-60"/>
    <s v="Cancelación Vigilancia, mes de Mayo/2017"/>
    <x v="0"/>
    <m/>
    <s v="00214"/>
    <s v="06 de mayo de 2017"/>
    <x v="5"/>
    <s v="26.000,00"/>
    <s v="Veintiseis Mil Bolívares con 00/100"/>
  </r>
  <r>
    <n v="215"/>
    <m/>
    <s v="ü"/>
    <d v="2017-04-05T00:00:00"/>
    <n v="17000"/>
    <s v="Wu Hung Fung"/>
    <s v="carolinahung24@gmail.com"/>
    <s v="Calle Guacara Nro. 90-81"/>
    <s v="Cancelación Vigilancia, mes de Abril/2017"/>
    <x v="0"/>
    <m/>
    <s v="00215"/>
    <s v="05 de abril de 2017"/>
    <x v="4"/>
    <s v="17.000,00"/>
    <s v="Diecisiete Mil Bolívares con 00/100"/>
  </r>
  <r>
    <n v="216"/>
    <m/>
    <s v="ü"/>
    <d v="2017-05-03T00:00:00"/>
    <n v="17000"/>
    <s v="Wu Hung Fung"/>
    <s v="carolinahung24@gmail.com"/>
    <s v="Calle Guacara Nro. 90-81"/>
    <s v="Anticipo Vigilancia, mes de Mayo/2017"/>
    <x v="0"/>
    <m/>
    <s v="00216"/>
    <s v="03 de mayo de 2017"/>
    <x v="5"/>
    <s v="17.000,00"/>
    <s v="Diecisiete Mil Bolívares con 00/100"/>
  </r>
  <r>
    <n v="217"/>
    <m/>
    <s v="ü"/>
    <d v="2017-05-07T00:00:00"/>
    <n v="9000"/>
    <s v="Wu Hung Fung"/>
    <s v="carolinahung24@gmail.com"/>
    <s v="Calle Guacara Nro. 90-81"/>
    <s v="Cancelación Saldo Vigilancia, mes de Mayo/2017"/>
    <x v="0"/>
    <m/>
    <s v="00217"/>
    <s v="07 de mayo de 2017"/>
    <x v="5"/>
    <s v="9.000,00"/>
    <s v="Nueve Mil Bolívares con 00/100"/>
  </r>
  <r>
    <n v="218"/>
    <m/>
    <s v="ü"/>
    <d v="2017-05-07T00:00:00"/>
    <n v="26000"/>
    <s v="Familia Loponte Arteaga"/>
    <s v="nancyloponte@hotmail.com"/>
    <s v="Calle Güigüe Nro. 88-120"/>
    <s v="Cancelación Vigilancia, mes de Mayo/2017"/>
    <x v="0"/>
    <m/>
    <s v="00218"/>
    <s v="07 de mayo de 2017"/>
    <x v="5"/>
    <s v="26.000,00"/>
    <s v="Veintiseis Mil Bolívares con 00/100"/>
  </r>
  <r>
    <n v="219"/>
    <m/>
    <s v="ü"/>
    <d v="2017-05-07T00:00:00"/>
    <n v="26000"/>
    <s v="Familia Colosso Delgado"/>
    <s v="mcolosso@gmail.com"/>
    <s v="Calle Güigüe Nro. 88-44"/>
    <s v="Cancelación Vigilancia, mes de Mayo/2017"/>
    <x v="0"/>
    <m/>
    <s v="00219"/>
    <s v="07 de mayo de 2017"/>
    <x v="5"/>
    <s v="26.000,00"/>
    <s v="Veintiseis Mil Bolívares con 00/100"/>
  </r>
  <r>
    <n v="220"/>
    <m/>
    <s v="ü"/>
    <d v="2017-05-07T00:00:00"/>
    <n v="17000"/>
    <s v="Familia Hurtado"/>
    <s v="En Físico"/>
    <s v="Av. &quot;O&quot; Nro. 146-11"/>
    <s v="Cancelación Vigilancia, mes de Abril/2017"/>
    <x v="0"/>
    <m/>
    <s v="00220"/>
    <s v="07 de mayo de 2017"/>
    <x v="5"/>
    <s v="17.000,00"/>
    <s v="Diecisiete Mil Bolívares con 00/100"/>
  </r>
  <r>
    <n v="221"/>
    <m/>
    <s v="ü"/>
    <d v="2017-02-15T00:00:00"/>
    <n v="20000"/>
    <s v="La Casita Encantada"/>
    <s v="En Físico"/>
    <s v="Av. &quot;M&quot; Nro. 146-30"/>
    <s v="Cancelación Vigilancia, mes de Febrero/2017"/>
    <x v="0"/>
    <m/>
    <s v="00221"/>
    <s v="15 de febrero de 2017"/>
    <x v="2"/>
    <s v="20.000,00"/>
    <s v="Veinte Mil Bolívares con 00/100"/>
  </r>
  <r>
    <n v="222"/>
    <m/>
    <s v="ü"/>
    <d v="2017-01-15T00:00:00"/>
    <n v="30000"/>
    <s v="Colegio El Trigal"/>
    <s v="En Físico"/>
    <s v="Calle Güigüe Nros. 88-71 y 88-81"/>
    <s v="Cancelación Vigilancia, mes de Enero/2017"/>
    <x v="0"/>
    <m/>
    <s v="00222"/>
    <s v="15 de enero de 2017"/>
    <x v="1"/>
    <s v="30.000,00"/>
    <s v="Treinta Mil Bolívares con 00/100"/>
  </r>
  <r>
    <n v="223"/>
    <m/>
    <s v="ü"/>
    <d v="2017-05-08T00:00:00"/>
    <n v="26000"/>
    <s v="Familia Arcia Polanco"/>
    <s v="misipo29@gmail.com"/>
    <s v="Calle Guacara Nro. 89-20"/>
    <s v="Cancelación Vigilancia, mes de Mayo/2017"/>
    <x v="0"/>
    <m/>
    <s v="00223"/>
    <s v="08 de mayo de 2017"/>
    <x v="5"/>
    <s v="26.000,00"/>
    <s v="Veintiseis Mil Bolívares con 00/100"/>
  </r>
  <r>
    <n v="224"/>
    <m/>
    <s v="ü"/>
    <d v="2017-05-08T00:00:00"/>
    <n v="26000"/>
    <s v="Familia Del Negro Palermo"/>
    <s v="vdelnegro@gmail.com"/>
    <s v="Calle Guacara Nro. 88-45"/>
    <s v="Cancelación Vigilancia, mes de Mayo/2017"/>
    <x v="0"/>
    <m/>
    <s v="00224"/>
    <s v="08 de mayo de 2017"/>
    <x v="5"/>
    <s v="26.000,00"/>
    <s v="Veintiseis Mil Bolívares con 00/100"/>
  </r>
  <r>
    <n v="225"/>
    <m/>
    <s v="ü"/>
    <d v="2017-03-15T00:00:00"/>
    <n v="17000"/>
    <s v="Familia Castro Jiménez"/>
    <s v="0426-543.4303"/>
    <s v="Calle Guacara Nro. 90-51"/>
    <s v="Cancelación Vigilancia, mes de Marzo/2017"/>
    <x v="0"/>
    <m/>
    <s v="00225"/>
    <s v="15 de marzo de 2017"/>
    <x v="3"/>
    <s v="17.000,00"/>
    <s v="Diecisiete Mil Bolívares con 00/100"/>
  </r>
  <r>
    <n v="226"/>
    <m/>
    <s v="ü"/>
    <d v="2017-05-08T00:00:00"/>
    <n v="34000"/>
    <s v="Familia Scabuzzo Gómez"/>
    <s v="sfscabuzzo@msn.com"/>
    <s v="Av. &quot;I&quot; Nro. 146-20"/>
    <s v="Cancelación Vigilancia, mes de Abr/2017 y anticipo May/2017"/>
    <x v="0"/>
    <m/>
    <s v="00226"/>
    <s v="08 de mayo de 2017"/>
    <x v="5"/>
    <s v="34.000,00"/>
    <s v="Treinta y Cuatro Mil Bolívares con 00/100"/>
  </r>
  <r>
    <n v="227"/>
    <m/>
    <s v="ü"/>
    <d v="2017-03-15T00:00:00"/>
    <n v="17000"/>
    <s v="Familia Delgado Hidalgo"/>
    <s v="ardh@hotmail.com"/>
    <s v="Calle Güigüe Nro. 88-10"/>
    <s v="Cancelación Vigilancia, mes de Febrero/2017"/>
    <x v="0"/>
    <m/>
    <s v="00227"/>
    <s v="15 de marzo de 2017"/>
    <x v="3"/>
    <s v="17.000,00"/>
    <s v="Diecisiete Mil Bolívares con 00/100"/>
  </r>
  <r>
    <n v="228"/>
    <m/>
    <s v="û"/>
    <m/>
    <m/>
    <s v="Familia Delgado Hidalgo"/>
    <s v="ardh@hotmail.com"/>
    <s v="Calle Güigüe Nro. 88-10"/>
    <s v="ANULADO: Cancelación Vigilancia, mes de Marzo/2017"/>
    <x v="3"/>
    <m/>
    <s v="00228"/>
    <s v=""/>
    <x v="6"/>
    <s v="0,00"/>
    <s v="Cero Bolívares con 00/100"/>
  </r>
  <r>
    <n v="229"/>
    <m/>
    <s v="ü"/>
    <d v="2017-05-05T00:00:00"/>
    <n v="17000"/>
    <s v="Familia Delgado Hidalgo"/>
    <s v="ardh@hotmail.com"/>
    <s v="Calle Güigüe Nro. 88-10"/>
    <s v="Cancelación Vigilancia, mes de Marzo/2017"/>
    <x v="0"/>
    <m/>
    <s v="00229"/>
    <s v="05 de mayo de 2017"/>
    <x v="5"/>
    <s v="17.000,00"/>
    <s v="Diecisiete Mil Bolívares con 00/100"/>
  </r>
  <r>
    <n v="230"/>
    <m/>
    <s v="ü"/>
    <d v="2017-05-08T00:00:00"/>
    <n v="17000"/>
    <s v="Familia Navarro Assing"/>
    <s v="liliaassing@gmail.com"/>
    <s v="Calle Güigüe Nro. 88-54"/>
    <s v="Cancelación Vigilancia, mes de Abril/2017"/>
    <x v="0"/>
    <m/>
    <s v="00230"/>
    <s v="08 de mayo de 2017"/>
    <x v="5"/>
    <s v="17.000,00"/>
    <s v="Diecisiete Mil Bolívares con 00/100"/>
  </r>
  <r>
    <n v="231"/>
    <m/>
    <s v="ü"/>
    <d v="2017-05-09T00:00:00"/>
    <n v="26000"/>
    <s v="Familia Puerta Burguillos"/>
    <s v="namaricakes@gmail.com"/>
    <s v="Calle Guacara Nro. 87-100"/>
    <s v="Cancelación Vigilancia, mes de Mayo/2017"/>
    <x v="0"/>
    <m/>
    <s v="00231"/>
    <s v="09 de mayo de 2017"/>
    <x v="5"/>
    <s v="26.000,00"/>
    <s v="Veintiseis Mil Bolívares con 00/100"/>
  </r>
  <r>
    <n v="232"/>
    <m/>
    <s v="ü"/>
    <d v="2017-05-09T00:00:00"/>
    <n v="4000"/>
    <s v="Familia Flores Montagne"/>
    <s v="namaricakes@gmail.com"/>
    <s v="Av. &quot;M&quot; Nro. 146-20"/>
    <s v="Colaboración Vigilancia, mes de Mayo/2017"/>
    <x v="0"/>
    <m/>
    <s v="00232"/>
    <s v="09 de mayo de 2017"/>
    <x v="5"/>
    <s v="4.000,00"/>
    <s v="Cuatro Mil Bolívares con 00/100"/>
  </r>
  <r>
    <n v="233"/>
    <m/>
    <s v="ü"/>
    <d v="2017-04-30T00:00:00"/>
    <n v="17000"/>
    <s v="Familia Cegarra Villamizar"/>
    <s v="jesus.villamizar.ra@gmail.com"/>
    <s v="Calle Guacara Nro. 88-35"/>
    <s v="Cancelación Vigilancia, mes de Abril/2017, contra facturas"/>
    <x v="0"/>
    <m/>
    <s v="00233"/>
    <s v="30 de abril de 2017"/>
    <x v="4"/>
    <s v="17.000,00"/>
    <s v="Diecisiete Mil Bolívares con 00/100"/>
  </r>
  <r>
    <n v="234"/>
    <m/>
    <s v="ü"/>
    <d v="2017-05-09T00:00:00"/>
    <n v="43000"/>
    <s v="Familia López Hermoso"/>
    <s v="lopez.humberto14@yahoo.com.ve"/>
    <s v="Calle Güigüe Nro. 89-79"/>
    <s v="Cancelación Vigilancia, mes de Mayo/2017 y Bs. 17.000 adelanto Junio/2017"/>
    <x v="0"/>
    <m/>
    <s v="00234"/>
    <s v="09 de mayo de 2017"/>
    <x v="5"/>
    <s v="43.000,00"/>
    <s v="Cuarenta y Tres Mil Bolívares con 00/100"/>
  </r>
  <r>
    <n v="235"/>
    <m/>
    <s v="ü"/>
    <d v="2017-05-09T00:00:00"/>
    <n v="26000"/>
    <s v="Familia Castillo Mena"/>
    <s v="emmecas@hotmail.com"/>
    <s v="Calle Güigüe Nro. 88-101"/>
    <s v="Cancelación Vigilancia, mes de Mayo/2017"/>
    <x v="0"/>
    <m/>
    <s v="00235"/>
    <s v="09 de mayo de 2017"/>
    <x v="5"/>
    <s v="26.000,00"/>
    <s v="Veintiseis Mil Bolívares con 00/100"/>
  </r>
  <r>
    <n v="236"/>
    <m/>
    <s v="ü"/>
    <d v="2017-04-06T00:00:00"/>
    <n v="14000"/>
    <s v="Familia Zavarce Barón"/>
    <s v="0414-241.8055"/>
    <s v="Calle Guacara Nro. 88-91"/>
    <s v="Colaboración Vigilancia, mes de Marzo/2017"/>
    <x v="0"/>
    <m/>
    <s v="00236"/>
    <s v="06 de abril de 2017"/>
    <x v="4"/>
    <s v="14.000,00"/>
    <s v="Catorce Mil Bolívares con 00/100"/>
  </r>
  <r>
    <n v="237"/>
    <m/>
    <s v="ü"/>
    <d v="2017-05-09T00:00:00"/>
    <n v="10500"/>
    <s v="Familia Hoyte Rafmari"/>
    <s v="0412-741.3242"/>
    <s v="Av. &quot;I&quot; Nro. 146-30"/>
    <s v="Colaboración Vigilancia, mes de Marzo/2017"/>
    <x v="0"/>
    <m/>
    <s v="00237"/>
    <s v="09 de mayo de 2017"/>
    <x v="5"/>
    <s v="10.500,00"/>
    <s v="Diez Mil Quinientos Bolívares con 00/100"/>
  </r>
  <r>
    <n v="238"/>
    <m/>
    <s v="ü"/>
    <d v="2017-05-09T00:00:00"/>
    <n v="24000"/>
    <s v="Familia Rodríguez Aular"/>
    <s v="mvaular@hotmail.com"/>
    <s v="Calle Güigüe Nro. 88-58"/>
    <s v="Colaboración Vigilancia, meses de Mar-Abr/2017"/>
    <x v="0"/>
    <m/>
    <s v="00238"/>
    <s v="09 de mayo de 2017"/>
    <x v="5"/>
    <s v="24.000,00"/>
    <s v="Veinticuatro Mil Bolívares con 00/100"/>
  </r>
  <r>
    <n v="239"/>
    <m/>
    <s v="ü"/>
    <d v="2017-05-09T00:00:00"/>
    <n v="60000"/>
    <s v="Familia Ochoa Mendoza"/>
    <s v="marisoljudithm@hotmail.com"/>
    <s v="Calle Güigüe Nro. 89-105"/>
    <s v="Cancelación Vigilancia, meses de Marzo, Abril y Mayo/2017"/>
    <x v="0"/>
    <m/>
    <s v="00239"/>
    <s v="09 de mayo de 2017"/>
    <x v="5"/>
    <s v="60.000,00"/>
    <s v="Sesenta Mil Bolívares con 00/100"/>
  </r>
  <r>
    <n v="240"/>
    <m/>
    <s v="ü"/>
    <d v="2017-05-10T00:00:00"/>
    <n v="26000"/>
    <s v="Beatriz Lara"/>
    <s v="valentina.gutierrez@hotmail.com"/>
    <s v="Calle Guacara Nro. 89-130"/>
    <s v="Cancelación Vigilancia, mes de Mayo/2017"/>
    <x v="0"/>
    <m/>
    <s v="00240"/>
    <s v="10 de mayo de 2017"/>
    <x v="5"/>
    <s v="26.000,00"/>
    <s v="Veintiseis Mil Bolívares con 00/100"/>
  </r>
  <r>
    <n v="241"/>
    <m/>
    <s v="ü"/>
    <d v="2017-05-10T00:00:00"/>
    <n v="17000"/>
    <s v="Familia Zavarce Barón"/>
    <s v="0414-241.8055"/>
    <s v="Calle Guacara Nro. 88-91"/>
    <s v="Cancelación Vigilancia, mes de Abril/2017"/>
    <x v="0"/>
    <m/>
    <s v="00241"/>
    <s v="10 de mayo de 2017"/>
    <x v="5"/>
    <s v="17.000,00"/>
    <s v="Diecisiete Mil Bolívares con 00/100"/>
  </r>
  <r>
    <n v="242"/>
    <m/>
    <s v="ü"/>
    <d v="2017-05-10T00:00:00"/>
    <n v="10000"/>
    <s v="Manuel Rodríguez"/>
    <s v="mrl58@hotmail.com"/>
    <s v="Calle Güigüe Nro. 89-29"/>
    <s v="Colaboración Vigilancia, mes de Mayo/2017"/>
    <x v="0"/>
    <m/>
    <s v="00242"/>
    <s v="10 de mayo de 2017"/>
    <x v="5"/>
    <s v="10.000,00"/>
    <s v="Diez Mil Bolívares con 00/100"/>
  </r>
  <r>
    <n v="243"/>
    <m/>
    <s v="ü"/>
    <d v="2017-05-11T00:00:00"/>
    <n v="26000"/>
    <s v="Familia González Arévalo"/>
    <s v="feryenis@hotmail.com"/>
    <s v="Calle Guacara Nro. 89-86"/>
    <s v="Cancelación Vigilancia, mes de Junio/2017 *DEFINITIVO*"/>
    <x v="0"/>
    <m/>
    <s v="00243"/>
    <s v="11 de mayo de 2017"/>
    <x v="5"/>
    <s v="26.000,00"/>
    <s v="Veintiseis Mil Bolívares con 00/100"/>
  </r>
  <r>
    <n v="244"/>
    <m/>
    <s v="ü"/>
    <d v="2017-05-11T00:00:00"/>
    <n v="15000"/>
    <s v="Familia Kabblan"/>
    <s v="norisjsb56@hotmail.com"/>
    <s v="Calle Güigüe Nro. 89-80"/>
    <s v="Colaboración Vigilancia, mes de Mayo/2017"/>
    <x v="0"/>
    <m/>
    <s v="00244"/>
    <s v="11 de mayo de 2017"/>
    <x v="5"/>
    <s v="15.000,00"/>
    <s v="Quince Mil Bolívares con 00/100"/>
  </r>
  <r>
    <n v="245"/>
    <m/>
    <s v="ü"/>
    <d v="2017-05-11T00:00:00"/>
    <n v="10000"/>
    <s v="Zoraida Khair"/>
    <s v="zorakhair@hotmail.com"/>
    <s v="Calle Güigüe Nro. 88-80"/>
    <s v="Colaboración Vigilancia, mes de Mayo/2017"/>
    <x v="0"/>
    <m/>
    <s v="00245"/>
    <s v="11 de mayo de 2017"/>
    <x v="5"/>
    <s v="10.000,00"/>
    <s v="Diez Mil Bolívares con 00/100"/>
  </r>
  <r>
    <n v="246"/>
    <m/>
    <s v="ü"/>
    <d v="2017-05-13T00:00:00"/>
    <n v="7000"/>
    <s v="Chin Chun Ya (Goya)"/>
    <s v="uc2721@gmail.com"/>
    <s v="Calle Guacara Nro. 87-86"/>
    <s v="Colaboración Vigilancia, mes de Mayo/2017"/>
    <x v="0"/>
    <m/>
    <s v="00246"/>
    <s v="13 de mayo de 2017"/>
    <x v="5"/>
    <s v="7.000,00"/>
    <s v="Siete Mil Bolívares con 00/100"/>
  </r>
  <r>
    <n v="247"/>
    <m/>
    <s v="ü"/>
    <d v="2017-05-15T00:00:00"/>
    <n v="26000"/>
    <s v="Familia Fermín Rivas"/>
    <s v="angelferminb@gmail.com"/>
    <s v="Calle Güigüe Nro. 89-55"/>
    <s v="Cancelación Vigilancia, mes de Mayo/2017"/>
    <x v="0"/>
    <m/>
    <s v="00247"/>
    <s v="15 de mayo de 2017"/>
    <x v="5"/>
    <s v="26.000,00"/>
    <s v="Veintiseis Mil Bolívares con 00/100"/>
  </r>
  <r>
    <n v="248"/>
    <m/>
    <s v="ü"/>
    <d v="2017-05-15T00:00:00"/>
    <n v="17000"/>
    <s v="Familia Nava Gordon"/>
    <s v="maru_19_66@hotmail.com"/>
    <s v="Calle Guacara Nro. 89-78"/>
    <s v="Cancelación Vigilancia, mes de Abril/2017"/>
    <x v="0"/>
    <m/>
    <s v="00248"/>
    <s v="15 de mayo de 2017"/>
    <x v="5"/>
    <s v="17.000,00"/>
    <s v="Diecisiete Mil Bolívares con 00/100"/>
  </r>
  <r>
    <n v="249"/>
    <m/>
    <s v="ü"/>
    <d v="2017-05-15T00:00:00"/>
    <n v="20000"/>
    <s v="Familia Méndez Parra"/>
    <s v="briceidamp@hotmail.com"/>
    <s v="Calle Guacara Nro. 88-19"/>
    <s v="Colaboración Vigilancia, mes de Mayo/2017"/>
    <x v="0"/>
    <m/>
    <s v="00249"/>
    <s v="15 de mayo de 2017"/>
    <x v="5"/>
    <s v="20.000,00"/>
    <s v="Veinte Mil Bolívares con 00/100"/>
  </r>
  <r>
    <n v="250"/>
    <m/>
    <s v="ü"/>
    <d v="2017-05-15T00:00:00"/>
    <n v="26000"/>
    <s v="Familia Díaz González"/>
    <s v="luisrdt57@gmail.com"/>
    <s v="Calle Güigüe Nro. 88-116"/>
    <s v="Cancelación Vigilancia, mes de Mayo/2017"/>
    <x v="0"/>
    <m/>
    <s v="00250"/>
    <s v="15 de mayo de 2017"/>
    <x v="5"/>
    <s v="26.000,00"/>
    <s v="Veintiseis Mil Bolívares con 00/100"/>
  </r>
  <r>
    <n v="251"/>
    <m/>
    <s v="ü"/>
    <d v="2017-05-15T00:00:00"/>
    <n v="26000"/>
    <s v="Familia Sayago Peñaranda"/>
    <s v="alexissayago@gmail.com"/>
    <s v="Calle Güigüe Nro. 89-04"/>
    <s v="Cancelación Vigilancia, mes de Mayo/2017"/>
    <x v="0"/>
    <m/>
    <s v="00251"/>
    <s v="15 de mayo de 2017"/>
    <x v="5"/>
    <s v="26.000,00"/>
    <s v="Veintiseis Mil Bolívares con 00/100"/>
  </r>
  <r>
    <n v="252"/>
    <m/>
    <s v="ü"/>
    <d v="2017-05-09T00:00:00"/>
    <n v="5000"/>
    <s v="Familia Herrera Guada"/>
    <s v="En Físico"/>
    <s v="Calle Güigüe Nro. 89-90"/>
    <s v="Colaboración Vigilancia, mes de Mayo/2017"/>
    <x v="0"/>
    <m/>
    <s v="00252"/>
    <s v="09 de mayo de 2017"/>
    <x v="5"/>
    <s v="5.000,00"/>
    <s v="Cinco Mil Bolívares con 00/100"/>
  </r>
  <r>
    <n v="253"/>
    <m/>
    <s v="ü"/>
    <d v="2017-05-16T00:00:00"/>
    <n v="17000"/>
    <s v="Franco Gómez"/>
    <s v="eof64@hotmail.com"/>
    <s v="Calle Guacara Nro. 87-07"/>
    <s v="Colaboración Vigilancia, mes de Mayo/2017"/>
    <x v="0"/>
    <m/>
    <s v="00253"/>
    <s v="16 de mayo de 2017"/>
    <x v="5"/>
    <s v="17.000,00"/>
    <s v="Diecisiete Mil Bolívares con 00/100"/>
  </r>
  <r>
    <n v="254"/>
    <m/>
    <s v="ü"/>
    <d v="2017-05-17T00:00:00"/>
    <n v="26000"/>
    <s v="Familia Ferrer Bahri"/>
    <s v="bahrimariela@hotmail.com"/>
    <s v="Calle Güigüe Nro. 89-83"/>
    <s v="Cancelación Vigilancia, mes de Mayo/2017"/>
    <x v="0"/>
    <m/>
    <s v="00254"/>
    <s v="17 de mayo de 2017"/>
    <x v="5"/>
    <s v="26.000,00"/>
    <s v="Veintiseis Mil Bolívares con 00/100"/>
  </r>
  <r>
    <n v="255"/>
    <m/>
    <s v="ü"/>
    <d v="2017-03-15T00:00:00"/>
    <n v="20000"/>
    <s v="La Casita Encantada"/>
    <s v="En Físico"/>
    <s v="Av. &quot;M&quot; Nro. 146-30"/>
    <s v="Cancelación Vigilancia, mes de Marzo/2017"/>
    <x v="0"/>
    <m/>
    <s v="00255"/>
    <s v="15 de marzo de 2017"/>
    <x v="3"/>
    <s v="20.000,00"/>
    <s v="Veinte Mil Bolívares con 00/100"/>
  </r>
  <r>
    <n v="256"/>
    <m/>
    <s v="ü"/>
    <d v="2017-04-15T00:00:00"/>
    <n v="20000"/>
    <s v="La Casita Encantada"/>
    <s v="En Físico"/>
    <s v="Av. &quot;M&quot; Nro. 146-30"/>
    <s v="Cancelación Vigilancia, mes de Abril/2017"/>
    <x v="0"/>
    <m/>
    <s v="00256"/>
    <s v="15 de abril de 2017"/>
    <x v="4"/>
    <s v="20.000,00"/>
    <s v="Veinte Mil Bolívares con 00/100"/>
  </r>
  <r>
    <n v="257"/>
    <m/>
    <s v="ü"/>
    <d v="2017-02-15T00:00:00"/>
    <n v="30000"/>
    <s v="Colegio El Trigal"/>
    <s v="En Físico"/>
    <s v="Calle Güigüe Nros. 88-71 y 88-81"/>
    <s v="Cancelación Vigilancia, mes de Febrero/2017"/>
    <x v="0"/>
    <m/>
    <s v="00257"/>
    <s v="15 de febrero de 2017"/>
    <x v="2"/>
    <s v="30.000,00"/>
    <s v="Treinta Mil Bolívares con 00/100"/>
  </r>
  <r>
    <n v="258"/>
    <m/>
    <s v="ü"/>
    <d v="2017-03-15T00:00:00"/>
    <n v="30000"/>
    <s v="Colegio El Trigal"/>
    <s v="En Físico"/>
    <s v="Calle Güigüe Nros. 88-71 y 88-81"/>
    <s v="Cancelación Vigilancia, mes de Marzo/2017"/>
    <x v="0"/>
    <m/>
    <s v="00258"/>
    <s v="15 de marzo de 2017"/>
    <x v="3"/>
    <s v="30.000,00"/>
    <s v="Treinta Mil Bolívares con 00/100"/>
  </r>
  <r>
    <n v="259"/>
    <m/>
    <s v="ü"/>
    <d v="2017-04-15T00:00:00"/>
    <n v="30000"/>
    <s v="Colegio El Trigal"/>
    <s v="En Físico"/>
    <s v="Calle Güigüe Nros. 88-71 y 88-81"/>
    <s v="Cancelación Vigilancia, mes de Abril/2017"/>
    <x v="0"/>
    <m/>
    <s v="00259"/>
    <s v="15 de abril de 2017"/>
    <x v="4"/>
    <s v="30.000,00"/>
    <s v="Treinta Mil Bolívares con 00/100"/>
  </r>
  <r>
    <n v="260"/>
    <m/>
    <s v="ü"/>
    <d v="2017-05-18T00:00:00"/>
    <n v="20000"/>
    <s v="Victoria Francischiello"/>
    <s v="victoriafrancischiello@hotmail.com"/>
    <s v="Calle Guacara Nro. 88-25"/>
    <s v="Colaboración Vigilancia, mes de Mayo/2017"/>
    <x v="0"/>
    <m/>
    <s v="00260"/>
    <s v="18 de mayo de 2017"/>
    <x v="5"/>
    <s v="20.000,00"/>
    <s v="Veinte Mil Bolívares con 00/100"/>
  </r>
  <r>
    <n v="261"/>
    <m/>
    <s v="ü"/>
    <d v="2017-05-22T00:00:00"/>
    <n v="30000"/>
    <s v="La Casita Encantada"/>
    <s v="En Físico"/>
    <s v="Av. &quot;M&quot; Nro. 146-30"/>
    <s v="Cancelación Vigilancia, mes de Mayo/2017"/>
    <x v="0"/>
    <m/>
    <s v="00261"/>
    <s v="22 de mayo de 2017"/>
    <x v="5"/>
    <s v="30.000,00"/>
    <s v="Treinta Mil Bolívares con 00/100"/>
  </r>
  <r>
    <n v="262"/>
    <m/>
    <s v="ü"/>
    <d v="2017-05-22T00:00:00"/>
    <n v="34000"/>
    <s v="Familia Zavarce Pérez"/>
    <s v="En Físico"/>
    <s v="Calle Guacara Nro. 90-35"/>
    <s v="Cancelación Vigilancia, mes de Abril/2017 y anticipo Mayo/2017 (Bs. 17.000)"/>
    <x v="0"/>
    <m/>
    <s v="00262"/>
    <s v="22 de mayo de 2017"/>
    <x v="5"/>
    <s v="34.000,00"/>
    <s v="Treinta y Cuatro Mil Bolívares con 00/100"/>
  </r>
  <r>
    <n v="263"/>
    <m/>
    <s v="ü"/>
    <d v="2017-05-23T00:00:00"/>
    <n v="40000"/>
    <s v="Colegio El Trigal"/>
    <s v="En Físico"/>
    <s v="Calle Güigüe Nros. 88-71 y 88-81"/>
    <s v="Cancelación Vigilancia, mes de Mayo/2017"/>
    <x v="0"/>
    <m/>
    <s v="00263"/>
    <s v="23 de mayo de 2017"/>
    <x v="5"/>
    <s v="40.000,00"/>
    <s v="Cuarenta Mil Bolívares con 00/100"/>
  </r>
  <r>
    <n v="264"/>
    <m/>
    <s v="ü"/>
    <d v="2017-05-24T00:00:00"/>
    <n v="26000"/>
    <s v="Familia Matta Palomino"/>
    <s v="En Físico"/>
    <s v="Calle Güigüe Nro. 88-90"/>
    <s v="Cancelación Vigilancia, mes de Mayo/2017"/>
    <x v="0"/>
    <m/>
    <s v="00264"/>
    <s v="24 de mayo de 2017"/>
    <x v="5"/>
    <s v="26.000,00"/>
    <s v="Veintiseis Mil Bolívares con 00/100"/>
  </r>
  <r>
    <n v="265"/>
    <m/>
    <s v="ü"/>
    <d v="2017-05-26T00:00:00"/>
    <n v="22000"/>
    <s v="Familia Navarro Assing"/>
    <s v="liliaassing@gmail.com"/>
    <s v="Calle Güigüe Nro. 88-54"/>
    <s v="Anticipo Vigilancia, mes de Mayo/2017"/>
    <x v="0"/>
    <m/>
    <s v="00265"/>
    <s v="26 de mayo de 2017"/>
    <x v="5"/>
    <s v="22.000,00"/>
    <s v="Veintidos Mil Bolívares con 00/100"/>
  </r>
  <r>
    <n v="266"/>
    <m/>
    <s v="ü"/>
    <d v="2017-05-24T00:00:00"/>
    <n v="3000"/>
    <s v="Ma. de Jesus Alonso"/>
    <s v="marjoriealonsoh@hotmail.com"/>
    <s v="Calle Güigüe Nro. 88-30"/>
    <s v="Colaboración Vigilancia, mes de Abril/2017"/>
    <x v="0"/>
    <m/>
    <s v="00266"/>
    <s v="24 de mayo de 2017"/>
    <x v="5"/>
    <s v="3.000,00"/>
    <s v="Tres Mil Bolívares con 00/100"/>
  </r>
  <r>
    <n v="267"/>
    <m/>
    <s v="ü"/>
    <d v="2017-05-26T00:00:00"/>
    <n v="5000"/>
    <s v="Familia Rivero"/>
    <s v="En Físico"/>
    <s v="Calle Güigüe Nro. 88-40"/>
    <s v="Colaboración Vigilancia, mes de Mayo/2017"/>
    <x v="0"/>
    <m/>
    <s v="00267"/>
    <s v="26 de mayo de 2017"/>
    <x v="5"/>
    <s v="5.000,00"/>
    <s v="Cinco Mil Bolívares con 00/100"/>
  </r>
  <r>
    <n v="268"/>
    <m/>
    <s v="ü"/>
    <d v="2017-05-27T00:00:00"/>
    <n v="26000"/>
    <s v="Familia Castillo Rodríguez"/>
    <s v="vesperanzacastillor@gmail.com"/>
    <s v="Calle Güigüe Nro. 88-91"/>
    <s v="Cancelación Vigilancia, mes de Mayo/2017"/>
    <x v="0"/>
    <m/>
    <s v="00268"/>
    <s v="27 de mayo de 2017"/>
    <x v="5"/>
    <s v="26.000,00"/>
    <s v="Veintiseis Mil Bolívares con 00/100"/>
  </r>
  <r>
    <n v="269"/>
    <m/>
    <s v="ü"/>
    <d v="2017-05-27T00:00:00"/>
    <n v="15000"/>
    <s v="Familia Chávez Hernández"/>
    <s v="mercedesch23@hotmail.com"/>
    <s v="Calle Güigüe Nro. 88-20"/>
    <s v="Colaboración Vigilancia, meses de Noviembre/2016 a Marzo/2017"/>
    <x v="0"/>
    <m/>
    <s v="00269"/>
    <s v="27 de mayo de 2017"/>
    <x v="5"/>
    <s v="15.000,00"/>
    <s v="Quince Mil Bolívares con 00/100"/>
  </r>
  <r>
    <n v="270"/>
    <m/>
    <s v="ü"/>
    <d v="2017-05-28T00:00:00"/>
    <n v="9000"/>
    <s v="Familia Zavarce Pérez"/>
    <s v="En Físico"/>
    <s v="Calle Guacara Nro. 90-35"/>
    <s v="Cancelación Saldo Vigilancia, mes de Mayo/2017"/>
    <x v="0"/>
    <m/>
    <s v="00270"/>
    <s v="28 de mayo de 2017"/>
    <x v="5"/>
    <s v="9.000,00"/>
    <s v="Nueve Mil Bolívares con 00/100"/>
  </r>
  <r>
    <n v="271"/>
    <m/>
    <s v="ü"/>
    <d v="2017-05-28T00:00:00"/>
    <n v="26000"/>
    <s v="Anahiz Seijas"/>
    <s v="anahiz_2@hotmail.es"/>
    <s v="Calle Güigüe Nro. 89-106"/>
    <s v="Cancelación Vigilancia, mes de Mayo/2017"/>
    <x v="0"/>
    <m/>
    <s v="00271"/>
    <s v="28 de mayo de 2017"/>
    <x v="5"/>
    <s v="26.000,00"/>
    <s v="Veintiseis Mil Bolívares con 00/100"/>
  </r>
  <r>
    <n v="272"/>
    <m/>
    <s v="ü"/>
    <d v="2017-05-29T00:00:00"/>
    <n v="69000"/>
    <s v="Familia Narváez Caldera"/>
    <s v="jeannette_nc@yahoo.com"/>
    <s v="Calle Güigüe Nro. 87-A-11"/>
    <s v="Cancelación Vigilancia, meses de Abril, Mayo y Junio/2017"/>
    <x v="0"/>
    <m/>
    <s v="00272"/>
    <s v="29 de mayo de 2017"/>
    <x v="5"/>
    <s v="69.000,00"/>
    <s v="Sesenta y Nueve Mil Bolívares con 00/100"/>
  </r>
  <r>
    <n v="273"/>
    <m/>
    <s v="ü"/>
    <d v="2017-05-29T00:00:00"/>
    <n v="26000"/>
    <s v="Familia Astor Zamora"/>
    <s v="imzastor@gmail.com"/>
    <s v="Calle Güigüe Nro. 88-111"/>
    <s v="Cancelación Vigilancia, mes de Mayo/2017"/>
    <x v="0"/>
    <m/>
    <s v="00273"/>
    <s v="29 de mayo de 2017"/>
    <x v="5"/>
    <s v="26.000,00"/>
    <s v="Veintiseis Mil Bolívares con 00/100"/>
  </r>
  <r>
    <n v="274"/>
    <m/>
    <s v="ü"/>
    <d v="2017-05-29T00:00:00"/>
    <n v="27000"/>
    <s v="Amarilis Guerra"/>
    <s v="amarilisguerra1@yahoo.com"/>
    <s v="Calle Güigüe Nro. 89-96"/>
    <s v="Cancelación Vigilancia, mes de Mayo/2017"/>
    <x v="0"/>
    <m/>
    <s v="00274"/>
    <s v="29 de mayo de 2017"/>
    <x v="5"/>
    <s v="27.000,00"/>
    <s v="Veintisiete Mil Bolívares con 00/100"/>
  </r>
  <r>
    <n v="275"/>
    <m/>
    <s v="ü"/>
    <d v="2017-06-01T00:00:00"/>
    <n v="20000"/>
    <s v="Dra. Lilia Magallanes"/>
    <s v="liliamagallanes2010@gmail.com"/>
    <s v="Calle Güigüe Nro. 88-51"/>
    <s v="Colaboración Vigilancia, mes de Mayo/2017"/>
    <x v="0"/>
    <m/>
    <s v="00275"/>
    <s v="01 de junio de 2017"/>
    <x v="7"/>
    <s v="20.000,00"/>
    <s v="Veinte Mil Bolívares con 00/100"/>
  </r>
  <r>
    <n v="276"/>
    <m/>
    <s v="ü"/>
    <d v="2017-06-01T00:00:00"/>
    <n v="4000"/>
    <s v="Familia Navarro Assing"/>
    <s v="liliaassing@gmail.com"/>
    <s v="Calle Güigüe Nro. 88-54"/>
    <s v="Cancelación Saldo Vigilancia, mes de Mayo/2017"/>
    <x v="0"/>
    <m/>
    <s v="00276"/>
    <s v="01 de junio de 2017"/>
    <x v="7"/>
    <s v="4.000,00"/>
    <s v="Cuatro Mil Bolívares con 00/100"/>
  </r>
  <r>
    <n v="277"/>
    <m/>
    <s v="ü"/>
    <d v="2017-06-01T00:00:00"/>
    <n v="120000"/>
    <s v="Ely Saúl Rivero Gómez, C.I 18.448.557"/>
    <s v="hhs.admon@gmail.com"/>
    <s v="Av. &quot;Ñ&quot; Nro. 145-25"/>
    <s v="Cancelación Vigilancia, meses de Ene-Jun/2017 (saldo a favor: Bs. 156.000)"/>
    <x v="0"/>
    <m/>
    <s v="00277"/>
    <s v="01 de junio de 2017"/>
    <x v="7"/>
    <s v="120.000,00"/>
    <s v="Ciento Veinte Mil Bolívares con 00/100"/>
  </r>
  <r>
    <n v="278"/>
    <m/>
    <s v="ü"/>
    <d v="2017-06-01T00:00:00"/>
    <n v="26000"/>
    <s v="Familia Del Negro Palermo"/>
    <s v="vdelnegro@gmail.com"/>
    <s v="Calle Guacara Nro. 88-45"/>
    <s v="Cancelación Vigilancia, mes de Junio/2017 (saldo a favor: Bs. 165.000)"/>
    <x v="0"/>
    <m/>
    <s v="00278"/>
    <s v="01 de junio de 2017"/>
    <x v="7"/>
    <s v="26.000,00"/>
    <s v="Veintiseis Mil Bolívares con 00/100"/>
  </r>
  <r>
    <n v="279"/>
    <m/>
    <s v="ü"/>
    <d v="2017-06-04T00:00:00"/>
    <n v="26000"/>
    <s v="Familia Montilla García"/>
    <s v="dairy252525@hotmail.com"/>
    <s v="Calle Güigüe Nro. 89-90"/>
    <s v="Cancelación Vigilancia, mes de Junio/2017"/>
    <x v="0"/>
    <m/>
    <s v="00279"/>
    <s v="04 de junio de 2017"/>
    <x v="7"/>
    <s v="26.000,00"/>
    <s v="Veintiseis Mil Bolívares con 00/100"/>
  </r>
  <r>
    <n v="280"/>
    <m/>
    <s v="ü"/>
    <d v="2017-06-04T00:00:00"/>
    <n v="17000"/>
    <s v="Familia Jiménez Navarro"/>
    <s v="joyasonline2012@gmail.com"/>
    <s v="Calle Güigüe Nro. 88-50"/>
    <s v="Cancelación Vigilancia, mes de Abril/2017"/>
    <x v="0"/>
    <m/>
    <s v="00280"/>
    <s v="04 de junio de 2017"/>
    <x v="7"/>
    <s v="17.000,00"/>
    <s v="Diecisiete Mil Bolívares con 00/100"/>
  </r>
  <r>
    <n v="281"/>
    <m/>
    <s v="ü"/>
    <d v="2017-06-05T00:00:00"/>
    <n v="10000"/>
    <s v="Chin Chun Ya (Goya)"/>
    <s v="uc2721@gmail.com"/>
    <s v="Calle Guacara Nro. 87-86"/>
    <s v="Colaboración Vigilancia, mes de Junio/2017"/>
    <x v="0"/>
    <m/>
    <s v="00281"/>
    <s v="05 de junio de 2017"/>
    <x v="7"/>
    <s v="10.000,00"/>
    <s v="Diez Mil Bolívares con 00/100"/>
  </r>
  <r>
    <n v="282"/>
    <m/>
    <s v="ü"/>
    <d v="2017-06-05T00:00:00"/>
    <n v="26000"/>
    <s v="Familia Fernández Parés"/>
    <s v="vultecca@gmail.com"/>
    <s v="Calle Guacara Nro. 88-75"/>
    <s v="Cancelación Vigilancia, mes de Mayo/2017"/>
    <x v="0"/>
    <m/>
    <s v="00282"/>
    <s v="05 de junio de 2017"/>
    <x v="7"/>
    <s v="26.000,00"/>
    <s v="Veintiseis Mil Bolívares con 00/100"/>
  </r>
  <r>
    <n v="283"/>
    <m/>
    <s v="ü"/>
    <d v="2017-06-06T00:00:00"/>
    <n v="15000"/>
    <s v="Familia Kabblan"/>
    <s v="norisjsb56@hotmail.com"/>
    <s v="Calle Güigüe Nro. 89-80"/>
    <s v="Colaboración Vigilancia, mes de Junio/2017"/>
    <x v="0"/>
    <m/>
    <s v="00283"/>
    <s v="06 de junio de 2017"/>
    <x v="7"/>
    <s v="15.000,00"/>
    <s v="Quince Mil Bolívares con 00/100"/>
  </r>
  <r>
    <n v="284"/>
    <m/>
    <s v="ü"/>
    <d v="2017-06-06T00:00:00"/>
    <n v="26000"/>
    <s v="Familia Kattar"/>
    <s v="jagiak123@yahoo.es"/>
    <s v="Calle Güigüe Nro. 89-95"/>
    <s v="Cancelación Vigilancia, mes de Mayo/2017"/>
    <x v="0"/>
    <m/>
    <s v="00284"/>
    <s v="06 de junio de 2017"/>
    <x v="7"/>
    <s v="26.000,00"/>
    <s v="Veintiseis Mil Bolívares con 00/100"/>
  </r>
  <r>
    <n v="285"/>
    <m/>
    <s v="ü"/>
    <d v="2017-06-07T00:00:00"/>
    <n v="35000"/>
    <s v="Familia Morales Sesar"/>
    <s v="moralesesar@gmail.com"/>
    <s v="Calle Güigüe Nro. 89-120"/>
    <s v="Cancelación Vigilancia, saldo mes de Mayo/2017 y Junio/2017"/>
    <x v="0"/>
    <m/>
    <s v="00285"/>
    <s v="07 de junio de 2017"/>
    <x v="7"/>
    <s v="35.000,00"/>
    <s v="Treinta y Cinco Mil Bolívares con 00/100"/>
  </r>
  <r>
    <n v="286"/>
    <m/>
    <s v="ü"/>
    <d v="2017-06-07T00:00:00"/>
    <n v="26000"/>
    <s v="Familia Colosso Delgado"/>
    <s v="mcolosso@gmail.com"/>
    <s v="Calle Güigüe Nro. 88-44"/>
    <s v="Cancelación Vigilancia, mes de Junio/2017"/>
    <x v="0"/>
    <m/>
    <s v="00286"/>
    <s v="07 de junio de 2017"/>
    <x v="7"/>
    <s v="26.000,00"/>
    <s v="Veintiseis Mil Bolívares con 00/100"/>
  </r>
  <r>
    <n v="287"/>
    <m/>
    <s v="ü"/>
    <d v="2017-06-07T00:00:00"/>
    <n v="27000"/>
    <s v="Familia Durvelle Serrano"/>
    <s v="sdurvelle@hotmail.com"/>
    <s v="Calle Guacara Nro. 89-60"/>
    <s v="Cancelación Vigilancia, mes de Junio/2017"/>
    <x v="0"/>
    <m/>
    <s v="00287"/>
    <s v="07 de junio de 2017"/>
    <x v="7"/>
    <s v="27.000,00"/>
    <s v="Veintisiete Mil Bolívares con 00/100"/>
  </r>
  <r>
    <n v="288"/>
    <m/>
    <s v="ü"/>
    <d v="2017-06-07T00:00:00"/>
    <n v="26000"/>
    <s v="Familia Lomeña Agudo"/>
    <s v="claudialomena@hotmail.com"/>
    <s v="Calle Guacara Nro. 89-30"/>
    <s v="Cancelación Vigilancia, mes de Mayo/2017"/>
    <x v="0"/>
    <m/>
    <s v="00288"/>
    <s v="07 de junio de 2017"/>
    <x v="7"/>
    <s v="26.000,00"/>
    <s v="Veintiseis Mil Bolívares con 00/100"/>
  </r>
  <r>
    <n v="289"/>
    <m/>
    <s v="ü"/>
    <d v="2017-06-02T00:00:00"/>
    <n v="26000"/>
    <s v="Familia Barreto Pérez"/>
    <s v="bbetsa19@hotmail.com"/>
    <s v="Av. &quot;M&quot; Nro. 146-15"/>
    <s v="Cancelación Vigilancia, mes de Mayo/2017"/>
    <x v="0"/>
    <m/>
    <s v="00289"/>
    <s v="02 de junio de 2017"/>
    <x v="7"/>
    <s v="26.000,00"/>
    <s v="Veintiseis Mil Bolívares con 00/100"/>
  </r>
  <r>
    <n v="290"/>
    <m/>
    <s v="ü"/>
    <d v="2017-06-02T00:00:00"/>
    <n v="26000"/>
    <s v="Familia Cegarra Villamizar"/>
    <s v="jesus.villamizar.ra@gmail.com"/>
    <s v="Calle Guacara Nro. 88-35"/>
    <s v="Cancelación Vigilancia, mes de Mayo/2017"/>
    <x v="0"/>
    <m/>
    <s v="00290"/>
    <s v="02 de junio de 2017"/>
    <x v="7"/>
    <s v="26.000,00"/>
    <s v="Veintiseis Mil Bolívares con 00/100"/>
  </r>
  <r>
    <n v="291"/>
    <m/>
    <s v="ü"/>
    <d v="2017-06-04T00:00:00"/>
    <n v="26000"/>
    <s v="Wu Hung Fung"/>
    <s v="carolinahung24@gmail.com"/>
    <s v="Calle Guacara Nro. 90-81"/>
    <s v="Cancelación Vigilancia, mes de Junio/2017"/>
    <x v="0"/>
    <m/>
    <s v="00291"/>
    <s v="04 de junio de 2017"/>
    <x v="7"/>
    <s v="26.000,00"/>
    <s v="Veintiseis Mil Bolívares con 00/100"/>
  </r>
  <r>
    <n v="292"/>
    <m/>
    <s v="ü"/>
    <d v="2017-06-06T00:00:00"/>
    <n v="26000"/>
    <s v="Familia Ferrer Bahri"/>
    <s v="bahrimariela@hotmail.com"/>
    <s v="Calle Güigüe Nro. 89-83"/>
    <s v="Cancelación Vigilancia, mes de Junio/2017"/>
    <x v="0"/>
    <m/>
    <s v="00292"/>
    <s v="06 de junio de 2017"/>
    <x v="7"/>
    <s v="26.000,00"/>
    <s v="Veintiseis Mil Bolívares con 00/100"/>
  </r>
  <r>
    <n v="293"/>
    <m/>
    <s v="ü"/>
    <d v="2017-05-17T00:00:00"/>
    <n v="26000"/>
    <s v="Familia Piñero Padilla"/>
    <s v="achepaul2005@hotmail.com"/>
    <s v="Calle Güigüe Nro. 89-21"/>
    <s v="Cancelación Vigilancia, mes de Mayo/2017"/>
    <x v="0"/>
    <m/>
    <s v="00293"/>
    <s v="17 de mayo de 2017"/>
    <x v="5"/>
    <s v="26.000,00"/>
    <s v="Veintiseis Mil Bolívares con 00/100"/>
  </r>
  <r>
    <n v="294"/>
    <m/>
    <s v="ü"/>
    <d v="2017-06-02T00:00:00"/>
    <n v="26000"/>
    <s v="Familia Gascón Domínguez"/>
    <s v="vrgascon@gmail.com"/>
    <s v="Calle Güigüe Nro. 88-70"/>
    <s v="Cancelación Vigilancia, mes de Mayo/2017"/>
    <x v="0"/>
    <m/>
    <s v="00294"/>
    <s v="02 de junio de 2017"/>
    <x v="7"/>
    <s v="26.000,00"/>
    <s v="Veintiseis Mil Bolívares con 00/100"/>
  </r>
  <r>
    <n v="295"/>
    <m/>
    <s v="ü"/>
    <d v="2017-06-09T00:00:00"/>
    <n v="26000"/>
    <s v="Beatriz Lara"/>
    <s v="valentina.gutierrez@hotmail.com"/>
    <s v="Calle Guacara Nro. 89-130"/>
    <s v="Cancelación Vigilancia, mes de Junio/2017"/>
    <x v="0"/>
    <m/>
    <s v="00295"/>
    <s v="09 de junio de 2017"/>
    <x v="7"/>
    <s v="26.000,00"/>
    <s v="Veintiseis Mil Bolívares con 00/100"/>
  </r>
  <r>
    <n v="296"/>
    <m/>
    <s v="ü"/>
    <d v="2017-06-09T00:00:00"/>
    <n v="52000"/>
    <s v="Sra. Reina Meléndez"/>
    <s v="olgajipe@gmail.com"/>
    <s v="Av. &quot;M&quot; Nro. 145-10"/>
    <s v="Cancelación Vigilancia, meses de Mayo y Junio/2017"/>
    <x v="0"/>
    <m/>
    <s v="00296"/>
    <s v="09 de junio de 2017"/>
    <x v="7"/>
    <s v="52.000,00"/>
    <s v="Cincuenta y Dos Mil Bolívares con 00/100"/>
  </r>
  <r>
    <n v="297"/>
    <m/>
    <s v="ü"/>
    <d v="2017-06-01T00:00:00"/>
    <n v="17000"/>
    <s v="Familia Delgado Hidalgo"/>
    <s v="ardh@hotmail.com"/>
    <s v="Calle Güigüe Nro. 88-10"/>
    <s v="Cancelación Vigilancia, mes de Abril/2017"/>
    <x v="0"/>
    <m/>
    <s v="00297"/>
    <s v="01 de junio de 2017"/>
    <x v="7"/>
    <s v="17.000,00"/>
    <s v="Diecisiete Mil Bolívares con 00/100"/>
  </r>
  <r>
    <n v="298"/>
    <m/>
    <s v="ü"/>
    <d v="2017-06-16T00:00:00"/>
    <n v="56000"/>
    <s v="Familia Puerta Burguillos"/>
    <s v="namaricakes@gmail.com"/>
    <s v="Calle Guacara Nro. 87-100"/>
    <s v="Cancelación Vigilancia, mes de Junio y anticipo de Julio y Agosto/2017 (contra facturas)"/>
    <x v="0"/>
    <m/>
    <s v="00298"/>
    <s v="16 de junio de 2017"/>
    <x v="7"/>
    <s v="56.000,00"/>
    <s v="Cincuenta y Seis Mil Bolívares con 00/100"/>
  </r>
  <r>
    <n v="299"/>
    <m/>
    <s v="ü"/>
    <d v="2017-06-16T00:00:00"/>
    <n v="8000"/>
    <s v="Familia Flores Montagne"/>
    <s v="namaricakes@gmail.com"/>
    <s v="Av. &quot;M&quot; Nro. 146-20"/>
    <s v="Colaboración Vigilancia, meses de Junio y Julio/2017 (contra facturas)"/>
    <x v="0"/>
    <m/>
    <s v="00299"/>
    <s v="16 de junio de 2017"/>
    <x v="7"/>
    <s v="8.000,00"/>
    <s v="Ocho Mil Bolívares con 00/100"/>
  </r>
  <r>
    <n v="300"/>
    <m/>
    <s v="ü"/>
    <d v="2017-06-08T00:00:00"/>
    <n v="20000"/>
    <s v="Familia Hurtado"/>
    <s v="En Físico"/>
    <s v="Av. &quot;O&quot; Nro. 146-11"/>
    <s v="Cancelación Vigilancia, mes de Mayo/2017"/>
    <x v="0"/>
    <m/>
    <s v="00300"/>
    <s v="08 de junio de 2017"/>
    <x v="7"/>
    <s v="20.000,00"/>
    <s v="Veinte Mil Bolívares con 00/100"/>
  </r>
  <r>
    <n v="301"/>
    <m/>
    <s v="ü"/>
    <d v="2017-05-15T00:00:00"/>
    <n v="17000"/>
    <s v="Familia Astor Zamora"/>
    <s v="imzastor@gmail.com"/>
    <s v="Calle Güigüe Nro. 88-111"/>
    <s v="Cancelación Vigilancia, mes de Abril/2017"/>
    <x v="0"/>
    <m/>
    <s v="00301"/>
    <s v="15 de mayo de 2017"/>
    <x v="5"/>
    <s v="17.000,00"/>
    <s v="Diecisiete Mil Bolívares con 00/100"/>
  </r>
  <r>
    <n v="302"/>
    <m/>
    <s v="ü"/>
    <d v="2017-06-05T00:00:00"/>
    <n v="26000"/>
    <s v="Familia Lomeña Agudo"/>
    <s v="claudialomena@hotmail.com"/>
    <s v="Calle Guacara Nro. 89-30"/>
    <s v="Cancelación Vigilancia, mes de Junio/2017"/>
    <x v="0"/>
    <m/>
    <s v="00302"/>
    <s v="05 de junio de 2017"/>
    <x v="7"/>
    <s v="26.000,00"/>
    <s v="Veintiseis Mil Bolívares con 00/100"/>
  </r>
  <r>
    <n v="303"/>
    <m/>
    <s v="ü"/>
    <d v="2017-06-14T00:00:00"/>
    <n v="10000"/>
    <s v="Familia Jiménez Navarro"/>
    <s v="joyasonline2012@gmail.com"/>
    <s v="Calle Güigüe Nro. 88-50"/>
    <s v="Cuota especial, reja vereda Centro Comercial"/>
    <x v="4"/>
    <m/>
    <s v="00303"/>
    <s v="14 de junio de 2017"/>
    <x v="7"/>
    <s v="10.000,00"/>
    <s v="Diez Mil Bolívares con 00/100"/>
  </r>
  <r>
    <n v="304"/>
    <m/>
    <s v="ü"/>
    <d v="2017-06-14T00:00:00"/>
    <n v="40000"/>
    <s v="Colegio El Trigal"/>
    <s v="En Físico"/>
    <s v="Calle Güigüe Nros. 88-71 y 88-81"/>
    <s v="Cancelación Vigilancia, mes de Junio/2017"/>
    <x v="0"/>
    <m/>
    <s v="00304"/>
    <s v="14 de junio de 2017"/>
    <x v="7"/>
    <s v="40.000,00"/>
    <s v="Cuarenta Mil Bolívares con 00/100"/>
  </r>
  <r>
    <n v="305"/>
    <m/>
    <s v="ü"/>
    <d v="2017-06-14T00:00:00"/>
    <n v="7000"/>
    <s v="Colegio El Trigal"/>
    <s v="En Físico"/>
    <s v="Calle Güigüe Nros. 88-71 y 88-81"/>
    <s v="Cuota especial, reja vereda Centro Comercial"/>
    <x v="4"/>
    <m/>
    <s v="00305"/>
    <s v="14 de junio de 2017"/>
    <x v="7"/>
    <s v="7.000,00"/>
    <s v="Siete Mil Bolívares con 00/100"/>
  </r>
  <r>
    <n v="306"/>
    <m/>
    <s v="ü"/>
    <d v="2017-06-14T00:00:00"/>
    <n v="7000"/>
    <s v="Familia Fernández Parés"/>
    <s v="vultecca@gmail.com"/>
    <s v="Calle Guacara Nro. 88-75"/>
    <s v="Cuota especial, reja vereda Centro Comercial"/>
    <x v="4"/>
    <m/>
    <s v="00306"/>
    <s v="14 de junio de 2017"/>
    <x v="7"/>
    <s v="7.000,00"/>
    <s v="Siete Mil Bolívares con 00/100"/>
  </r>
  <r>
    <n v="307"/>
    <m/>
    <s v="ü"/>
    <d v="2017-06-14T00:00:00"/>
    <n v="52000"/>
    <s v="Familia Manrique Riera"/>
    <s v="patriciamanrique@gmail.com"/>
    <s v="Calle Guacara Nro. 89-40"/>
    <s v="Cancelación Vigilancia, meses de Mayo y Junio/2017"/>
    <x v="0"/>
    <m/>
    <s v="00307"/>
    <s v="14 de junio de 2017"/>
    <x v="7"/>
    <s v="52.000,00"/>
    <s v="Cincuenta y Dos Mil Bolívares con 00/100"/>
  </r>
  <r>
    <n v="308"/>
    <m/>
    <s v="ü"/>
    <d v="2017-06-14T00:00:00"/>
    <n v="7000"/>
    <s v="Familia Manrique Riera"/>
    <s v="patriciamanrique@gmail.com"/>
    <s v="Calle Guacara Nro. 89-40"/>
    <s v="Cuota especial, reja vereda Centro Comercial"/>
    <x v="4"/>
    <m/>
    <s v="00308"/>
    <s v="14 de junio de 2017"/>
    <x v="7"/>
    <s v="7.000,00"/>
    <s v="Siete Mil Bolívares con 00/100"/>
  </r>
  <r>
    <n v="309"/>
    <m/>
    <s v="ü"/>
    <d v="2017-06-14T00:00:00"/>
    <n v="34000"/>
    <s v="Ana de González"/>
    <s v="mikelnowak25@gmail.com"/>
    <s v="Av. &quot;O&quot; Nro. 146-17"/>
    <s v="Anticipo Vigilancia, meses de Mayo y Junio/2017"/>
    <x v="0"/>
    <m/>
    <s v="00309"/>
    <s v="14 de junio de 2017"/>
    <x v="7"/>
    <s v="34.000,00"/>
    <s v="Treinta y Cuatro Mil Bolívares con 00/100"/>
  </r>
  <r>
    <n v="310"/>
    <m/>
    <s v="ü"/>
    <d v="2017-06-14T00:00:00"/>
    <n v="7000"/>
    <s v="Ana de González"/>
    <s v="mikelnowak25@gmail.com"/>
    <s v="Av. &quot;O&quot; Nro. 146-17"/>
    <s v="Cuota especial, reja vereda Centro Comercial"/>
    <x v="4"/>
    <m/>
    <s v="00310"/>
    <s v="14 de junio de 2017"/>
    <x v="7"/>
    <s v="7.000,00"/>
    <s v="Siete Mil Bolívares con 00/100"/>
  </r>
  <r>
    <n v="311"/>
    <m/>
    <s v="ü"/>
    <d v="2017-06-14T00:00:00"/>
    <n v="7000"/>
    <s v="Familia Durvelle Serrano"/>
    <s v="sdurvelle@hotmail.com"/>
    <s v="Calle Guacara Nro. 89-60"/>
    <s v="Cuota especial, reja vereda Centro Comercial"/>
    <x v="4"/>
    <m/>
    <s v="00311"/>
    <s v="14 de junio de 2017"/>
    <x v="7"/>
    <s v="7.000,00"/>
    <s v="Siete Mil Bolívares con 00/100"/>
  </r>
  <r>
    <n v="312"/>
    <m/>
    <s v="ü"/>
    <d v="2017-06-14T00:00:00"/>
    <n v="13000"/>
    <s v="Manuel Rodríguez"/>
    <s v="mrl58@hotmail.com"/>
    <s v="Calle Güigüe Nro. 89-29"/>
    <s v="Colaboración Vigilancia, mes de Junio/2017"/>
    <x v="0"/>
    <m/>
    <s v="00312"/>
    <s v="14 de junio de 2017"/>
    <x v="7"/>
    <s v="13.000,00"/>
    <s v="Trece Mil Bolívares con 00/100"/>
  </r>
  <r>
    <n v="313"/>
    <m/>
    <s v="ü"/>
    <d v="2017-06-14T00:00:00"/>
    <n v="7000"/>
    <s v="Familia Colosso Delgado"/>
    <s v="mcolosso@gmail.com"/>
    <s v="Calle Güigüe Nro. 88-44"/>
    <s v="Cuota especial, reja vereda Centro Comercial"/>
    <x v="4"/>
    <m/>
    <s v="00313"/>
    <s v="14 de junio de 2017"/>
    <x v="7"/>
    <s v="7.000,00"/>
    <s v="Siete Mil Bolívares con 00/100"/>
  </r>
  <r>
    <n v="314"/>
    <m/>
    <s v="ü"/>
    <d v="2017-06-14T00:00:00"/>
    <n v="7000"/>
    <s v="Amparo Acosta"/>
    <s v="En Físico"/>
    <s v="Calle Guacara Nro. 88-65"/>
    <s v="Cuota especial, reja vereda Centro Comercial"/>
    <x v="4"/>
    <m/>
    <s v="00314"/>
    <s v="14 de junio de 2017"/>
    <x v="7"/>
    <s v="7.000,00"/>
    <s v="Siete Mil Bolívares con 00/100"/>
  </r>
  <r>
    <n v="315"/>
    <m/>
    <s v="ü"/>
    <d v="2017-06-15T00:00:00"/>
    <n v="15000"/>
    <s v="Familia Santos Carrillo"/>
    <s v="briceidamp@hotmail.com"/>
    <s v="Calle Guacara Nro. 90-93"/>
    <s v="Colaboración Vigilancia, meses de Febrero a Junio/2017"/>
    <x v="0"/>
    <m/>
    <s v="00315"/>
    <s v="15 de junio de 2017"/>
    <x v="7"/>
    <s v="15.000,00"/>
    <s v="Quince Mil Bolívares con 00/100"/>
  </r>
  <r>
    <n v="316"/>
    <m/>
    <s v="ü"/>
    <d v="2017-06-15T00:00:00"/>
    <n v="5000"/>
    <s v="Familia Santos Carrillo"/>
    <s v="briceidamp@hotmail.com"/>
    <s v="Calle Guacara Nro. 90-93"/>
    <s v="Colaboración cuota especial, reja vereda Centro Comercial"/>
    <x v="4"/>
    <m/>
    <s v="00316"/>
    <s v="15 de junio de 2017"/>
    <x v="7"/>
    <s v="5.000,00"/>
    <s v="Cinco Mil Bolívares con 00/100"/>
  </r>
  <r>
    <n v="317"/>
    <m/>
    <s v="ü"/>
    <d v="2017-06-15T00:00:00"/>
    <n v="20000"/>
    <s v="Familia Méndez Parra"/>
    <s v="briceidamp@hotmail.com"/>
    <s v="Calle Guacara Nro. 88-19"/>
    <s v="Colaboración Vigilancia, mes de Junio/2017"/>
    <x v="0"/>
    <m/>
    <s v="00317"/>
    <s v="15 de junio de 2017"/>
    <x v="7"/>
    <s v="20.000,00"/>
    <s v="Veinte Mil Bolívares con 00/100"/>
  </r>
  <r>
    <n v="318"/>
    <m/>
    <s v="ü"/>
    <d v="2017-06-15T00:00:00"/>
    <n v="7000"/>
    <s v="Familia Lomeña Agudo"/>
    <s v="claudialomena@hotmail.com"/>
    <s v="Calle Guacara Nro. 89-30"/>
    <s v="Cuota especial, reja vereda Centro Comercial"/>
    <x v="4"/>
    <m/>
    <s v="00318"/>
    <s v="15 de junio de 2017"/>
    <x v="7"/>
    <s v="7.000,00"/>
    <s v="Siete Mil Bolívares con 00/100"/>
  </r>
  <r>
    <n v="319"/>
    <m/>
    <s v="ü"/>
    <d v="2017-06-15T00:00:00"/>
    <n v="1500"/>
    <s v="Familia Lomeña Agudo"/>
    <s v="claudialomena@hotmail.com"/>
    <s v="Calle Guacara Nro. 89-30"/>
    <s v="Compra de tres (03) calcomanías a Bs. 500 c/u"/>
    <x v="5"/>
    <m/>
    <s v="00319"/>
    <s v="15 de junio de 2017"/>
    <x v="7"/>
    <s v="1.500,00"/>
    <s v="Mil Quinientos Bolívares con 00/100"/>
  </r>
  <r>
    <n v="320"/>
    <m/>
    <s v="ü"/>
    <d v="2017-06-15T00:00:00"/>
    <n v="7000"/>
    <s v="Familia Fermín Rivas"/>
    <s v="angelferminb@gmail.com"/>
    <s v="Calle Güigüe Nro. 89-55"/>
    <s v="Cuota especial, reja vereda Centro Comercial"/>
    <x v="4"/>
    <m/>
    <s v="00320"/>
    <s v="15 de junio de 2017"/>
    <x v="7"/>
    <s v="7.000,00"/>
    <s v="Siete Mil Bolívares con 00/100"/>
  </r>
  <r>
    <n v="321"/>
    <m/>
    <s v="ü"/>
    <d v="2017-06-16T00:00:00"/>
    <n v="7000"/>
    <s v="Familia Nava Gordon"/>
    <s v="maru_19_66@hotmail.com"/>
    <s v="Calle Guacara Nro. 89-78"/>
    <s v="Cuota especial, reja vereda Centro Comercial"/>
    <x v="4"/>
    <m/>
    <s v="00321"/>
    <s v="16 de junio de 2017"/>
    <x v="7"/>
    <s v="7.000,00"/>
    <s v="Siete Mil Bolívares con 00/100"/>
  </r>
  <r>
    <n v="322"/>
    <m/>
    <s v="ü"/>
    <d v="2017-06-16T00:00:00"/>
    <n v="7000"/>
    <s v="Familia Puerta Burguillos"/>
    <s v="namaricakes@gmail.com"/>
    <s v="Calle Guacara Nro. 87-100"/>
    <s v="Cuota especial, reja vereda Centro Comercial"/>
    <x v="4"/>
    <m/>
    <s v="00322"/>
    <s v="16 de junio de 2017"/>
    <x v="7"/>
    <s v="7.000,00"/>
    <s v="Siete Mil Bolívares con 00/100"/>
  </r>
  <r>
    <n v="323"/>
    <m/>
    <s v="ü"/>
    <d v="2017-06-16T00:00:00"/>
    <n v="27000"/>
    <s v="Familia Nava Gordon"/>
    <s v="maru_19_66@hotmail.com"/>
    <s v="Calle Guacara Nro. 89-78"/>
    <s v="Cancelación Vigilancia, mes de Mayo y anticipo de Junio/2017"/>
    <x v="0"/>
    <m/>
    <s v="00323"/>
    <s v="16 de junio de 2017"/>
    <x v="7"/>
    <s v="27.000,00"/>
    <s v="Veintisiete Mil Bolívares con 00/100"/>
  </r>
  <r>
    <n v="324"/>
    <m/>
    <s v="ü"/>
    <d v="2017-06-16T00:00:00"/>
    <n v="26000"/>
    <s v="Familia Cegarra Villamizar"/>
    <s v="jesus.villamizar.ra@gmail.com"/>
    <s v="Calle Guacara Nro. 88-35"/>
    <s v="Cancelación Vigilancia, mes de Junio/2017, contra factura"/>
    <x v="0"/>
    <m/>
    <s v="00324"/>
    <s v="16 de junio de 2017"/>
    <x v="7"/>
    <s v="26.000,00"/>
    <s v="Veintiseis Mil Bolívares con 00/100"/>
  </r>
  <r>
    <n v="325"/>
    <m/>
    <s v="ü"/>
    <d v="2017-06-16T00:00:00"/>
    <n v="7000"/>
    <s v="Chin Chun Ya (Goya)"/>
    <s v="uc2721@gmail.com"/>
    <s v="Calle Guacara Nro. 87-86"/>
    <s v="Cuota especial, reja vereda Centro Comercial"/>
    <x v="4"/>
    <m/>
    <s v="00325"/>
    <s v="16 de junio de 2017"/>
    <x v="7"/>
    <s v="7.000,00"/>
    <s v="Siete Mil Bolívares con 00/100"/>
  </r>
  <r>
    <n v="326"/>
    <m/>
    <s v="ü"/>
    <d v="2017-06-16T00:00:00"/>
    <n v="26000"/>
    <s v="Familia Fermín Rivas"/>
    <s v="angelferminb@gmail.com"/>
    <s v="Calle Güigüe Nro. 89-55"/>
    <s v="Cancelación Vigilancia, mes de Junio/2017"/>
    <x v="0"/>
    <m/>
    <s v="00326"/>
    <s v="16 de junio de 2017"/>
    <x v="7"/>
    <s v="26.000,00"/>
    <s v="Veintiseis Mil Bolívares con 00/100"/>
  </r>
  <r>
    <n v="327"/>
    <m/>
    <s v="ü"/>
    <d v="2017-06-17T00:00:00"/>
    <n v="26000"/>
    <s v="Familia Il Grande Franceschi"/>
    <s v="arcifran75@hotmail.com"/>
    <s v="Av. &quot;I&quot; Nro. 146-40"/>
    <s v="Cancelación Vigilancia, mes de Mayo/2017"/>
    <x v="0"/>
    <m/>
    <s v="00327"/>
    <s v="17 de junio de 2017"/>
    <x v="7"/>
    <s v="26.000,00"/>
    <s v="Veintiseis Mil Bolívares con 00/100"/>
  </r>
  <r>
    <n v="328"/>
    <m/>
    <s v="ü"/>
    <d v="2017-06-19T00:00:00"/>
    <n v="56000"/>
    <s v="Familia Acosta"/>
    <s v="pablo962@hotmail.com"/>
    <s v="Calle Güigüe Nro. 89-10"/>
    <s v="Cancelación Vigilancia, meses de Abril y Mayo/2017 y adelanto del mes de Junio/2017, contra factura"/>
    <x v="0"/>
    <m/>
    <s v="00328"/>
    <s v="19 de junio de 2017"/>
    <x v="7"/>
    <s v="56.000,00"/>
    <s v="Cincuenta y Seis Mil Bolívares con 00/100"/>
  </r>
  <r>
    <n v="329"/>
    <m/>
    <s v="ü"/>
    <d v="2017-06-19T00:00:00"/>
    <n v="7000"/>
    <s v="Wu Hung Fung"/>
    <s v="carolinahung24@gmail.com"/>
    <s v="Calle Guacara Nro. 90-81"/>
    <s v="Cuota especial, reja vereda Centro Comercial"/>
    <x v="4"/>
    <m/>
    <s v="00329"/>
    <s v="19 de junio de 2017"/>
    <x v="7"/>
    <s v="7.000,00"/>
    <s v="Siete Mil Bolívares con 00/100"/>
  </r>
  <r>
    <n v="330"/>
    <m/>
    <s v="ü"/>
    <d v="2017-06-20T00:00:00"/>
    <n v="7000"/>
    <s v="Familia Gascón Domínguez"/>
    <s v="vrgascon@gmail.com"/>
    <s v="Calle Güigüe Nro. 88-70"/>
    <s v="Cuota especial, reja vereda Centro Comercial"/>
    <x v="4"/>
    <m/>
    <s v="00330"/>
    <s v="20 de junio de 2017"/>
    <x v="7"/>
    <s v="7.000,00"/>
    <s v="Siete Mil Bolívares con 00/100"/>
  </r>
  <r>
    <n v="331"/>
    <m/>
    <s v="ü"/>
    <d v="2017-06-20T00:00:00"/>
    <n v="7000"/>
    <s v="Familia Kabblan"/>
    <s v="norisjsb56@hotmail.com"/>
    <s v="Calle Güigüe Nro. 89-80"/>
    <s v="Cuota especial, reja vereda Centro Comercial"/>
    <x v="4"/>
    <m/>
    <s v="00331"/>
    <s v="20 de junio de 2017"/>
    <x v="7"/>
    <s v="7.000,00"/>
    <s v="Siete Mil Bolívares con 00/100"/>
  </r>
  <r>
    <n v="332"/>
    <m/>
    <s v="ü"/>
    <d v="2017-06-21T00:00:00"/>
    <n v="13000"/>
    <s v="Familia Acosta"/>
    <s v="pablo962@hotmail.com"/>
    <s v="Calle Güigüe Nro. 89-10"/>
    <s v="Cancelación saldo Vigilancia, mes de Junio/2017"/>
    <x v="0"/>
    <m/>
    <s v="00332"/>
    <s v="21 de junio de 2017"/>
    <x v="7"/>
    <s v="13.000,00"/>
    <s v="Trece Mil Bolívares con 00/100"/>
  </r>
  <r>
    <n v="333"/>
    <m/>
    <s v="ü"/>
    <d v="2017-06-21T00:00:00"/>
    <n v="7000"/>
    <s v="Familia Acosta"/>
    <s v="pablo962@hotmail.com"/>
    <s v="Calle Güigüe Nro. 89-10"/>
    <s v="Cuota especial, reja vereda Centro Comercial"/>
    <x v="4"/>
    <m/>
    <s v="00333"/>
    <s v="21 de junio de 2017"/>
    <x v="7"/>
    <s v="7.000,00"/>
    <s v="Siete Mil Bolívares con 00/100"/>
  </r>
  <r>
    <n v="334"/>
    <m/>
    <s v="ü"/>
    <d v="2017-06-21T00:00:00"/>
    <n v="7500"/>
    <s v="Familia Ramírez"/>
    <s v="0414-433.7527"/>
    <s v="Calle Güigüe Nro. 88-61"/>
    <s v="Cuota especial, reja vereda Centro Comercial"/>
    <x v="4"/>
    <m/>
    <s v="00334"/>
    <s v="21 de junio de 2017"/>
    <x v="7"/>
    <s v="7.500,00"/>
    <s v="Siete Mil Quinientos Bolívares con 00/100"/>
  </r>
  <r>
    <n v="335"/>
    <m/>
    <s v="ü"/>
    <d v="2017-06-21T00:00:00"/>
    <n v="7000"/>
    <s v="Familia Zavarce Pérez"/>
    <s v="En Físico"/>
    <s v="Calle Guacara Nro. 90-35"/>
    <s v="Cuota especial, reja vereda Centro Comercial"/>
    <x v="4"/>
    <m/>
    <s v="00335"/>
    <s v="21 de junio de 2017"/>
    <x v="7"/>
    <s v="7.000,00"/>
    <s v="Siete Mil Bolívares con 00/100"/>
  </r>
  <r>
    <n v="336"/>
    <m/>
    <s v="ü"/>
    <d v="2017-06-21T00:00:00"/>
    <n v="30000"/>
    <s v="La Casita Encantada"/>
    <s v="En Físico"/>
    <s v="Av. &quot;M&quot; Nro. 146-30"/>
    <s v="Cancelación Vigilancia, mes de Junio/2017"/>
    <x v="0"/>
    <m/>
    <s v="00336"/>
    <s v="21 de junio de 2017"/>
    <x v="7"/>
    <s v="30.000,00"/>
    <s v="Treinta Mil Bolívares con 00/100"/>
  </r>
  <r>
    <n v="337"/>
    <m/>
    <s v="ü"/>
    <d v="2017-06-21T00:00:00"/>
    <n v="7000"/>
    <s v="La Casita Encantada"/>
    <s v="En Físico"/>
    <s v="Av. &quot;M&quot; Nro. 146-30"/>
    <s v="Cuota especial, reja vereda Centro Comercial"/>
    <x v="4"/>
    <m/>
    <s v="00337"/>
    <s v="21 de junio de 2017"/>
    <x v="7"/>
    <s v="7.000,00"/>
    <s v="Siete Mil Bolívares con 00/100"/>
  </r>
  <r>
    <n v="338"/>
    <m/>
    <s v="ü"/>
    <d v="2017-06-21T00:00:00"/>
    <n v="5000"/>
    <s v="Familia Hurtado"/>
    <s v="francisco_hurtado@hotmail.com"/>
    <s v="Av. &quot;O&quot; Nro. 146-11"/>
    <s v="Anticipo cuota especial, reja vereda Centro Comercial"/>
    <x v="4"/>
    <m/>
    <s v="00338"/>
    <s v="21 de junio de 2017"/>
    <x v="7"/>
    <s v="5.000,00"/>
    <s v="Cinco Mil Bolívares con 00/100"/>
  </r>
  <r>
    <n v="339"/>
    <m/>
    <s v="ü"/>
    <d v="2017-06-21T00:00:00"/>
    <n v="9000"/>
    <s v="Familia López Hermoso"/>
    <s v="lopez.humberto14@yahoo.com.ve"/>
    <s v="Calle Güigüe Nro. 89-79"/>
    <s v="Cancelación saldo Vigilancia, mes de Junio/2017"/>
    <x v="0"/>
    <m/>
    <s v="00339"/>
    <s v="21 de junio de 2017"/>
    <x v="7"/>
    <s v="9.000,00"/>
    <s v="Nueve Mil Bolívares con 00/100"/>
  </r>
  <r>
    <n v="340"/>
    <m/>
    <s v="ü"/>
    <d v="2017-06-21T00:00:00"/>
    <n v="7000"/>
    <s v="Familia López Hermoso"/>
    <s v="lopez.humberto14@yahoo.com.ve"/>
    <s v="Calle Güigüe Nro. 89-79"/>
    <s v="Cuota especial, reja vereda Centro Comercial"/>
    <x v="4"/>
    <m/>
    <s v="00340"/>
    <s v="21 de junio de 2017"/>
    <x v="7"/>
    <s v="7.000,00"/>
    <s v="Siete Mil Bolívares con 00/100"/>
  </r>
  <r>
    <n v="341"/>
    <m/>
    <s v="ü"/>
    <d v="2017-06-21T00:00:00"/>
    <n v="7000"/>
    <s v="Familia Kattar"/>
    <s v="jagiak123@yahoo.es"/>
    <s v="Calle Güigüe Nro. 89-95"/>
    <s v="Cuota especial, reja vereda Centro Comercial"/>
    <x v="4"/>
    <m/>
    <s v="00341"/>
    <s v="21 de junio de 2017"/>
    <x v="7"/>
    <s v="7.000,00"/>
    <s v="Siete Mil Bolívares con 00/100"/>
  </r>
  <r>
    <n v="342"/>
    <m/>
    <s v="ü"/>
    <d v="2017-06-21T00:00:00"/>
    <n v="7000"/>
    <s v="Familia González Arévalo"/>
    <s v="feryenis@hotmail.com"/>
    <s v="Calle Guacara Nro. 89-86"/>
    <s v="Cuota especial, reja vereda Centro Comercial"/>
    <x v="4"/>
    <m/>
    <s v="00342"/>
    <s v="21 de junio de 2017"/>
    <x v="7"/>
    <s v="7.000,00"/>
    <s v="Siete Mil Bolívares con 00/100"/>
  </r>
  <r>
    <n v="343"/>
    <m/>
    <s v="ü"/>
    <d v="2017-06-21T00:00:00"/>
    <n v="26000"/>
    <s v="Familia Sayago Peñaranda"/>
    <s v="alexissayago@gmail.com"/>
    <s v="Calle Güigüe Nro. 89-04"/>
    <s v="Cancelación Vigilancia, mes de Junio/2017"/>
    <x v="0"/>
    <m/>
    <s v="00343"/>
    <s v="21 de junio de 2017"/>
    <x v="7"/>
    <s v="26.000,00"/>
    <s v="Veintiseis Mil Bolívares con 00/100"/>
  </r>
  <r>
    <n v="344"/>
    <m/>
    <s v="ü"/>
    <d v="2017-06-21T00:00:00"/>
    <n v="7000"/>
    <s v="Familia Sayago Peñaranda"/>
    <s v="alexissayago@gmail.com"/>
    <s v="Calle Güigüe Nro. 89-04"/>
    <s v="Cuota especial, reja vereda Centro Comercial"/>
    <x v="4"/>
    <m/>
    <s v="00344"/>
    <s v="21 de junio de 2017"/>
    <x v="7"/>
    <s v="7.000,00"/>
    <s v="Siete Mil Bolívares con 00/100"/>
  </r>
  <r>
    <n v="345"/>
    <m/>
    <s v="ü"/>
    <d v="2017-06-22T00:00:00"/>
    <n v="7000"/>
    <s v="Beatriz Lara"/>
    <s v="valentina.gutierrez@hotmail.com"/>
    <s v="Calle Guacara Nro. 89-130"/>
    <s v="Cuota especial, reja vereda Centro Comercial"/>
    <x v="4"/>
    <m/>
    <s v="00345"/>
    <s v="22 de junio de 2017"/>
    <x v="7"/>
    <s v="7.000,00"/>
    <s v="Siete Mil Bolívares con 00/100"/>
  </r>
  <r>
    <n v="346"/>
    <m/>
    <s v="ü"/>
    <d v="2017-06-22T00:00:00"/>
    <n v="3000"/>
    <s v="Familia Hatem Medina"/>
    <s v="hhatem1@hotmail.com"/>
    <s v="Calle Guacara Nro. 88-51"/>
    <s v="Colaboración cuota especial, reja vereda Centro Comercial"/>
    <x v="4"/>
    <m/>
    <s v="00346"/>
    <s v="22 de junio de 2017"/>
    <x v="7"/>
    <s v="3.000,00"/>
    <s v="Tres Mil Bolívares con 00/100"/>
  </r>
  <r>
    <n v="347"/>
    <m/>
    <s v="ü"/>
    <d v="2017-06-22T00:00:00"/>
    <n v="7000"/>
    <s v="Familia Matta Palomino"/>
    <s v="En Físico"/>
    <s v="Calle Güigüe Nro. 88-90"/>
    <s v="Cuota especial, reja vereda Centro Comercial"/>
    <x v="4"/>
    <m/>
    <s v="00347"/>
    <s v="22 de junio de 2017"/>
    <x v="7"/>
    <s v="7.000,00"/>
    <s v="Siete Mil Bolívares con 00/100"/>
  </r>
  <r>
    <n v="348"/>
    <m/>
    <s v="ü"/>
    <d v="2017-06-22T00:00:00"/>
    <n v="4320"/>
    <s v="Familia Méndez Parra"/>
    <s v="briceidamp@hotmail.com"/>
    <s v="Calle Guacara Nro. 88-19"/>
    <s v="Colaboración cuota especial, reja vereda Centro Comercial"/>
    <x v="4"/>
    <m/>
    <s v="00348"/>
    <s v="22 de junio de 2017"/>
    <x v="7"/>
    <s v="4.320,00"/>
    <s v="Cuatro Mil Trescientos Veinte Bolívares con 00/100"/>
  </r>
  <r>
    <n v="349"/>
    <m/>
    <s v="ü"/>
    <d v="2017-06-22T00:00:00"/>
    <n v="26000"/>
    <s v="Familia Castillo Mena"/>
    <s v="emmecas@hotmail.com"/>
    <s v="Calle Güigüe Nro. 88-101"/>
    <s v="Cancelación Vigilancia, mes de Junio/2017"/>
    <x v="0"/>
    <m/>
    <s v="00349"/>
    <s v="22 de junio de 2017"/>
    <x v="7"/>
    <s v="26.000,00"/>
    <s v="Veintiseis Mil Bolívares con 00/100"/>
  </r>
  <r>
    <n v="350"/>
    <m/>
    <s v="ü"/>
    <d v="2017-06-22T00:00:00"/>
    <n v="7000"/>
    <s v="Familia Castillo Mena"/>
    <s v="emmecas@hotmail.com"/>
    <s v="Calle Güigüe Nro. 88-101"/>
    <s v="Cuota especial, reja vereda Centro Comercial"/>
    <x v="4"/>
    <m/>
    <s v="00350"/>
    <s v="22 de junio de 2017"/>
    <x v="7"/>
    <s v="7.000,00"/>
    <s v="Siete Mil Bolívares con 00/100"/>
  </r>
  <r>
    <n v="351"/>
    <m/>
    <s v="ü"/>
    <d v="2017-06-22T00:00:00"/>
    <n v="26000"/>
    <s v="Familia Jiménez Navarro"/>
    <s v="joyasonline2012@gmail.com"/>
    <s v="Calle Güigüe Nro. 88-50"/>
    <s v="Cancelación Vigilancia, mes de Mayo/2017"/>
    <x v="0"/>
    <m/>
    <s v="00351"/>
    <s v="22 de junio de 2017"/>
    <x v="7"/>
    <s v="26.000,00"/>
    <s v="Veintiseis Mil Bolívares con 00/100"/>
  </r>
  <r>
    <n v="352"/>
    <m/>
    <s v="ü"/>
    <d v="2017-06-22T00:00:00"/>
    <n v="7000"/>
    <s v="Anahiz Seijas"/>
    <s v="anahiz_2@hotmail.es"/>
    <s v="Calle Güigüe Nro. 89-106"/>
    <s v="Cuota especial, reja vereda Centro Comercial"/>
    <x v="4"/>
    <m/>
    <s v="00352"/>
    <s v="22 de junio de 2017"/>
    <x v="7"/>
    <s v="7.000,00"/>
    <s v="Siete Mil Bolívares con 00/100"/>
  </r>
  <r>
    <n v="353"/>
    <m/>
    <s v="ü"/>
    <d v="2017-06-23T00:00:00"/>
    <n v="7000"/>
    <s v="Dra. Lilia Magallanes"/>
    <s v="liliamagallanes2010@gmail.com"/>
    <s v="Calle Güigüe Nro. 88-51"/>
    <s v="Cuota especial, reja vereda Centro Comercial"/>
    <x v="4"/>
    <m/>
    <s v="00353"/>
    <s v="23 de junio de 2017"/>
    <x v="7"/>
    <s v="7.000,00"/>
    <s v="Siete Mil Bolívares con 00/100"/>
  </r>
  <r>
    <n v="354"/>
    <m/>
    <s v="ü"/>
    <d v="2017-06-24T00:00:00"/>
    <n v="30000"/>
    <s v="Gloria Molina"/>
    <s v="glomola2@yahoo.es"/>
    <s v="Calle Güigüe Nro. 89-71"/>
    <s v="Colaboración Vigilancia, meses de Abril y Mayo/2017"/>
    <x v="0"/>
    <m/>
    <s v="00354"/>
    <s v="24 de junio de 2017"/>
    <x v="7"/>
    <s v="30.000,00"/>
    <s v="Treinta Mil Bolívares con 00/100"/>
  </r>
  <r>
    <n v="355"/>
    <m/>
    <s v="ü"/>
    <d v="2017-06-24T00:00:00"/>
    <n v="20000"/>
    <s v="Victoria Francischiello"/>
    <s v="victoriafrancischiello@hotmail.com"/>
    <s v="Calle Guacara Nro. 88-25"/>
    <s v="Colaboración Vigilancia, mes de Junio/2017"/>
    <x v="0"/>
    <m/>
    <s v="00355"/>
    <s v="24 de junio de 2017"/>
    <x v="7"/>
    <s v="20.000,00"/>
    <s v="Veinte Mil Bolívares con 00/100"/>
  </r>
  <r>
    <n v="356"/>
    <m/>
    <s v="ü"/>
    <d v="2017-06-26T00:00:00"/>
    <n v="7000"/>
    <s v="Familia Ferrer Bahri"/>
    <s v="bahrimariela@hotmail.com"/>
    <s v="Calle Güigüe Nro. 89-83"/>
    <s v="Cuota especial, reja vereda Centro Comercial"/>
    <x v="4"/>
    <m/>
    <s v="00356"/>
    <s v="26 de junio de 2017"/>
    <x v="7"/>
    <s v="7.000,00"/>
    <s v="Siete Mil Bolívares con 00/100"/>
  </r>
  <r>
    <n v="357"/>
    <m/>
    <s v="ü"/>
    <d v="2017-06-26T00:00:00"/>
    <n v="26000"/>
    <s v="Familia Navarro Assing"/>
    <s v="liliaassing@gmail.com"/>
    <s v="Calle Güigüe Nro. 88-54"/>
    <s v="Cancelación Vigilancia, mes de Junio/2017"/>
    <x v="0"/>
    <m/>
    <s v="00357"/>
    <s v="26 de junio de 2017"/>
    <x v="7"/>
    <s v="26.000,00"/>
    <s v="Veintiseis Mil Bolívares con 00/100"/>
  </r>
  <r>
    <n v="358"/>
    <m/>
    <s v="ü"/>
    <d v="2017-06-26T00:00:00"/>
    <n v="26000"/>
    <s v="Familia Delgado Hidalgo"/>
    <s v="ardh@hotmail.com"/>
    <s v="Calle Güigüe Nro. 88-10"/>
    <s v="Cancelación Vigilancia, mes de Mayo/2017"/>
    <x v="0"/>
    <m/>
    <s v="00358"/>
    <s v="26 de junio de 2017"/>
    <x v="7"/>
    <s v="26.000,00"/>
    <s v="Veintiseis Mil Bolívares con 00/100"/>
  </r>
  <r>
    <n v="359"/>
    <m/>
    <s v="ü"/>
    <d v="2017-06-26T00:00:00"/>
    <n v="7000"/>
    <s v="Familia Delgado Hidalgo"/>
    <s v="ardh@hotmail.com"/>
    <s v="Calle Güigüe Nro. 88-10"/>
    <s v="Cuota especial, reja vereda Centro Comercial"/>
    <x v="4"/>
    <m/>
    <s v="00359"/>
    <s v="26 de junio de 2017"/>
    <x v="7"/>
    <s v="7.000,00"/>
    <s v="Siete Mil Bolívares con 00/100"/>
  </r>
  <r>
    <n v="360"/>
    <m/>
    <s v="ü"/>
    <d v="2017-06-26T00:00:00"/>
    <n v="7000"/>
    <s v="Familia Rivero"/>
    <s v="En Físico"/>
    <s v="Calle Güigüe Nro. 88-40"/>
    <s v="Cuota especial, reja vereda Centro Comercial"/>
    <x v="4"/>
    <m/>
    <s v="00360"/>
    <s v="26 de junio de 2017"/>
    <x v="7"/>
    <s v="7.000,00"/>
    <s v="Siete Mil Bolívares con 00/100"/>
  </r>
  <r>
    <n v="361"/>
    <m/>
    <s v="ü"/>
    <d v="2017-06-27T00:00:00"/>
    <n v="7000"/>
    <s v="Familia Montilla García"/>
    <s v="dairy252525@hotmail.com"/>
    <s v="Calle Güigüe Nro. 89-90"/>
    <s v="Cuota especial, reja vereda Centro Comercial"/>
    <x v="4"/>
    <m/>
    <s v="00361"/>
    <s v="27 de junio de 2017"/>
    <x v="7"/>
    <s v="7.000,00"/>
    <s v="Siete Mil Bolívares con 00/100"/>
  </r>
  <r>
    <n v="362"/>
    <m/>
    <s v="ü"/>
    <d v="2017-06-28T00:00:00"/>
    <n v="3000"/>
    <s v="Ma. de Jesus Alonso"/>
    <s v="marjoriealonsoh@hotmail.com"/>
    <s v="Calle Güigüe Nro. 88-30"/>
    <s v="Colaboración Vigilancia, mes de Mayo/2017"/>
    <x v="0"/>
    <m/>
    <s v="00362"/>
    <s v="28 de junio de 2017"/>
    <x v="7"/>
    <s v="3.000,00"/>
    <s v="Tres Mil Bolívares con 00/100"/>
  </r>
  <r>
    <n v="363"/>
    <m/>
    <s v="ü"/>
    <d v="2017-06-20T00:00:00"/>
    <n v="26000"/>
    <s v="Familia Díaz González"/>
    <s v="luisrdt57@gmail.com"/>
    <s v="Calle Güigüe Nro. 88-116"/>
    <s v="Cancelación Vigilancia, mes de Junio/2017"/>
    <x v="0"/>
    <m/>
    <s v="00363"/>
    <s v="20 de junio de 2017"/>
    <x v="7"/>
    <s v="26.000,00"/>
    <s v="Veintiseis Mil Bolívares con 00/100"/>
  </r>
  <r>
    <n v="364"/>
    <m/>
    <s v="û"/>
    <d v="2017-06-28T00:00:00"/>
    <n v="7000"/>
    <s v="Beatriz Lara"/>
    <s v="valentina.gutierrez@hotmail.com"/>
    <s v="Calle Guacara Nro. 89-130"/>
    <s v="ANULADO: Cuota especial, reja vereda Centro Comercial"/>
    <x v="3"/>
    <m/>
    <s v="00364"/>
    <s v="28 de junio de 2017"/>
    <x v="7"/>
    <s v="7.000,00"/>
    <s v="Siete Mil Bolívares con 00/100"/>
  </r>
  <r>
    <n v="365"/>
    <m/>
    <s v="ü"/>
    <d v="2017-06-28T00:00:00"/>
    <n v="17000"/>
    <s v="Familia Castro Jiménez"/>
    <s v="0426-543.4303"/>
    <s v="Calle Guacara Nro. 90-51"/>
    <s v="Cancelación Vigilancia, mes de Abril/2017"/>
    <x v="0"/>
    <m/>
    <s v="00365"/>
    <s v="28 de junio de 2017"/>
    <x v="7"/>
    <s v="17.000,00"/>
    <s v="Diecisiete Mil Bolívares con 00/100"/>
  </r>
  <r>
    <n v="366"/>
    <m/>
    <s v="ü"/>
    <d v="2017-06-28T00:00:00"/>
    <n v="52000"/>
    <s v="Familia Castro Jiménez"/>
    <s v="0426-543.4303"/>
    <s v="Calle Guacara Nro. 90-51"/>
    <s v="Cancelación Vigilancia, meses de Mayo y Junio/2017"/>
    <x v="0"/>
    <m/>
    <s v="00366"/>
    <s v="28 de junio de 2017"/>
    <x v="7"/>
    <s v="52.000,00"/>
    <s v="Cincuenta y Dos Mil Bolívares con 00/100"/>
  </r>
  <r>
    <n v="367"/>
    <m/>
    <s v="ü"/>
    <d v="2017-06-29T00:00:00"/>
    <n v="7000"/>
    <s v="Familia Cegarra Villamizar"/>
    <s v="jesus.villamizar.ra@gmail.com"/>
    <s v="Calle Guacara Nro. 88-35"/>
    <s v="Cuota especial, reja vereda Centro Comercial"/>
    <x v="4"/>
    <m/>
    <s v="00367"/>
    <s v="29 de junio de 2017"/>
    <x v="7"/>
    <s v="7.000,00"/>
    <s v="Siete Mil Bolívares con 00/100"/>
  </r>
  <r>
    <n v="368"/>
    <m/>
    <s v="ü"/>
    <d v="2017-06-30T00:00:00"/>
    <n v="2000"/>
    <s v="Familia Hurtado"/>
    <s v="francisco_hurtado@hotmail.com"/>
    <s v="Av. &quot;O&quot; Nro. 146-11"/>
    <s v="Cancelación saldo cuota especial, reja vereda Centro Comercial"/>
    <x v="4"/>
    <m/>
    <s v="00368"/>
    <s v="30 de junio de 2017"/>
    <x v="7"/>
    <s v="2.000,00"/>
    <s v="Dos Mil Bolívares con 00/100"/>
  </r>
  <r>
    <n v="369"/>
    <m/>
    <s v="ü"/>
    <d v="2017-06-30T00:00:00"/>
    <n v="7000"/>
    <s v="Familia Sirit Palencia"/>
    <s v="irasirit@gmail.com"/>
    <s v="Calle Güigüe Nro. 89-35"/>
    <s v="Cuota especial, reja vereda Centro Comercial"/>
    <x v="4"/>
    <m/>
    <s v="00369"/>
    <s v="30 de junio de 2017"/>
    <x v="7"/>
    <s v="7.000,00"/>
    <s v="Siete Mil Bolívares con 00/100"/>
  </r>
  <r>
    <n v="370"/>
    <m/>
    <s v="ü"/>
    <d v="2017-06-30T00:00:00"/>
    <n v="5000"/>
    <s v="Familia Molina Estopiñán"/>
    <s v="En Físico"/>
    <s v="Calle Güigüe Nro. 89-30"/>
    <s v="Colaboración cuota especial, reja vereda Centro Comercial"/>
    <x v="4"/>
    <m/>
    <s v="00370"/>
    <s v="30 de junio de 2017"/>
    <x v="7"/>
    <s v="5.000,00"/>
    <s v="Cinco Mil Bolívares con 00/100"/>
  </r>
  <r>
    <n v="371"/>
    <m/>
    <s v="ü"/>
    <d v="2017-06-30T00:00:00"/>
    <n v="27000"/>
    <s v="Familia Durvelle Serrano"/>
    <s v="sdurvelle@hotmail.com"/>
    <s v="Calle Guacara Nro. 89-60"/>
    <s v="Anticipo Vigilancia, mes de Julio/2017"/>
    <x v="0"/>
    <m/>
    <s v="00371"/>
    <s v="30 de junio de 2017"/>
    <x v="7"/>
    <s v="27.000,00"/>
    <s v="Veintisiete Mil Bolívares con 00/100"/>
  </r>
  <r>
    <n v="372"/>
    <m/>
    <s v="ü"/>
    <d v="2017-07-02T00:00:00"/>
    <n v="5000"/>
    <s v="Victoria Francischiello"/>
    <s v="victoriafrancischiello@hotmail.com"/>
    <s v="Calle Guacara Nro. 88-25"/>
    <s v="Colaboración cuota especial, reja vereda Centro Comercial"/>
    <x v="4"/>
    <m/>
    <s v="00372"/>
    <s v="02 de julio de 2017"/>
    <x v="8"/>
    <s v="5.000,00"/>
    <s v="Cinco Mil Bolívares con 00/100"/>
  </r>
  <r>
    <n v="373"/>
    <m/>
    <s v="ü"/>
    <d v="2017-07-02T00:00:00"/>
    <n v="34000"/>
    <s v="Franco Gómez"/>
    <s v="eof64@hotmail.com"/>
    <s v="Calle Guacara Nro. 87-07"/>
    <s v="Colaboración Vigilancia, meses de Junio y Julio/2017"/>
    <x v="0"/>
    <m/>
    <s v="00373"/>
    <s v="02 de julio de 2017"/>
    <x v="8"/>
    <s v="34.000,00"/>
    <s v="Treinta y Cuatro Mil Bolívares con 00/100"/>
  </r>
  <r>
    <n v="374"/>
    <m/>
    <s v="ü"/>
    <d v="2017-07-02T00:00:00"/>
    <n v="7000"/>
    <s v="Franco Gómez"/>
    <s v="eof64@hotmail.com"/>
    <s v="Calle Guacara Nro. 87-07"/>
    <s v="Cuota especial, reja vereda Centro Comercial"/>
    <x v="4"/>
    <m/>
    <s v="00374"/>
    <s v="02 de julio de 2017"/>
    <x v="8"/>
    <s v="7.000,00"/>
    <s v="Siete Mil Bolívares con 00/100"/>
  </r>
  <r>
    <n v="375"/>
    <m/>
    <s v="ü"/>
    <d v="2017-07-01T00:00:00"/>
    <n v="26000"/>
    <s v="Familia Del Negro Palermo"/>
    <s v="vdelnegro@gmail.com"/>
    <s v="Calle Guacara Nro. 88-45"/>
    <s v="Anticipo Vigilancia, mes de Julio/2017 (saldo a favor: Bs. 139.000)"/>
    <x v="0"/>
    <m/>
    <s v="00375"/>
    <s v="01 de julio de 2017"/>
    <x v="8"/>
    <s v="26.000,00"/>
    <s v="Veintiseis Mil Bolívares con 00/100"/>
  </r>
  <r>
    <n v="376"/>
    <m/>
    <s v="ü"/>
    <d v="2017-07-01T00:00:00"/>
    <n v="26000"/>
    <s v="Ely Saúl Rivero Gómez, C.I 18.448.557"/>
    <s v="hhs.admon@gmail.com"/>
    <s v="Av. &quot;Ñ&quot; Nro. 145-25"/>
    <s v="Anticipo Vigilancia, mes de Julio/2017 (saldo a favor: Bs. 130.000)"/>
    <x v="0"/>
    <m/>
    <s v="00376"/>
    <s v="01 de julio de 2017"/>
    <x v="8"/>
    <s v="26.000,00"/>
    <s v="Veintiseis Mil Bolívares con 00/100"/>
  </r>
  <r>
    <n v="377"/>
    <m/>
    <s v="ü"/>
    <d v="2017-07-02T00:00:00"/>
    <n v="7000"/>
    <s v="Familia Navarro Assing"/>
    <s v="liliaassing@gmail.com"/>
    <s v="Calle Güigüe Nro. 88-54"/>
    <s v="Cuota especial, reja vereda Centro Comercial"/>
    <x v="4"/>
    <m/>
    <s v="00377"/>
    <s v="02 de julio de 2017"/>
    <x v="8"/>
    <s v="7.000,00"/>
    <s v="Siete Mil Bolívares con 00/100"/>
  </r>
  <r>
    <n v="378"/>
    <m/>
    <s v="ü"/>
    <d v="2017-07-03T00:00:00"/>
    <n v="26000"/>
    <s v="Familia Loponte Arteaga"/>
    <s v="nancyloponte@hotmail.com"/>
    <s v="Calle Güigüe Nro. 88-120"/>
    <s v="Anticipo Vigilancia, mes de Julio/2017"/>
    <x v="0"/>
    <m/>
    <s v="00378"/>
    <s v="03 de julio de 2017"/>
    <x v="8"/>
    <s v="26.000,00"/>
    <s v="Veintiseis Mil Bolívares con 00/100"/>
  </r>
  <r>
    <n v="379"/>
    <m/>
    <s v="ü"/>
    <d v="2017-07-03T00:00:00"/>
    <n v="7000"/>
    <s v="Familia Loponte Arteaga"/>
    <s v="nancyloponte@hotmail.com"/>
    <s v="Calle Güigüe Nro. 88-120"/>
    <s v="Cuota especial, reja vereda Centro Comercial"/>
    <x v="4"/>
    <m/>
    <s v="00379"/>
    <s v="03 de julio de 2017"/>
    <x v="8"/>
    <s v="7.000,00"/>
    <s v="Siete Mil Bolívares con 00/100"/>
  </r>
  <r>
    <n v="380"/>
    <m/>
    <s v="ü"/>
    <d v="2017-07-03T00:00:00"/>
    <n v="25000"/>
    <s v="Familia Fermín Rivas"/>
    <s v="angelferminb@gmail.com"/>
    <s v="Calle Güigüe Nro. 89-55"/>
    <s v="Anticipo Vigilancia, mes de Julio/2017"/>
    <x v="0"/>
    <m/>
    <s v="00380"/>
    <s v="03 de julio de 2017"/>
    <x v="8"/>
    <s v="25.000,00"/>
    <s v="Veinticinco Mil Bolívares con 00/100"/>
  </r>
  <r>
    <n v="381"/>
    <m/>
    <s v="ü"/>
    <d v="2017-07-03T00:00:00"/>
    <n v="89387"/>
    <s v="Familia Martínez Boada"/>
    <s v="florcitakmz@gmail.com"/>
    <s v="Calle Güigüe Nro. 88-62"/>
    <s v="Cancelación saldo Vigilancia, mes de Feb/2017, y cancelación Vigilancia, meses de Mar-Jun/2017 (saldo a favor: Bs. 36.613)"/>
    <x v="0"/>
    <m/>
    <s v="00381"/>
    <s v="03 de julio de 2017"/>
    <x v="8"/>
    <s v="89.387,00"/>
    <s v="Ochenta y Nueve Mil Trescientos Ochenta y Siete Bolívares con 00/100"/>
  </r>
  <r>
    <n v="382"/>
    <m/>
    <s v="ü"/>
    <d v="2017-07-03T00:00:00"/>
    <n v="15000"/>
    <s v="Héctor Hernández"/>
    <s v="eof64@hotmail.com"/>
    <s v="Calle Guacara Nro. 89-94"/>
    <s v="Colaboración Vigilancia, mes de Julio/2017"/>
    <x v="0"/>
    <m/>
    <s v="00382"/>
    <s v="03 de julio de 2017"/>
    <x v="8"/>
    <s v="15.000,00"/>
    <s v="Quince Mil Bolívares con 00/100"/>
  </r>
  <r>
    <n v="383"/>
    <m/>
    <s v="ü"/>
    <d v="2017-07-03T00:00:00"/>
    <n v="7000"/>
    <s v="Héctor Hernández"/>
    <s v="eof64@hotmail.com"/>
    <s v="Calle Guacara Nro. 89-94"/>
    <s v="Cuota especial, reja vereda Centro Comercial"/>
    <x v="4"/>
    <m/>
    <s v="00383"/>
    <s v="03 de julio de 2017"/>
    <x v="8"/>
    <s v="7.000,00"/>
    <s v="Siete Mil Bolívares con 00/100"/>
  </r>
  <r>
    <n v="384"/>
    <m/>
    <s v="ü"/>
    <d v="2017-07-04T00:00:00"/>
    <n v="94000"/>
    <s v="Familia Leung"/>
    <s v="0412-406.5167"/>
    <s v="Calle Guacara Nro. 88-55"/>
    <s v="Cancelación Vigilancia, meses de Enero, Febrero, Marzo, Abril y Mayo/2017"/>
    <x v="0"/>
    <m/>
    <s v="00384"/>
    <s v="04 de julio de 2017"/>
    <x v="8"/>
    <s v="94.000,00"/>
    <s v="Noventa y Cuatro Mil Bolívares con 00/100"/>
  </r>
  <r>
    <n v="385"/>
    <m/>
    <s v="ü"/>
    <d v="2017-07-04T00:00:00"/>
    <n v="7000"/>
    <s v="Familia Narváez Caldera"/>
    <s v="jeannette_nc@yahoo.com"/>
    <s v="Calle Güigüe Nro. 87-A-11"/>
    <s v="Cuota especial, reja vereda Centro Comercial"/>
    <x v="4"/>
    <m/>
    <s v="00385"/>
    <s v="04 de julio de 2017"/>
    <x v="8"/>
    <s v="7.000,00"/>
    <s v="Siete Mil Bolívares con 00/100"/>
  </r>
  <r>
    <n v="386"/>
    <m/>
    <s v="ü"/>
    <d v="2017-07-05T00:00:00"/>
    <n v="10000"/>
    <s v="Chin Chun Ya (Goya)"/>
    <s v="uc2721@gmail.com"/>
    <s v="Calle Guacara Nro. 87-86"/>
    <s v="Colaboración Vigilancia, mes de Julio/2017"/>
    <x v="0"/>
    <m/>
    <s v="00386"/>
    <s v="05 de julio de 2017"/>
    <x v="8"/>
    <s v="10.000,00"/>
    <s v="Diez Mil Bolívares con 00/100"/>
  </r>
  <r>
    <n v="387"/>
    <m/>
    <s v="ü"/>
    <d v="2017-07-06T00:00:00"/>
    <n v="20000"/>
    <s v="Dra. Lilia Magallanes"/>
    <s v="liliamagallanes2010@gmail.com"/>
    <s v="Calle Güigüe Nro. 88-51"/>
    <s v="Colaboración Vigilancia, mes de Junio/2017"/>
    <x v="0"/>
    <m/>
    <s v="00387"/>
    <s v="06 de julio de 2017"/>
    <x v="8"/>
    <s v="20.000,00"/>
    <s v="Veinte Mil Bolívares con 00/100"/>
  </r>
  <r>
    <n v="388"/>
    <m/>
    <s v="ü"/>
    <d v="2017-07-06T00:00:00"/>
    <n v="26000"/>
    <s v="Familia Milanés Carmona"/>
    <s v="yndira11m@gmail.com"/>
    <s v="Calle Güigüe Nro. 89-65"/>
    <s v="Cancelación Vigilancia, mes de Junio/2017"/>
    <x v="0"/>
    <m/>
    <s v="00388"/>
    <s v="06 de julio de 2017"/>
    <x v="8"/>
    <s v="26.000,00"/>
    <s v="Veintiseis Mil Bolívares con 00/100"/>
  </r>
  <r>
    <n v="389"/>
    <m/>
    <s v="ü"/>
    <d v="2017-07-06T00:00:00"/>
    <n v="4000"/>
    <s v="Familia Milanés Carmona"/>
    <s v="yndira11m@gmail.com"/>
    <s v="Calle Güigüe Nro. 89-65"/>
    <s v="Colaboración cuota especial, reja vereda Centro Comercial"/>
    <x v="4"/>
    <m/>
    <s v="00389"/>
    <s v="06 de julio de 2017"/>
    <x v="8"/>
    <s v="4.000,00"/>
    <s v="Cuatro Mil Bolívares con 00/100"/>
  </r>
  <r>
    <n v="390"/>
    <m/>
    <s v="ü"/>
    <d v="2017-07-06T00:00:00"/>
    <n v="26000"/>
    <s v="Wu Hung Fung"/>
    <s v="carolinahung24@gmail.com"/>
    <s v="Calle Guacara Nro. 90-81"/>
    <s v="Anticipo Vigilancia, mes de Julio/2017"/>
    <x v="0"/>
    <m/>
    <s v="00390"/>
    <s v="06 de julio de 2017"/>
    <x v="8"/>
    <s v="26.000,00"/>
    <s v="Veintiseis Mil Bolívares con 00/100"/>
  </r>
  <r>
    <n v="391"/>
    <m/>
    <s v="ü"/>
    <d v="2017-07-07T00:00:00"/>
    <n v="52000"/>
    <s v="Familia Ochoa Mendoza"/>
    <s v="marisoljudithm@hotmail.com"/>
    <s v="Calle Güigüe Nro. 89-105"/>
    <s v="Cancelación Vigilancia, mes de Junio y anticipo Julio/2017"/>
    <x v="0"/>
    <m/>
    <s v="00391"/>
    <s v="07 de julio de 2017"/>
    <x v="8"/>
    <s v="52.000,00"/>
    <s v="Cincuenta y Dos Mil Bolívares con 00/100"/>
  </r>
  <r>
    <n v="392"/>
    <m/>
    <s v="ü"/>
    <d v="2017-07-07T00:00:00"/>
    <n v="7000"/>
    <s v="Familia Ochoa Mendoza"/>
    <s v="marisoljudithm@hotmail.com"/>
    <s v="Calle Güigüe Nro. 89-105"/>
    <s v="Cuota especial, reja vereda Centro Comercial"/>
    <x v="4"/>
    <m/>
    <s v="00392"/>
    <s v="07 de julio de 2017"/>
    <x v="8"/>
    <s v="7.000,00"/>
    <s v="Siete Mil Bolívares con 00/100"/>
  </r>
  <r>
    <n v="393"/>
    <m/>
    <s v="ü"/>
    <d v="2017-06-06T00:00:00"/>
    <n v="26000"/>
    <s v="Familia Zavarce Pérez"/>
    <s v="En Físico"/>
    <s v="Calle Guacara Nro. 90-35"/>
    <s v="Cancelación Vigilancia, mes de Junio/2017"/>
    <x v="0"/>
    <m/>
    <s v="00393"/>
    <s v="06 de junio de 2017"/>
    <x v="7"/>
    <s v="26.000,00"/>
    <s v="Veintiseis Mil Bolívares con 00/100"/>
  </r>
  <r>
    <n v="394"/>
    <m/>
    <s v="ü"/>
    <d v="2017-07-09T00:00:00"/>
    <n v="26000"/>
    <s v="Familia Colosso Delgado"/>
    <s v="mcolosso@gmail.com"/>
    <s v="Calle Güigüe Nro. 88-44"/>
    <s v="Anticipo Vigilancia, mes de Julio/2017"/>
    <x v="0"/>
    <m/>
    <s v="00394"/>
    <s v="09 de julio de 2017"/>
    <x v="8"/>
    <s v="26.000,00"/>
    <s v="Veintiseis Mil Bolívares con 00/100"/>
  </r>
  <r>
    <n v="395"/>
    <m/>
    <s v="ü"/>
    <d v="2017-07-10T00:00:00"/>
    <n v="7000"/>
    <s v="Familia Díaz González"/>
    <s v="luisrdt57@gmail.com"/>
    <s v="Calle Güigüe Nro. 88-116"/>
    <s v="Cuota especial, reja vereda Centro Comercial"/>
    <x v="4"/>
    <m/>
    <s v="00395"/>
    <s v="10 de julio de 2017"/>
    <x v="8"/>
    <s v="7.000,00"/>
    <s v="Siete Mil Bolívares con 00/100"/>
  </r>
  <r>
    <n v="396"/>
    <m/>
    <s v="ü"/>
    <d v="2017-07-10T00:00:00"/>
    <n v="26000"/>
    <s v="Familia Astor Zamora"/>
    <s v="imzastor@gmail.com"/>
    <s v="Calle Güigüe Nro. 88-111"/>
    <s v="Cancelación Vigilancia, mes de Junio/2017"/>
    <x v="0"/>
    <m/>
    <s v="00396"/>
    <s v="10 de julio de 2017"/>
    <x v="8"/>
    <s v="26.000,00"/>
    <s v="Veintiseis Mil Bolívares con 00/100"/>
  </r>
  <r>
    <n v="397"/>
    <m/>
    <s v="ü"/>
    <d v="2017-06-02T00:00:00"/>
    <n v="26000"/>
    <s v="Familia Loponte Arteaga"/>
    <s v="nancyloponte@hotmail.com"/>
    <s v="Calle Güigüe Nro. 88-120"/>
    <s v="Cancelación Vigilancia, mes de Junio/2017"/>
    <x v="0"/>
    <m/>
    <s v="00397"/>
    <s v="02 de junio de 2017"/>
    <x v="7"/>
    <s v="26.000,00"/>
    <s v="Veintiseis Mil Bolívares con 00/100"/>
  </r>
  <r>
    <n v="398"/>
    <m/>
    <s v="ü"/>
    <d v="2017-07-11T00:00:00"/>
    <n v="26000"/>
    <s v="Familia Fernández Parés"/>
    <s v="vultecca@gmail.com"/>
    <s v="Calle Guacara Nro. 88-75"/>
    <s v="Cancelación Vigilancia, mes de Junio/2017"/>
    <x v="0"/>
    <m/>
    <s v="00398"/>
    <s v="11 de julio de 2017"/>
    <x v="8"/>
    <s v="26.000,00"/>
    <s v="Veintiseis Mil Bolívares con 00/100"/>
  </r>
  <r>
    <n v="399"/>
    <m/>
    <s v="ü"/>
    <d v="2017-06-14T00:00:00"/>
    <n v="26000"/>
    <s v="Familia Arcia Polanco"/>
    <s v="misipo29@gmail.com"/>
    <s v="Calle Guacara Nro. 89-20"/>
    <s v="Cancelación Vigilancia, mes de Junio/2017"/>
    <x v="0"/>
    <m/>
    <s v="00399"/>
    <s v="14 de junio de 2017"/>
    <x v="7"/>
    <s v="26.000,00"/>
    <s v="Veintiseis Mil Bolívares con 00/100"/>
  </r>
  <r>
    <n v="400"/>
    <m/>
    <s v="ü"/>
    <d v="2017-06-14T00:00:00"/>
    <n v="7000"/>
    <s v="Familia Arcia Polanco"/>
    <s v="misipo29@gmail.com"/>
    <s v="Calle Guacara Nro. 89-20"/>
    <s v="Cuota especial, reja vereda Centro Comercial"/>
    <x v="4"/>
    <m/>
    <s v="00400"/>
    <s v="14 de junio de 2017"/>
    <x v="7"/>
    <s v="7.000,00"/>
    <s v="Siete Mil Bolívares con 00/100"/>
  </r>
  <r>
    <n v="401"/>
    <m/>
    <s v="ü"/>
    <d v="2017-07-11T00:00:00"/>
    <n v="26000"/>
    <s v="Familia Montilla García"/>
    <s v="dairy252525@hotmail.com"/>
    <s v="Calle Güigüe Nro. 89-90"/>
    <s v="Anticipo Vigilancia, mes de Julio/2017"/>
    <x v="0"/>
    <m/>
    <s v="00401"/>
    <s v="11 de julio de 2017"/>
    <x v="8"/>
    <s v="26.000,00"/>
    <s v="Veintiseis Mil Bolívares con 00/100"/>
  </r>
  <r>
    <n v="402"/>
    <m/>
    <s v="ü"/>
    <d v="2017-07-11T00:00:00"/>
    <n v="26000"/>
    <s v="Familia Arcia Polanco"/>
    <s v="misipo29@gmail.com"/>
    <s v="Calle Guacara Nro. 89-20"/>
    <s v="Anticipo Vigilancia, mes de Julio/2017"/>
    <x v="0"/>
    <m/>
    <s v="00402"/>
    <s v="11 de julio de 2017"/>
    <x v="8"/>
    <s v="26.000,00"/>
    <s v="Veintiseis Mil Bolívares con 00/100"/>
  </r>
  <r>
    <n v="403"/>
    <m/>
    <s v="ü"/>
    <d v="2017-07-11T00:00:00"/>
    <n v="5000"/>
    <s v="Silvia Power"/>
    <s v="spowermeneses@gmail.com"/>
    <s v="Calle Güigüe Nro. 89-16"/>
    <s v="Colaboración cuota especial, reja vereda Centro Comercial"/>
    <x v="4"/>
    <m/>
    <s v="00403"/>
    <s v="11 de julio de 2017"/>
    <x v="8"/>
    <s v="5.000,00"/>
    <s v="Cinco Mil Bolívares con 00/100"/>
  </r>
  <r>
    <n v="404"/>
    <m/>
    <s v="û"/>
    <d v="2017-07-11T00:00:00"/>
    <m/>
    <s v="Silvia Power"/>
    <s v="spowermeneses@gmail.com"/>
    <s v="Calle Güigüe Nro. 89-16"/>
    <s v="Donación de láminas de acerolit, manto asfáltico y vidrios para la caseta de vigilancia, quedando exonerada de pagos hasta Diciembre/2017"/>
    <x v="0"/>
    <m/>
    <s v="00404"/>
    <s v="11 de julio de 2017"/>
    <x v="8"/>
    <s v=" - - - "/>
    <s v="- - -"/>
  </r>
  <r>
    <n v="405"/>
    <m/>
    <s v="ü"/>
    <d v="2017-07-12T00:00:00"/>
    <n v="66000"/>
    <s v="Familia Machado Stoppa"/>
    <s v="machadoru@hotmail.com"/>
    <s v="Calle Guacara Nro. 88-85"/>
    <s v="Colaboración Vigilancia, meses de Abril, Mayo y Junio/2017"/>
    <x v="0"/>
    <m/>
    <s v="00405"/>
    <s v="12 de julio de 2017"/>
    <x v="8"/>
    <s v="66.000,00"/>
    <s v="Sesenta y Seis Mil Bolívares con 00/100"/>
  </r>
  <r>
    <n v="406"/>
    <m/>
    <s v="ü"/>
    <d v="2017-07-12T00:00:00"/>
    <n v="26000"/>
    <s v="Familia Narváez Caldera"/>
    <s v="jeannette_nc@yahoo.com"/>
    <s v="Calle Güigüe Nro. 87-A-11"/>
    <s v="Anticipo Vigilancia, mes de Julio/2017"/>
    <x v="0"/>
    <m/>
    <s v="00406"/>
    <s v="12 de julio de 2017"/>
    <x v="8"/>
    <s v="26.000,00"/>
    <s v="Veintiseis Mil Bolívares con 00/100"/>
  </r>
  <r>
    <n v="407"/>
    <m/>
    <s v="ü"/>
    <d v="2017-07-12T00:00:00"/>
    <n v="26000"/>
    <s v="Familia Guerra Miret"/>
    <s v="antoniojguerrag@hotmail.com"/>
    <s v="Calle Güigüe Nro. 89-40"/>
    <s v="Cancelación Vigilancia, mes de Junio y anticipo Julio/2017"/>
    <x v="0"/>
    <m/>
    <s v="00407"/>
    <s v="12 de julio de 2017"/>
    <x v="8"/>
    <s v="26.000,00"/>
    <s v="Veintiseis Mil Bolívares con 00/100"/>
  </r>
  <r>
    <n v="408"/>
    <m/>
    <s v="ü"/>
    <d v="2017-07-12T00:00:00"/>
    <n v="7000"/>
    <s v="Familia Guerra Miret"/>
    <s v="antoniojguerrag@hotmail.com"/>
    <s v="Calle Güigüe Nro. 89-40"/>
    <s v="Cuota especial, reja vereda Centro Comercial"/>
    <x v="4"/>
    <m/>
    <s v="00408"/>
    <s v="12 de julio de 2017"/>
    <x v="8"/>
    <s v="7.000,00"/>
    <s v="Siete Mil Bolívares con 00/100"/>
  </r>
  <r>
    <n v="409"/>
    <m/>
    <s v="ü"/>
    <d v="2017-07-12T00:00:00"/>
    <n v="26000"/>
    <s v="Familia Lomeña Agudo"/>
    <s v="claudialomena@hotmail.com"/>
    <s v="Calle Guacara Nro. 89-30"/>
    <s v="Anticipo Vigilancia, mes de Julio/2017"/>
    <x v="0"/>
    <m/>
    <s v="00409"/>
    <s v="12 de julio de 2017"/>
    <x v="8"/>
    <s v="26.000,00"/>
    <s v="Veintiseis Mil Bolívares con 00/100"/>
  </r>
  <r>
    <n v="410"/>
    <m/>
    <s v="ü"/>
    <d v="2017-07-12T00:00:00"/>
    <n v="10000"/>
    <s v="Familia Triana"/>
    <s v="En Físico"/>
    <s v="Calle Guacara Nro. 90-61"/>
    <s v="Colaboración Vigilancia, meses de Ene-May/2017"/>
    <x v="0"/>
    <m/>
    <s v="00410"/>
    <s v="12 de julio de 2017"/>
    <x v="8"/>
    <s v="10.000,00"/>
    <s v="Diez Mil Bolívares con 00/100"/>
  </r>
  <r>
    <n v="411"/>
    <m/>
    <s v="ü"/>
    <d v="2017-07-04T00:00:00"/>
    <n v="18000"/>
    <s v="Ana de González"/>
    <s v="mikelnowak25@gmail.com"/>
    <s v="Av. &quot;O&quot; Nro. 146-17"/>
    <s v="Cancelación saldo Vigilancia, meses de Mayo y Junio/2017"/>
    <x v="0"/>
    <m/>
    <s v="00411"/>
    <s v="04 de julio de 2017"/>
    <x v="8"/>
    <s v="18.000,00"/>
    <s v="Dieciocho Mil Bolívares con 00/100"/>
  </r>
  <r>
    <n v="412"/>
    <m/>
    <s v="ü"/>
    <d v="2017-07-12T00:00:00"/>
    <n v="26000"/>
    <s v="Anahiz Seijas"/>
    <s v="anahiz_2@hotmail.es"/>
    <s v="Calle Güigüe Nro. 89-106"/>
    <s v="Cancelación Vigilancia, mes de Junio/2017"/>
    <x v="0"/>
    <m/>
    <s v="00412"/>
    <s v="12 de julio de 2017"/>
    <x v="8"/>
    <s v="26.000,00"/>
    <s v="Veintiseis Mil Bolívares con 00/100"/>
  </r>
  <r>
    <n v="413"/>
    <m/>
    <s v="ü"/>
    <d v="2017-07-13T00:00:00"/>
    <n v="26000"/>
    <s v="Familia Kattar"/>
    <s v="jagiak123@yahoo.es"/>
    <s v="Calle Güigüe Nro. 89-95"/>
    <s v="Cancelación Vigilancia, mes de Junio/2017"/>
    <x v="0"/>
    <m/>
    <s v="00413"/>
    <s v="13 de julio de 2017"/>
    <x v="8"/>
    <s v="26.000,00"/>
    <s v="Veintiseis Mil Bolívares con 00/100"/>
  </r>
  <r>
    <n v="414"/>
    <m/>
    <s v="ü"/>
    <d v="2017-07-14T00:00:00"/>
    <n v="34000"/>
    <s v="Yuraima Rodríguez"/>
    <s v="En Físico"/>
    <s v="Calle Guacara Nro. 89-70"/>
    <s v="Cancelación Vigilancia, meses de Marzo y Abril/2017"/>
    <x v="0"/>
    <m/>
    <s v="00414"/>
    <s v="14 de julio de 2017"/>
    <x v="8"/>
    <s v="34.000,00"/>
    <s v="Treinta y Cuatro Mil Bolívares con 00/100"/>
  </r>
  <r>
    <n v="415"/>
    <m/>
    <s v="ü"/>
    <d v="2017-07-14T00:00:00"/>
    <n v="27000"/>
    <s v="Familia Nava Gordon"/>
    <s v="maru_19_66@hotmail.com"/>
    <s v="Calle Guacara Nro. 89-78"/>
    <s v="Cancelación Vigilancia, mes de Junio y anticipó del mes de Julio/2017"/>
    <x v="0"/>
    <m/>
    <s v="00415"/>
    <s v="14 de julio de 2017"/>
    <x v="8"/>
    <s v="27.000,00"/>
    <s v="Veintisiete Mil Bolívares con 00/100"/>
  </r>
  <r>
    <n v="416"/>
    <m/>
    <s v="ü"/>
    <d v="2017-07-04T00:00:00"/>
    <n v="12000"/>
    <s v="Familia Rodríguez Aular"/>
    <s v="mvaular@hotmail.com"/>
    <s v="Calle Güigüe Nro. 88-58"/>
    <s v="Colaboración Vigilancia, mes de Mayo/2017"/>
    <x v="0"/>
    <m/>
    <s v="00416"/>
    <s v="04 de julio de 2017"/>
    <x v="8"/>
    <s v="12.000,00"/>
    <s v="Doce Mil Bolívares con 00/100"/>
  </r>
  <r>
    <n v="417"/>
    <m/>
    <s v="ü"/>
    <d v="2017-07-14T00:00:00"/>
    <n v="26000"/>
    <s v="Familia Ferrer Bahri"/>
    <s v="bahrimariela@hotmail.com"/>
    <s v="Calle Güigüe Nro. 89-83"/>
    <s v="Anticipo Vigilancia, mes de Julio/2017"/>
    <x v="0"/>
    <m/>
    <s v="00417"/>
    <s v="14 de julio de 2017"/>
    <x v="8"/>
    <s v="26.000,00"/>
    <s v="Veintiseis Mil Bolívares con 00/100"/>
  </r>
  <r>
    <n v="418"/>
    <m/>
    <s v="ü"/>
    <d v="2017-07-14T00:00:00"/>
    <n v="20000"/>
    <s v="Familia Kabblan"/>
    <s v="norisjsb56@hotmail.com"/>
    <s v="Calle Güigüe Nro. 89-80"/>
    <s v="Colaboración Vigilancia, mes de Julio/2017"/>
    <x v="0"/>
    <m/>
    <s v="00418"/>
    <s v="14 de julio de 2017"/>
    <x v="8"/>
    <s v="20.000,00"/>
    <s v="Veinte Mil Bolívares con 00/100"/>
  </r>
  <r>
    <n v="419"/>
    <m/>
    <s v="ü"/>
    <d v="2017-06-30T00:00:00"/>
    <n v="26000"/>
    <s v="Familia Barreto Pérez"/>
    <s v="bbetsa19@hotmail.com"/>
    <s v="Av. &quot;M&quot; Nro. 146-15"/>
    <s v="Cancelación Vigilancia, mes de Junio/2017"/>
    <x v="0"/>
    <m/>
    <s v="00419"/>
    <s v="30 de junio de 2017"/>
    <x v="7"/>
    <s v="26.000,00"/>
    <s v="Veintiseis Mil Bolívares con 00/100"/>
  </r>
  <r>
    <n v="420"/>
    <m/>
    <s v="ü"/>
    <d v="2017-07-15T00:00:00"/>
    <n v="15000"/>
    <s v="Manuel Rodríguez"/>
    <s v="mrl58@hotmail.com"/>
    <s v="Calle Güigüe Nro. 89-29"/>
    <s v="Colaboración Vigilancia, mes de Julio/2017"/>
    <x v="0"/>
    <m/>
    <s v="00420"/>
    <s v="15 de julio de 2017"/>
    <x v="8"/>
    <s v="15.000,00"/>
    <s v="Quince Mil Bolívares con 00/100"/>
  </r>
  <r>
    <n v="421"/>
    <m/>
    <s v="ü"/>
    <d v="2017-07-17T00:00:00"/>
    <n v="26000"/>
    <s v="Familia Delgado Hidalgo"/>
    <s v="ardh@hotmail.com"/>
    <s v="Calle Güigüe Nro. 88-10"/>
    <s v="Cancelación Vigilancia, mes de Junio/2017"/>
    <x v="0"/>
    <m/>
    <s v="00421"/>
    <s v="17 de julio de 2017"/>
    <x v="8"/>
    <s v="26.000,00"/>
    <s v="Veintiseis Mil Bolívares con 00/100"/>
  </r>
  <r>
    <n v="422"/>
    <m/>
    <s v="ü"/>
    <d v="2017-07-17T00:00:00"/>
    <n v="30000"/>
    <s v="La Casita Encantada"/>
    <s v="En Físico"/>
    <s v="Av. &quot;M&quot; Nro. 146-30"/>
    <s v="Anticipo Vigilancia, mes de Julio/2017"/>
    <x v="0"/>
    <m/>
    <s v="00422"/>
    <s v="17 de julio de 2017"/>
    <x v="8"/>
    <s v="30.000,00"/>
    <s v="Treinta Mil Bolívares con 00/100"/>
  </r>
  <r>
    <n v="423"/>
    <m/>
    <s v="ü"/>
    <d v="2017-07-17T00:00:00"/>
    <n v="6000"/>
    <s v="Familia Hurtado"/>
    <s v="En Físico"/>
    <s v="Av. &quot;O&quot; Nro. 146-11"/>
    <s v="Cancelación saldo Vigilancia, mes de Mayo/2017"/>
    <x v="0"/>
    <m/>
    <s v="00423"/>
    <s v="17 de julio de 2017"/>
    <x v="8"/>
    <s v="6.000,00"/>
    <s v="Seis Mil Bolívares con 00/100"/>
  </r>
  <r>
    <n v="424"/>
    <m/>
    <s v="ü"/>
    <d v="2017-07-18T00:00:00"/>
    <n v="9000"/>
    <s v="Familia Arcia Polanco"/>
    <s v="misipo29@gmail.com"/>
    <s v="Calle Guacara Nro. 89-20"/>
    <s v="Cancelación saldo Vigilancia, mes de Julio/2017"/>
    <x v="0"/>
    <m/>
    <s v="00424"/>
    <s v="18 de julio de 2017"/>
    <x v="8"/>
    <s v="9.000,00"/>
    <s v="Nueve Mil Bolívares con 00/100"/>
  </r>
  <r>
    <n v="425"/>
    <m/>
    <s v="ü"/>
    <d v="2017-07-18T00:00:00"/>
    <n v="10000"/>
    <s v="La Casita Encantada"/>
    <s v="En Físico"/>
    <s v="Av. &quot;M&quot; Nro. 146-30"/>
    <s v="Cancelación saldo Vigilancia, mes de Julio/2017"/>
    <x v="0"/>
    <m/>
    <s v="00425"/>
    <s v="18 de julio de 2017"/>
    <x v="8"/>
    <s v="10.000,00"/>
    <s v="Diez Mil Bolívares con 00/100"/>
  </r>
  <r>
    <n v="426"/>
    <m/>
    <s v="ü"/>
    <d v="2017-07-18T00:00:00"/>
    <n v="26000"/>
    <s v="Familia Hurtado"/>
    <s v="En Físico"/>
    <s v="Av. &quot;O&quot; Nro. 146-11"/>
    <s v="Cancelación Vigilancia, mes de Junio/2017"/>
    <x v="0"/>
    <m/>
    <s v="00426"/>
    <s v="18 de julio de 2017"/>
    <x v="8"/>
    <s v="26.000,00"/>
    <s v="Veintiseis Mil Bolívares con 00/100"/>
  </r>
  <r>
    <n v="427"/>
    <m/>
    <s v="ü"/>
    <d v="2017-07-18T00:00:00"/>
    <n v="35000"/>
    <s v="Familia Milanés Carmona"/>
    <s v="yndira11m@gmail.com"/>
    <s v="Calle Güigüe Nro. 89-65"/>
    <s v="Cancelación Vigilancia, mes de Julio/2017"/>
    <x v="0"/>
    <m/>
    <s v="00427"/>
    <s v="18 de julio de 2017"/>
    <x v="8"/>
    <s v="35.000,00"/>
    <s v="Treinta y Cinco Mil Bolívares con 00/100"/>
  </r>
  <r>
    <n v="428"/>
    <m/>
    <s v="ü"/>
    <d v="2017-07-18T00:00:00"/>
    <n v="35000"/>
    <s v="Familia Sayago Peñaranda"/>
    <s v="alexissayago@gmail.com"/>
    <s v="Calle Güigüe Nro. 89-04"/>
    <s v="Cancelación Vigilancia, mes de Julio/2017"/>
    <x v="0"/>
    <m/>
    <s v="00428"/>
    <s v="18 de julio de 2017"/>
    <x v="8"/>
    <s v="35.000,00"/>
    <s v="Treinta y Cinco Mil Bolívares con 00/100"/>
  </r>
  <r>
    <n v="429"/>
    <m/>
    <s v="ü"/>
    <d v="2017-07-18T00:00:00"/>
    <n v="36000"/>
    <s v="Familia Hatem Medina"/>
    <s v="hhatem1@hotmail.com"/>
    <s v="Calle Guacara Nro. 88-51"/>
    <s v="Complemento colaboración Vigilancia, mes de Mayo y Cancelación mes de Junio/2017"/>
    <x v="0"/>
    <m/>
    <s v="00429"/>
    <s v="18 de julio de 2017"/>
    <x v="8"/>
    <s v="36.000,00"/>
    <s v="Treinta y Seis Mil Bolívares con 00/100"/>
  </r>
  <r>
    <n v="430"/>
    <m/>
    <s v="ü"/>
    <d v="2017-07-13T00:00:00"/>
    <n v="20000"/>
    <s v="Familia Zavarce Barón"/>
    <s v="0414-241.8055"/>
    <s v="Calle Guacara Nro. 88-91"/>
    <s v="Colaboración Vigilancia, meses de Mayo y Junio/2017"/>
    <x v="0"/>
    <m/>
    <s v="00430"/>
    <s v="13 de julio de 2017"/>
    <x v="8"/>
    <s v="20.000,00"/>
    <s v="Veinte Mil Bolívares con 00/100"/>
  </r>
  <r>
    <n v="431"/>
    <m/>
    <s v="ü"/>
    <d v="2017-07-18T00:00:00"/>
    <n v="9000"/>
    <s v="Familia Del Negro Palermo"/>
    <s v="vdelnegro@gmail.com"/>
    <s v="Calle Guacara Nro. 88-45"/>
    <s v="Cancelación saldo Vigilancia, mes de Julio/2017 (saldo a favor: Bs. 130.000)"/>
    <x v="0"/>
    <m/>
    <s v="00431"/>
    <s v="18 de julio de 2017"/>
    <x v="8"/>
    <s v="9.000,00"/>
    <s v="Nueve Mil Bolívares con 00/100"/>
  </r>
  <r>
    <n v="432"/>
    <m/>
    <s v="ü"/>
    <d v="2017-07-18T00:00:00"/>
    <n v="9000"/>
    <s v="Ely Saúl Rivero Gómez, C.I 18.448.557"/>
    <s v="hhs.admon@gmail.com"/>
    <s v="Av. &quot;Ñ&quot; Nro. 145-25"/>
    <s v="Cancelación saldo Vigilancia, mes de Julio/2017 (saldo a favor: Bs. 121.000)"/>
    <x v="0"/>
    <m/>
    <s v="00432"/>
    <s v="18 de julio de 2017"/>
    <x v="8"/>
    <s v="9.000,00"/>
    <s v="Nueve Mil Bolívares con 00/100"/>
  </r>
  <r>
    <n v="433"/>
    <m/>
    <s v="ü"/>
    <d v="2017-07-18T00:00:00"/>
    <n v="9000"/>
    <s v="Familia Puerta Burguillos"/>
    <s v="namaricakes@gmail.com"/>
    <s v="Calle Guacara Nro. 87-100"/>
    <s v="Cancelación saldo Vigilancia, mes de Julio/2017 (saldo a favor: Bs. 4.000)"/>
    <x v="0"/>
    <m/>
    <s v="00433"/>
    <s v="18 de julio de 2017"/>
    <x v="8"/>
    <s v="9.000,00"/>
    <s v="Nueve Mil Bolívares con 00/100"/>
  </r>
  <r>
    <n v="434"/>
    <m/>
    <s v="ü"/>
    <d v="2017-07-18T00:00:00"/>
    <n v="9000"/>
    <s v="Familia Ferrer Bahri"/>
    <s v="bahrimariela@hotmail.com"/>
    <s v="Calle Güigüe Nro. 89-83"/>
    <s v="Cancelación saldo Vigilancia, mes de Julio/2017"/>
    <x v="0"/>
    <m/>
    <s v="00434"/>
    <s v="18 de julio de 2017"/>
    <x v="8"/>
    <s v="9.000,00"/>
    <s v="Nueve Mil Bolívares con 00/100"/>
  </r>
  <r>
    <n v="435"/>
    <m/>
    <s v="ü"/>
    <d v="2017-07-19T00:00:00"/>
    <n v="10000"/>
    <s v="Familia Fermín Rivas"/>
    <s v="angelferminb@gmail.com"/>
    <s v="Calle Güigüe Nro. 89-55"/>
    <s v="Cancelación saldo Vigilancia, mes de Julio/2017"/>
    <x v="0"/>
    <m/>
    <s v="00435"/>
    <s v="19 de julio de 2017"/>
    <x v="8"/>
    <s v="10.000,00"/>
    <s v="Diez Mil Bolívares con 00/100"/>
  </r>
  <r>
    <n v="436"/>
    <m/>
    <s v="ü"/>
    <d v="2017-07-19T00:00:00"/>
    <n v="25000"/>
    <s v="Familia Méndez Parra"/>
    <s v="briceidamp@hotmail.com"/>
    <s v="Calle Guacara Nro. 88-19"/>
    <s v="Colaboración Vigilancia, mes de Julio/2017"/>
    <x v="0"/>
    <m/>
    <s v="00436"/>
    <s v="19 de julio de 2017"/>
    <x v="8"/>
    <s v="25.000,00"/>
    <s v="Veinticinco Mil Bolívares con 00/100"/>
  </r>
  <r>
    <n v="437"/>
    <m/>
    <s v="ü"/>
    <d v="2017-07-19T00:00:00"/>
    <n v="9000"/>
    <s v="Familia Durvelle Serrano"/>
    <s v="sdurvelle@hotmail.com"/>
    <s v="Calle Guacara Nro. 89-60"/>
    <s v="Cancelación saldo Vigilancia, mes de Julio/2017"/>
    <x v="0"/>
    <m/>
    <s v="00437"/>
    <s v="19 de julio de 2017"/>
    <x v="8"/>
    <s v="9.000,00"/>
    <s v="Nueve Mil Bolívares con 00/100"/>
  </r>
  <r>
    <n v="438"/>
    <m/>
    <s v="ü"/>
    <d v="2017-07-19T00:00:00"/>
    <n v="30000"/>
    <s v="Familia Cegarra Villamizar"/>
    <s v="jesus.villamizar.ra@gmail.com"/>
    <s v="Calle Guacara Nro. 88-35"/>
    <s v="Colaboración Vigilancia, mes de Julio/2017"/>
    <x v="0"/>
    <m/>
    <s v="00438"/>
    <s v="19 de julio de 2017"/>
    <x v="8"/>
    <s v="30.000,00"/>
    <s v="Treinta Mil Bolívares con 00/100"/>
  </r>
  <r>
    <n v="439"/>
    <m/>
    <s v="ü"/>
    <d v="2017-07-18T00:00:00"/>
    <n v="52000"/>
    <s v="Familia Castillo Rodríguez"/>
    <s v="vesperanzacastillor@gmail.com"/>
    <s v="Calle Güigüe Nro. 88-91"/>
    <s v="Cancelación Vigilancia, mes de Junio y anticipo mes de Julio/2017"/>
    <x v="0"/>
    <m/>
    <s v="00439"/>
    <s v="18 de julio de 2017"/>
    <x v="8"/>
    <s v="52.000,00"/>
    <s v="Cincuenta y Dos Mil Bolívares con 00/100"/>
  </r>
  <r>
    <n v="440"/>
    <m/>
    <s v="ü"/>
    <d v="2017-07-19T00:00:00"/>
    <n v="9000"/>
    <s v="Familia Lomeña Agudo"/>
    <s v="claudialomena@hotmail.com"/>
    <s v="Calle Guacara Nro. 89-30"/>
    <s v="Cancelación saldo Vigilancia, mes de Julio/2017"/>
    <x v="0"/>
    <m/>
    <s v="00440"/>
    <s v="19 de julio de 2017"/>
    <x v="8"/>
    <s v="9.000,00"/>
    <s v="Nueve Mil Bolívares con 00/100"/>
  </r>
  <r>
    <n v="441"/>
    <m/>
    <s v="ü"/>
    <d v="2017-07-19T00:00:00"/>
    <n v="9000"/>
    <s v="Wu Hung Fung"/>
    <s v="carolinahung24@gmail.com"/>
    <s v="Calle Guacara Nro. 90-81"/>
    <s v="Cancelación saldo Vigilancia, mes de Julio/2017"/>
    <x v="0"/>
    <m/>
    <s v="00441"/>
    <s v="19 de julio de 2017"/>
    <x v="8"/>
    <s v="9.000,00"/>
    <s v="Nueve Mil Bolívares con 00/100"/>
  </r>
  <r>
    <n v="442"/>
    <m/>
    <s v="ü"/>
    <d v="2017-07-17T00:00:00"/>
    <n v="15000"/>
    <s v="Familia Rodríguez Aular"/>
    <s v="mvaular@hotmail.com"/>
    <s v="Calle Güigüe Nro. 88-58"/>
    <s v="Colaboración Vigilancia, mes de Junio/2017"/>
    <x v="0"/>
    <m/>
    <s v="00442"/>
    <s v="17 de julio de 2017"/>
    <x v="8"/>
    <s v="15.000,00"/>
    <s v="Quince Mil Bolívares con 00/100"/>
  </r>
  <r>
    <n v="443"/>
    <m/>
    <s v="ü"/>
    <d v="2017-07-20T00:00:00"/>
    <n v="5100"/>
    <s v="Familia Hatem Medina"/>
    <s v="hhatem1@hotmail.com"/>
    <s v="Calle Guacara Nro. 88-51"/>
    <s v="Complemento colaboración Vigilancia, mes de Abril/2017, contra factura"/>
    <x v="0"/>
    <m/>
    <s v="00443"/>
    <s v="20 de julio de 2017"/>
    <x v="8"/>
    <s v="5.100,00"/>
    <s v="Cinco Mil Cien Bolívares con 00/100"/>
  </r>
  <r>
    <n v="444"/>
    <m/>
    <s v="ü"/>
    <d v="2017-07-20T00:00:00"/>
    <n v="35000"/>
    <s v="Beatriz Lara"/>
    <s v="valentina.gutierrez@hotmail.com"/>
    <s v="Calle Guacara Nro. 89-130"/>
    <s v="Cancelación Vigilancia, mes de Julio/2017"/>
    <x v="0"/>
    <m/>
    <s v="00444"/>
    <s v="20 de julio de 2017"/>
    <x v="8"/>
    <s v="35.000,00"/>
    <s v="Treinta y Cinco Mil Bolívares con 00/100"/>
  </r>
  <r>
    <n v="445"/>
    <m/>
    <s v="ü"/>
    <d v="2017-07-20T00:00:00"/>
    <n v="25000"/>
    <s v="Amarilis Guerra"/>
    <s v="amarilisguerra1@yahoo.com"/>
    <s v="Calle Güigüe Nro. 89-96"/>
    <s v="Cancelación Vigilancia, mes de Junio/2017"/>
    <x v="0"/>
    <m/>
    <s v="00445"/>
    <s v="20 de julio de 2017"/>
    <x v="8"/>
    <s v="25.000,00"/>
    <s v="Veinticinco Mil Bolívares con 00/100"/>
  </r>
  <r>
    <n v="446"/>
    <m/>
    <s v="ü"/>
    <d v="2017-07-21T00:00:00"/>
    <n v="5000"/>
    <s v="Ma. de Jesus Alonso"/>
    <s v="marjoriealonsoh@hotmail.com"/>
    <s v="Calle Güigüe Nro. 88-30"/>
    <s v="Colaboración Vigilancia, mes de Julio/2017"/>
    <x v="0"/>
    <m/>
    <s v="00446"/>
    <s v="21 de julio de 2017"/>
    <x v="8"/>
    <s v="5.000,00"/>
    <s v="Cinco Mil Bolívares con 00/100"/>
  </r>
  <r>
    <n v="447"/>
    <m/>
    <s v="ü"/>
    <d v="2017-07-23T00:00:00"/>
    <n v="9000"/>
    <s v="Familia Colosso Delgado"/>
    <s v="mcolosso@gmail.com"/>
    <s v="Calle Güigüe Nro. 88-44"/>
    <s v="Cancelación saldo Vigilancia, mes de Julio/2017"/>
    <x v="0"/>
    <m/>
    <s v="00447"/>
    <s v="23 de julio de 2017"/>
    <x v="8"/>
    <s v="9.000,00"/>
    <s v="Nueve Mil Bolívares con 00/100"/>
  </r>
  <r>
    <n v="448"/>
    <m/>
    <s v="ü"/>
    <d v="2017-06-07T00:00:00"/>
    <n v="26000"/>
    <s v="Familia González Arévalo"/>
    <s v="feryenis@hotmail.com"/>
    <s v="Calle Guacara Nro. 89-86"/>
    <s v="Anticipo Vigilancia, mes de Julio/2017"/>
    <x v="0"/>
    <m/>
    <s v="00448"/>
    <s v="07 de junio de 2017"/>
    <x v="7"/>
    <s v="26.000,00"/>
    <s v="Veintiseis Mil Bolívares con 00/100"/>
  </r>
  <r>
    <n v="449"/>
    <m/>
    <s v="ü"/>
    <d v="2017-07-23T00:00:00"/>
    <n v="44000"/>
    <s v="Familia González Arévalo"/>
    <s v="feryenis@hotmail.com"/>
    <s v="Calle Guacara Nro. 89-86"/>
    <s v="Cancelación saldo Vigilancia, mes de Julio y Cancelación Vigilancia Agosto/2017"/>
    <x v="0"/>
    <m/>
    <s v="00449"/>
    <s v="23 de julio de 2017"/>
    <x v="8"/>
    <s v="44.000,00"/>
    <s v="Cuarenta y Cuatro Mil Bolívares con 00/100"/>
  </r>
  <r>
    <n v="450"/>
    <m/>
    <s v="ü"/>
    <d v="2017-07-24T00:00:00"/>
    <n v="108000"/>
    <s v="Colegio El Trigal"/>
    <s v="En Físico"/>
    <s v="Calle Güigüe Nros. 88-71 y 88-81"/>
    <s v="Cancelación Vigilancia, meses de Julio y Agosto/2017"/>
    <x v="0"/>
    <m/>
    <s v="00450"/>
    <s v="24 de julio de 2017"/>
    <x v="8"/>
    <s v="108.000,00"/>
    <s v="Ciento Ocho Mil Bolívares con 00/100"/>
  </r>
  <r>
    <n v="451"/>
    <m/>
    <s v="û"/>
    <d v="2017-04-06T00:00:00"/>
    <n v="14000"/>
    <s v="Familia García Hurtado"/>
    <s v="0414-241.8055"/>
    <s v="Calle Guacara Nro. 90-110"/>
    <s v="ANULADO: Colaboración Vigilancia, mes de Marzo/2017"/>
    <x v="3"/>
    <m/>
    <s v="00451"/>
    <s v="06 de abril de 2017"/>
    <x v="4"/>
    <s v="14.000,00"/>
    <s v="Catorce Mil Bolívares con 00/100"/>
  </r>
  <r>
    <n v="452"/>
    <m/>
    <s v="û"/>
    <d v="2017-05-10T00:00:00"/>
    <n v="17000"/>
    <s v="Familia García Hurtado"/>
    <s v="0414-241.8055"/>
    <s v="Calle Guacara Nro. 90-110"/>
    <s v="ANULADO: Colaboración Vigilancia, mes de Abril/2017"/>
    <x v="3"/>
    <m/>
    <s v="00452"/>
    <s v="10 de mayo de 2017"/>
    <x v="5"/>
    <s v="17.000,00"/>
    <s v="Diecisiete Mil Bolívares con 00/100"/>
  </r>
  <r>
    <n v="453"/>
    <m/>
    <s v="û"/>
    <d v="2017-07-13T00:00:00"/>
    <n v="20000"/>
    <s v="Familia García Hurtado"/>
    <s v="0414-241.8055"/>
    <s v="Calle Guacara Nro. 90-110"/>
    <s v="ANULADO: Colaboración Vigilancia, meses de Mayo y Junio/2017"/>
    <x v="3"/>
    <m/>
    <s v="00453"/>
    <s v="13 de julio de 2017"/>
    <x v="8"/>
    <s v="20.000,00"/>
    <s v="Veinte Mil Bolívares con 00/100"/>
  </r>
  <r>
    <n v="454"/>
    <m/>
    <s v="ü"/>
    <d v="2017-07-28T00:00:00"/>
    <n v="20000"/>
    <s v="Victoria Francischiello"/>
    <s v="victoriafrancischiello@hotmail.com"/>
    <s v="Calle Guacara Nro. 88-25"/>
    <s v="Colaboración Vigilancia, mes de Julio/2017"/>
    <x v="0"/>
    <m/>
    <s v="00454"/>
    <s v="28 de julio de 2017"/>
    <x v="8"/>
    <s v="20.000,00"/>
    <s v="Veinte Mil Bolívares con 00/100"/>
  </r>
  <r>
    <n v="455"/>
    <m/>
    <s v="ü"/>
    <d v="2017-07-29T00:00:00"/>
    <n v="35000"/>
    <s v="Familia Navarro Assing"/>
    <s v="liliaassing@gmail.com"/>
    <s v="Calle Güigüe Nro. 88-54"/>
    <s v="Cancelación Vigilancia, mes de Julio/2017"/>
    <x v="0"/>
    <m/>
    <s v="00455"/>
    <s v="29 de julio de 2017"/>
    <x v="8"/>
    <s v="35.000,00"/>
    <s v="Treinta y Cinco Mil Bolívares con 00/100"/>
  </r>
  <r>
    <n v="456"/>
    <m/>
    <s v="ü"/>
    <d v="2017-07-20T00:00:00"/>
    <n v="35000"/>
    <s v="Familia Acosta"/>
    <s v="pablo962@hotmail.com"/>
    <s v="Calle Güigüe Nro. 89-10"/>
    <s v="Cancelación Vigilancia, mes de Julio/2017"/>
    <x v="0"/>
    <m/>
    <s v="00456"/>
    <s v="20 de julio de 2017"/>
    <x v="8"/>
    <s v="35.000,00"/>
    <s v="Treinta y Cinco Mil Bolívares con 00/100"/>
  </r>
  <r>
    <n v="457"/>
    <m/>
    <s v="ü"/>
    <d v="2017-07-29T00:00:00"/>
    <n v="7000"/>
    <s v="Ely Saúl Rivero Gómez, C.I 18.448.557"/>
    <s v="hhs.admon@gmail.com"/>
    <s v="Av. &quot;Ñ&quot; Nro. 145-25"/>
    <s v="Cuota especial, reja vereda Centro Comercial (saldo a favor: Bs. 114.000)"/>
    <x v="4"/>
    <m/>
    <s v="00457"/>
    <s v="29 de julio de 2017"/>
    <x v="8"/>
    <s v="7.000,00"/>
    <s v="Siete Mil Bolívares con 00/100"/>
  </r>
  <r>
    <n v="458"/>
    <m/>
    <s v="ü"/>
    <d v="2017-08-01T00:00:00"/>
    <n v="15000"/>
    <s v="Héctor Hernández"/>
    <s v="eof64@hotmail.com"/>
    <s v="Calle Guacara Nro. 89-94"/>
    <s v="Colaboración Vigilancia, mes de Agosto/2017"/>
    <x v="0"/>
    <m/>
    <s v="00458"/>
    <s v="01 de agosto de 2017"/>
    <x v="9"/>
    <s v="15.000,00"/>
    <s v="Quince Mil Bolívares con 00/100"/>
  </r>
  <r>
    <n v="459"/>
    <m/>
    <s v="ü"/>
    <d v="2017-08-02T00:00:00"/>
    <n v="35000"/>
    <s v="Amarilis Guerra"/>
    <s v="amarilisguerra1@yahoo.com"/>
    <s v="Calle Güigüe Nro. 89-96"/>
    <s v="Cancelación Vigilancia, mes de Julio/2017"/>
    <x v="0"/>
    <m/>
    <s v="00459"/>
    <s v="02 de agosto de 2017"/>
    <x v="9"/>
    <s v="35.000,00"/>
    <s v="Treinta y Cinco Mil Bolívares con 00/100"/>
  </r>
  <r>
    <n v="460"/>
    <m/>
    <s v="ü"/>
    <d v="2017-08-02T00:00:00"/>
    <n v="35000"/>
    <s v="Familia Jiménez Navarro"/>
    <s v="joyasonline2012@gmail.com"/>
    <s v="Calle Güigüe Nro. 88-50"/>
    <s v="Cancelación Vigilancia, mes de Julio/2017"/>
    <x v="0"/>
    <m/>
    <s v="00460"/>
    <s v="02 de agosto de 2017"/>
    <x v="9"/>
    <s v="35.000,00"/>
    <s v="Treinta y Cinco Mil Bolívares con 00/100"/>
  </r>
  <r>
    <n v="461"/>
    <m/>
    <s v="ü"/>
    <d v="2017-08-02T00:00:00"/>
    <n v="35000"/>
    <s v="Familia Durvelle Serrano"/>
    <s v="sdurvelle@hotmail.com"/>
    <s v="Calle Guacara Nro. 89-60"/>
    <s v="Cancelación Vigilancia, mes de Agosto/2017"/>
    <x v="0"/>
    <m/>
    <s v="00461"/>
    <s v="02 de agosto de 2017"/>
    <x v="9"/>
    <s v="35.000,00"/>
    <s v="Treinta y Cinco Mil Bolívares con 00/100"/>
  </r>
  <r>
    <n v="462"/>
    <m/>
    <s v="ü"/>
    <d v="2017-07-11T00:00:00"/>
    <n v="26000"/>
    <s v="Familia Díaz González"/>
    <s v="luisrdt57@gmail.com"/>
    <s v="Calle Güigüe Nro. 88-116"/>
    <s v="Anticipo Vigilancia, mes de Julio/2017"/>
    <x v="0"/>
    <m/>
    <s v="00462"/>
    <s v="11 de julio de 2017"/>
    <x v="8"/>
    <s v="26.000,00"/>
    <s v="Veintiseis Mil Bolívares con 00/100"/>
  </r>
  <r>
    <n v="463"/>
    <m/>
    <s v="ü"/>
    <d v="2017-08-02T00:00:00"/>
    <n v="26000"/>
    <s v="Familia Matta Palomino"/>
    <s v="En Físico"/>
    <s v="Calle Güigüe Nro. 88-90"/>
    <s v="Cancelación Vigilancia, mes de Junio/2017"/>
    <x v="0"/>
    <m/>
    <s v="00463"/>
    <s v="02 de agosto de 2017"/>
    <x v="9"/>
    <s v="26.000,00"/>
    <s v="Veintiseis Mil Bolívares con 00/100"/>
  </r>
  <r>
    <n v="464"/>
    <m/>
    <s v="ü"/>
    <d v="2017-08-02T00:00:00"/>
    <n v="10000"/>
    <s v="Familia Rivero"/>
    <s v="En Físico"/>
    <s v="Calle Güigüe Nro. 88-40"/>
    <s v="Colaboración Vigilancia, meses de Junio y Julio/2017"/>
    <x v="0"/>
    <m/>
    <s v="00464"/>
    <s v="02 de agosto de 2017"/>
    <x v="9"/>
    <s v="10.000,00"/>
    <s v="Diez Mil Bolívares con 00/100"/>
  </r>
  <r>
    <n v="465"/>
    <m/>
    <s v="ü"/>
    <d v="2017-08-02T00:00:00"/>
    <n v="33000"/>
    <s v="Familia Nava Gordon"/>
    <s v="maru_19_66@hotmail.com"/>
    <s v="Calle Guacara Nro. 89-78"/>
    <s v="Cancelación saldo Vigilancia, mes de Julio/2017"/>
    <x v="0"/>
    <m/>
    <s v="00465"/>
    <s v="02 de agosto de 2017"/>
    <x v="9"/>
    <s v="33.000,00"/>
    <s v="Treinta y Tres Mil Bolívares con 00/100"/>
  </r>
  <r>
    <n v="466"/>
    <m/>
    <s v="ü"/>
    <d v="2017-08-03T00:00:00"/>
    <n v="35000"/>
    <s v="Familia Loponte Arteaga"/>
    <s v="nancyloponte@hotmail.com"/>
    <s v="Calle Güigüe Nro. 88-120"/>
    <s v="Cancelación Vigilancia, mes de Agosto/2017"/>
    <x v="0"/>
    <m/>
    <s v="00466"/>
    <s v="03 de agosto de 2017"/>
    <x v="9"/>
    <s v="35.000,00"/>
    <s v="Treinta y Cinco Mil Bolívares con 00/100"/>
  </r>
  <r>
    <n v="467"/>
    <m/>
    <s v="ü"/>
    <d v="2017-08-03T00:00:00"/>
    <n v="20000"/>
    <s v="Familia Hurtado"/>
    <s v="En Físico"/>
    <s v="Av. &quot;O&quot; Nro. 146-11"/>
    <s v="Anticipo Vigilancia, mes de Julio/2017"/>
    <x v="0"/>
    <m/>
    <s v="00467"/>
    <s v="03 de agosto de 2017"/>
    <x v="9"/>
    <s v="20.000,00"/>
    <s v="Veinte Mil Bolívares con 00/100"/>
  </r>
  <r>
    <n v="468"/>
    <m/>
    <s v="ü"/>
    <d v="2017-08-03T00:00:00"/>
    <n v="20000"/>
    <s v="Franco Gómez"/>
    <s v="eof64@hotmail.com"/>
    <s v="Calle Guacara Nro. 87-07"/>
    <s v="Colaboración Vigilancia, mes de Agosto/2017"/>
    <x v="0"/>
    <m/>
    <s v="00468"/>
    <s v="03 de agosto de 2017"/>
    <x v="9"/>
    <s v="20.000,00"/>
    <s v="Veinte Mil Bolívares con 00/100"/>
  </r>
  <r>
    <n v="469"/>
    <m/>
    <s v="ü"/>
    <d v="2017-08-03T00:00:00"/>
    <n v="18000"/>
    <s v="Familia Morales Sesar"/>
    <s v="moralesesar@gmail.com"/>
    <s v="Calle Güigüe Nro. 89-120"/>
    <s v="Colaboración Vigilancia, mes de Julio/2017"/>
    <x v="0"/>
    <m/>
    <s v="00469"/>
    <s v="03 de agosto de 2017"/>
    <x v="9"/>
    <s v="18.000,00"/>
    <s v="Dieciocho Mil Bolívares con 00/100"/>
  </r>
  <r>
    <n v="470"/>
    <m/>
    <s v="ü"/>
    <d v="2017-08-04T00:00:00"/>
    <n v="35000"/>
    <s v="Familia Martínez Boada"/>
    <s v="florcitakmz@gmail.com"/>
    <s v="Calle Güigüe Nro. 88-62"/>
    <s v="Cancelación Vigilancia, mes de Julio/2017 (saldo a favor: Bs. 1.613)"/>
    <x v="0"/>
    <m/>
    <s v="00470"/>
    <s v="04 de agosto de 2017"/>
    <x v="9"/>
    <s v="35.000,00"/>
    <s v="Treinta y Cinco Mil Bolívares con 00/100"/>
  </r>
  <r>
    <n v="471"/>
    <m/>
    <s v="ü"/>
    <d v="2017-08-04T00:00:00"/>
    <n v="15000"/>
    <s v="Chin Chun Ya (Goya)"/>
    <s v="uc2721@gmail.com"/>
    <s v="Calle Guacara Nro. 87-86"/>
    <s v="Colaboración Vigilancia, mes de Agosto/2017"/>
    <x v="0"/>
    <m/>
    <s v="00471"/>
    <s v="04 de agosto de 2017"/>
    <x v="9"/>
    <s v="15.000,00"/>
    <s v="Quince Mil Bolívares con 00/100"/>
  </r>
  <r>
    <n v="472"/>
    <m/>
    <s v="ü"/>
    <d v="2017-08-06T00:00:00"/>
    <n v="35000"/>
    <s v="Familia Kattar"/>
    <s v="jagiak123@yahoo.es"/>
    <s v="Calle Güigüe Nro. 89-95"/>
    <s v="Cancelación Vigilancia, mes de Julio/2017"/>
    <x v="0"/>
    <m/>
    <s v="00472"/>
    <s v="06 de agosto de 2017"/>
    <x v="9"/>
    <s v="35.000,00"/>
    <s v="Treinta y Cinco Mil Bolívares con 00/100"/>
  </r>
  <r>
    <n v="473"/>
    <m/>
    <s v="ü"/>
    <d v="2017-08-06T00:00:00"/>
    <n v="35000"/>
    <s v="Familia Del Negro Palermo"/>
    <s v="vdelnegro@gmail.com"/>
    <s v="Calle Guacara Nro. 88-45"/>
    <s v="Cancelación Vigilancia, mes de Agosto/2017 (saldo a favor: Bs. 95.000)"/>
    <x v="0"/>
    <m/>
    <s v="00473"/>
    <s v="06 de agosto de 2017"/>
    <x v="9"/>
    <s v="35.000,00"/>
    <s v="Treinta y Cinco Mil Bolívares con 00/100"/>
  </r>
  <r>
    <n v="474"/>
    <m/>
    <s v="ü"/>
    <d v="2017-08-06T00:00:00"/>
    <n v="35000"/>
    <s v="Ely Saúl Rivero Gómez, C.I 18.448.557"/>
    <s v="hhs.admon@gmail.com"/>
    <s v="Av. &quot;Ñ&quot; Nro. 145-25"/>
    <s v="Cancelación saldo Vigilancia, mes de Agosto/2017 (saldo a favor: Bs. 79.000)"/>
    <x v="0"/>
    <m/>
    <s v="00474"/>
    <s v="06 de agosto de 2017"/>
    <x v="9"/>
    <s v="35.000,00"/>
    <s v="Treinta y Cinco Mil Bolívares con 00/100"/>
  </r>
  <r>
    <n v="475"/>
    <m/>
    <s v="ü"/>
    <d v="2017-08-07T00:00:00"/>
    <n v="30000"/>
    <s v="Dra. Lilia Magallanes"/>
    <s v="liliamagallanes2010@gmail.com"/>
    <s v="Calle Güigüe Nro. 88-51"/>
    <s v="Colaboración Vigilancia, mes de Julio/2017"/>
    <x v="0"/>
    <m/>
    <s v="00475"/>
    <s v="07 de agosto de 2017"/>
    <x v="9"/>
    <s v="30.000,00"/>
    <s v="Treinta Mil Bolívares con 00/100"/>
  </r>
  <r>
    <n v="476"/>
    <m/>
    <s v="ü"/>
    <d v="2017-08-07T00:00:00"/>
    <n v="35000"/>
    <s v="Familia Castillo Mena"/>
    <s v="emmecas@hotmail.com"/>
    <s v="Calle Güigüe Nro. 88-101"/>
    <s v="Cancelación Vigilancia, mes de Julio/2017"/>
    <x v="0"/>
    <m/>
    <s v="00476"/>
    <s v="07 de agosto de 2017"/>
    <x v="9"/>
    <s v="35.000,00"/>
    <s v="Treinta y Cinco Mil Bolívares con 00/100"/>
  </r>
  <r>
    <n v="477"/>
    <m/>
    <s v="ü"/>
    <d v="2017-08-08T00:00:00"/>
    <n v="35000"/>
    <s v="Familia Colosso Delgado"/>
    <s v="mcolosso@gmail.com"/>
    <s v="Calle Güigüe Nro. 88-44"/>
    <s v="Cancelación Vigilancia, mes de Agosto/2017"/>
    <x v="0"/>
    <m/>
    <s v="00477"/>
    <s v="08 de agosto de 2017"/>
    <x v="9"/>
    <s v="35.000,00"/>
    <s v="Treinta y Cinco Mil Bolívares con 00/100"/>
  </r>
  <r>
    <n v="478"/>
    <m/>
    <s v="ü"/>
    <d v="2017-08-09T00:00:00"/>
    <n v="4000"/>
    <s v="Familia Flores Montagne"/>
    <s v="namaricakes@gmail.com"/>
    <s v="Av. &quot;M&quot; Nro. 146-20"/>
    <s v="Colaboración Vigilancia, mes de Agosto/2017"/>
    <x v="0"/>
    <m/>
    <s v="00478"/>
    <s v="09 de agosto de 2017"/>
    <x v="9"/>
    <s v="4.000,00"/>
    <s v="Cuatro Mil Bolívares con 00/100"/>
  </r>
  <r>
    <n v="479"/>
    <m/>
    <s v="ü"/>
    <d v="2017-08-09T00:00:00"/>
    <n v="31000"/>
    <s v="Familia Puerta Burguillos"/>
    <s v="namaricakes@gmail.com"/>
    <s v="Calle Guacara Nro. 87-100"/>
    <s v="Cancelación saldo Vigilancia, mes de Agosto/2017"/>
    <x v="0"/>
    <m/>
    <s v="00479"/>
    <s v="09 de agosto de 2017"/>
    <x v="9"/>
    <s v="31.000,00"/>
    <s v="Treinta y Un Mil Bolívares con 00/100"/>
  </r>
  <r>
    <n v="480"/>
    <m/>
    <s v="ü"/>
    <d v="2017-08-09T00:00:00"/>
    <n v="26000"/>
    <s v="Familia Hatem Medina"/>
    <s v="hhatem1@hotmail.com"/>
    <s v="Calle Guacara Nro. 88-51"/>
    <s v="Cancelación Vigilancia, mes de Junio/2017: transferencia y contra factura"/>
    <x v="0"/>
    <m/>
    <s v="00480"/>
    <s v="09 de agosto de 2017"/>
    <x v="9"/>
    <s v="26.000,00"/>
    <s v="Veintiseis Mil Bolívares con 00/100"/>
  </r>
  <r>
    <n v="481"/>
    <m/>
    <s v="ü"/>
    <d v="2017-08-09T00:00:00"/>
    <n v="35000"/>
    <s v="Familia Guerra Miret"/>
    <s v="antoniojguerrag@hotmail.com"/>
    <s v="Calle Güigüe Nro. 89-40"/>
    <s v="Cancelación Vigilancia, mes de Julio/2017"/>
    <x v="0"/>
    <m/>
    <s v="00481"/>
    <s v="09 de agosto de 2017"/>
    <x v="9"/>
    <s v="35.000,00"/>
    <s v="Treinta y Cinco Mil Bolívares con 00/100"/>
  </r>
  <r>
    <n v="482"/>
    <m/>
    <s v="ü"/>
    <d v="2017-08-10T00:00:00"/>
    <n v="35000"/>
    <s v="Familia Arcia Polanco"/>
    <s v="misipo29@gmail.com"/>
    <s v="Calle Guacara Nro. 89-20"/>
    <s v="Cancelación Vigilancia, mes de Agosto/2017"/>
    <x v="0"/>
    <m/>
    <s v="00482"/>
    <s v="10 de agosto de 2017"/>
    <x v="9"/>
    <s v="35.000,00"/>
    <s v="Treinta y Cinco Mil Bolívares con 00/100"/>
  </r>
  <r>
    <n v="483"/>
    <m/>
    <s v="ü"/>
    <d v="2017-08-10T00:00:00"/>
    <n v="35000"/>
    <s v="Beatriz Lara"/>
    <s v="valentina.gutierrez@hotmail.com"/>
    <s v="Calle Guacara Nro. 89-130"/>
    <s v="Cancelación Vigilancia, mes de Agosto/2017"/>
    <x v="0"/>
    <m/>
    <s v="00483"/>
    <s v="10 de agosto de 2017"/>
    <x v="9"/>
    <s v="35.000,00"/>
    <s v="Treinta y Cinco Mil Bolívares con 00/100"/>
  </r>
  <r>
    <n v="484"/>
    <m/>
    <s v="ü"/>
    <d v="2017-08-10T00:00:00"/>
    <n v="26000"/>
    <s v="Ana de González"/>
    <s v="mikelnowak25@gmail.com"/>
    <s v="Av. &quot;O&quot; Nro. 146-17"/>
    <s v="Anticipo Vigilancia, mes de Julio/2017"/>
    <x v="0"/>
    <m/>
    <s v="00484"/>
    <s v="10 de agosto de 2017"/>
    <x v="9"/>
    <s v="26.000,00"/>
    <s v="Veintiseis Mil Bolívares con 00/100"/>
  </r>
  <r>
    <n v="485"/>
    <m/>
    <s v="ü"/>
    <d v="2017-08-10T00:00:00"/>
    <n v="35000"/>
    <s v="Familia Fermín Rivas"/>
    <s v="angelferminb@gmail.com"/>
    <s v="Calle Güigüe Nro. 89-55"/>
    <s v="Cancelación Vigilancia, mes de Agosto/2017, transferencia y contra factura"/>
    <x v="0"/>
    <m/>
    <s v="00485"/>
    <s v="10 de agosto de 2017"/>
    <x v="9"/>
    <s v="35.000,00"/>
    <s v="Treinta y Cinco Mil Bolívares con 00/100"/>
  </r>
  <r>
    <n v="486"/>
    <m/>
    <s v="ü"/>
    <d v="2017-08-10T00:00:00"/>
    <n v="13000"/>
    <s v="Sra. Reina Meléndez"/>
    <s v="olgajipe@gmail.com"/>
    <s v="Av. &quot;M&quot; Nro. 145-10"/>
    <s v="Anticipo Vigilancia, mes de Julio/2017"/>
    <x v="0"/>
    <m/>
    <s v="00486"/>
    <s v="10 de agosto de 2017"/>
    <x v="9"/>
    <s v="13.000,00"/>
    <s v="Trece Mil Bolívares con 00/100"/>
  </r>
  <r>
    <n v="487"/>
    <m/>
    <s v="ü"/>
    <d v="2017-08-10T00:00:00"/>
    <n v="7000"/>
    <s v="Sra. Reina Meléndez"/>
    <s v="olgajipe@gmail.com"/>
    <s v="Av. &quot;M&quot; Nro. 145-10"/>
    <s v="Cuota especial, reja vereda Centro Comercial"/>
    <x v="4"/>
    <m/>
    <s v="00487"/>
    <s v="10 de agosto de 2017"/>
    <x v="9"/>
    <s v="7.000,00"/>
    <s v="Siete Mil Bolívares con 00/100"/>
  </r>
  <r>
    <n v="488"/>
    <m/>
    <s v="ü"/>
    <d v="2017-08-10T00:00:00"/>
    <n v="35000"/>
    <s v="Familia Montilla García"/>
    <s v="dairy252525@hotmail.com"/>
    <s v="Calle Güigüe Nro. 89-90"/>
    <s v="Cancelación Vigilancia, mes de Agosto/2017"/>
    <x v="0"/>
    <m/>
    <s v="00488"/>
    <s v="10 de agosto de 2017"/>
    <x v="9"/>
    <s v="35.000,00"/>
    <s v="Treinta y Cinco Mil Bolívares con 00/100"/>
  </r>
  <r>
    <n v="489"/>
    <m/>
    <s v="ü"/>
    <d v="2017-08-13T00:00:00"/>
    <n v="26000"/>
    <s v="Familia Piñero Padilla"/>
    <s v="achepaul2005@hotmail.com"/>
    <s v="Calle Güigüe Nro. 89-21"/>
    <s v="Cancelación Vigilancia, mes de Junio/2017"/>
    <x v="0"/>
    <m/>
    <s v="00489"/>
    <s v="13 de agosto de 2017"/>
    <x v="9"/>
    <s v="26.000,00"/>
    <s v="Veintiseis Mil Bolívares con 00/100"/>
  </r>
  <r>
    <n v="490"/>
    <m/>
    <s v="ü"/>
    <d v="2017-08-13T00:00:00"/>
    <n v="7000"/>
    <s v="Familia Piñero Padilla"/>
    <s v="achepaul2005@hotmail.com"/>
    <s v="Calle Güigüe Nro. 89-21"/>
    <s v="Cuota especial, reja vereda Centro Comercial"/>
    <x v="4"/>
    <m/>
    <s v="00490"/>
    <s v="13 de agosto de 2017"/>
    <x v="9"/>
    <s v="7.000,00"/>
    <s v="Siete Mil Bolívares con 00/100"/>
  </r>
  <r>
    <n v="491"/>
    <m/>
    <s v="ü"/>
    <d v="2017-08-14T00:00:00"/>
    <n v="35000"/>
    <s v="Wu Hung Fung"/>
    <s v="carolinahung24@gmail.com"/>
    <s v="Calle Guacara Nro. 90-81"/>
    <s v="Cancelación Vigilancia, mes de Agosto/2017"/>
    <x v="0"/>
    <m/>
    <s v="00491"/>
    <s v="14 de agosto de 2017"/>
    <x v="9"/>
    <s v="35.000,00"/>
    <s v="Treinta y Cinco Mil Bolívares con 00/100"/>
  </r>
  <r>
    <n v="492"/>
    <m/>
    <s v="ü"/>
    <d v="2017-08-14T00:00:00"/>
    <n v="9000"/>
    <s v="Ana de González"/>
    <s v="mikelnowak25@gmail.com"/>
    <s v="Av. &quot;O&quot; Nro. 146-17"/>
    <s v="Cancelación saldo Vigilancia, mes de Julio/2017"/>
    <x v="0"/>
    <m/>
    <s v="00492"/>
    <s v="14 de agosto de 2017"/>
    <x v="9"/>
    <s v="9.000,00"/>
    <s v="Nueve Mil Bolívares con 00/100"/>
  </r>
  <r>
    <n v="493"/>
    <m/>
    <s v="ü"/>
    <d v="2017-08-14T00:00:00"/>
    <n v="18000"/>
    <s v="Ana de González"/>
    <s v="mikelnowak25@gmail.com"/>
    <s v="Av. &quot;O&quot; Nro. 146-17"/>
    <s v="Cancelación diferencia pago controles"/>
    <x v="2"/>
    <m/>
    <s v="00493"/>
    <s v="14 de agosto de 2017"/>
    <x v="9"/>
    <s v="18.000,00"/>
    <s v="Dieciocho Mil Bolívares con 00/100"/>
  </r>
  <r>
    <n v="494"/>
    <m/>
    <s v="ü"/>
    <d v="2017-08-15T00:00:00"/>
    <n v="15000"/>
    <s v="Manuel Rodríguez"/>
    <s v="mrl58@hotmail.com"/>
    <s v="Calle Güigüe Nro. 89-29"/>
    <s v="Colaboración Vigilancia, mes de Agosto/2017"/>
    <x v="0"/>
    <m/>
    <s v="00494"/>
    <s v="15 de agosto de 2017"/>
    <x v="9"/>
    <s v="15.000,00"/>
    <s v="Quince Mil Bolívares con 00/100"/>
  </r>
  <r>
    <n v="495"/>
    <m/>
    <s v="ü"/>
    <d v="2017-08-15T00:00:00"/>
    <n v="20000"/>
    <s v="Familia Kabblan"/>
    <s v="norisjsb56@hotmail.com"/>
    <s v="Calle Güigüe Nro. 89-80"/>
    <s v="Colaboración Vigilancia, mes de Agosto/2017"/>
    <x v="0"/>
    <m/>
    <s v="00495"/>
    <s v="15 de agosto de 2017"/>
    <x v="9"/>
    <s v="20.000,00"/>
    <s v="Veinte Mil Bolívares con 00/100"/>
  </r>
  <r>
    <n v="496"/>
    <m/>
    <s v="ü"/>
    <d v="2017-08-15T00:00:00"/>
    <n v="35000"/>
    <s v="Familia Sayago Peñaranda"/>
    <s v="alexissayago@gmail.com"/>
    <s v="Calle Güigüe Nro. 89-04"/>
    <s v="Cancelación Vigilancia, mes de Agosto/2017"/>
    <x v="0"/>
    <m/>
    <s v="00496"/>
    <s v="15 de agosto de 2017"/>
    <x v="9"/>
    <s v="35.000,00"/>
    <s v="Treinta y Cinco Mil Bolívares con 00/100"/>
  </r>
  <r>
    <n v="497"/>
    <m/>
    <s v="ü"/>
    <d v="2017-06-25T00:00:00"/>
    <n v="26000"/>
    <s v="Familia Gascón Domínguez"/>
    <s v="vrgascon@gmail.com"/>
    <s v="Calle Güigüe Nro. 88-70"/>
    <s v="Cancelación Vigilancia, mes de Junio/2017"/>
    <x v="0"/>
    <m/>
    <s v="00497"/>
    <s v="25 de junio de 2017"/>
    <x v="7"/>
    <s v="26.000,00"/>
    <s v="Veintiseis Mil Bolívares con 00/100"/>
  </r>
  <r>
    <n v="498"/>
    <m/>
    <s v="ü"/>
    <d v="2017-08-16T00:00:00"/>
    <n v="9000"/>
    <s v="Familia Díaz González"/>
    <s v="luisrdt57@gmail.com"/>
    <s v="Calle Güigüe Nro. 88-116"/>
    <s v="Cancelación saldo Vigilancia, mes de Julio/2017"/>
    <x v="0"/>
    <m/>
    <s v="00498"/>
    <s v="16 de agosto de 2017"/>
    <x v="9"/>
    <s v="9.000,00"/>
    <s v="Nueve Mil Bolívares con 00/100"/>
  </r>
  <r>
    <n v="499"/>
    <m/>
    <s v="ü"/>
    <d v="2017-08-16T00:00:00"/>
    <n v="35000"/>
    <s v="Familia Díaz González"/>
    <s v="luisrdt57@gmail.com"/>
    <s v="Calle Güigüe Nro. 88-116"/>
    <s v="Cancelación Vigilancia, mes de Agosto/2017"/>
    <x v="0"/>
    <m/>
    <s v="00499"/>
    <s v="16 de agosto de 2017"/>
    <x v="9"/>
    <s v="35.000,00"/>
    <s v="Treinta y Cinco Mil Bolívares con 00/100"/>
  </r>
  <r>
    <n v="500"/>
    <m/>
    <s v="ü"/>
    <d v="2017-07-28T00:00:00"/>
    <n v="35000"/>
    <s v="Familia Barreto Pérez"/>
    <s v="bbetsa19@hotmail.com"/>
    <s v="Av. &quot;M&quot; Nro. 146-15"/>
    <s v="Cancelación Vigilancia, mes de Julio/2017"/>
    <x v="0"/>
    <m/>
    <s v="00500"/>
    <s v="28 de julio de 2017"/>
    <x v="8"/>
    <s v="35.000,00"/>
    <s v="Treinta y Cinco Mil Bolívares con 00/100"/>
  </r>
  <r>
    <n v="501"/>
    <m/>
    <s v="ü"/>
    <d v="2017-07-25T00:00:00"/>
    <n v="35000"/>
    <s v="Familia Gascón Domínguez"/>
    <s v="vrgascon@gmail.com"/>
    <s v="Calle Güigüe Nro. 88-70"/>
    <s v="Cancelación Vigilancia, mes de Julio/2017"/>
    <x v="0"/>
    <m/>
    <s v="00501"/>
    <s v="25 de julio de 2017"/>
    <x v="8"/>
    <s v="35.000,00"/>
    <s v="Treinta y Cinco Mil Bolívares con 00/100"/>
  </r>
  <r>
    <n v="502"/>
    <m/>
    <s v="ü"/>
    <d v="2017-08-17T00:00:00"/>
    <n v="40000"/>
    <s v="La Casita Encantada"/>
    <s v="En Físico"/>
    <s v="Av. &quot;M&quot; Nro. 146-30"/>
    <s v="Cancelación Vigilancia, mes de Agosto/2017"/>
    <x v="0"/>
    <m/>
    <s v="00502"/>
    <s v="17 de agosto de 2017"/>
    <x v="9"/>
    <s v="40.000,00"/>
    <s v="Cuarenta Mil Bolívares con 00/100"/>
  </r>
  <r>
    <n v="503"/>
    <m/>
    <s v="ü"/>
    <d v="2017-07-30T00:00:00"/>
    <n v="62000"/>
    <s v="Familia Il Grande Franceschi"/>
    <s v="arcifran75@hotmail.com"/>
    <s v="Av. &quot;I&quot; Nro. 146-40"/>
    <s v="Cancelación Vigilancia, meses de Junio y Julio/2017 y anticipo mes de Agosto/2017 (Bs. 1.000)"/>
    <x v="0"/>
    <m/>
    <s v="00503"/>
    <s v="30 de julio de 2017"/>
    <x v="8"/>
    <s v="62.000,00"/>
    <s v="Sesenta y Dos Mil Bolívares con 00/100"/>
  </r>
  <r>
    <n v="504"/>
    <m/>
    <s v="ü"/>
    <d v="2017-08-17T00:00:00"/>
    <n v="15000"/>
    <s v="Familia Hurtado"/>
    <s v="En Físico"/>
    <s v="Av. &quot;O&quot; Nro. 146-11"/>
    <s v="Cancelación saldo Vigilancia, mes de Julio/2017"/>
    <x v="0"/>
    <m/>
    <s v="00504"/>
    <s v="17 de agosto de 2017"/>
    <x v="9"/>
    <s v="15.000,00"/>
    <s v="Quince Mil Bolívares con 00/100"/>
  </r>
  <r>
    <n v="505"/>
    <m/>
    <s v="ü"/>
    <d v="2017-08-17T00:00:00"/>
    <n v="5000"/>
    <s v="Ma. de Jesus Alonso"/>
    <s v="marjoriealonsoh@hotmail.com"/>
    <s v="Calle Güigüe Nro. 88-30"/>
    <s v="Colaboración Vigilancia, mes de Agosto/2017"/>
    <x v="0"/>
    <m/>
    <s v="00505"/>
    <s v="17 de agosto de 2017"/>
    <x v="9"/>
    <s v="5.000,00"/>
    <s v="Cinco Mil Bolívares con 00/100"/>
  </r>
  <r>
    <n v="506"/>
    <m/>
    <s v="ü"/>
    <d v="2017-08-17T00:00:00"/>
    <n v="35000"/>
    <s v="Familia Lomeña Agudo"/>
    <s v="claudialomena@hotmail.com"/>
    <s v="Calle Guacara Nro. 89-30"/>
    <s v="Cancelación Vigilancia, mes de Agosto/2017"/>
    <x v="0"/>
    <m/>
    <s v="00506"/>
    <s v="17 de agosto de 2017"/>
    <x v="9"/>
    <s v="35.000,00"/>
    <s v="Treinta y Cinco Mil Bolívares con 00/100"/>
  </r>
  <r>
    <n v="507"/>
    <m/>
    <s v="ü"/>
    <d v="2017-07-18T00:00:00"/>
    <n v="20000"/>
    <s v="Victoria Francischiello"/>
    <s v="victoriafrancischiello@hotmail.com"/>
    <s v="Calle Guacara Nro. 88-25"/>
    <s v="Colaboración Vigilancia, mes de Agosto/2017"/>
    <x v="0"/>
    <m/>
    <s v="00507"/>
    <s v="18 de julio de 2017"/>
    <x v="8"/>
    <s v="20.000,00"/>
    <s v="Veinte Mil Bolívares con 00/100"/>
  </r>
  <r>
    <n v="508"/>
    <m/>
    <s v="ü"/>
    <d v="2017-08-18T00:00:00"/>
    <n v="20000"/>
    <s v="Familia Méndez Parra"/>
    <s v="briceidamp@hotmail.com"/>
    <s v="Calle Guacara Nro. 88-19"/>
    <s v="Colaboración Vigilancia, mes de Agosto/2017"/>
    <x v="0"/>
    <m/>
    <s v="00508"/>
    <s v="18 de agosto de 2017"/>
    <x v="9"/>
    <s v="20.000,00"/>
    <s v="Veinte Mil Bolívares con 00/100"/>
  </r>
  <r>
    <n v="509"/>
    <m/>
    <s v="ü"/>
    <d v="2017-08-18T00:00:00"/>
    <n v="12500"/>
    <s v="Familia Santos Carrillo"/>
    <s v="briceidamp@hotmail.com"/>
    <s v="Calle Guacara Nro. 90-93"/>
    <s v="Colaboración Vigilancia, meses de Julio y Agosto/2017"/>
    <x v="0"/>
    <m/>
    <s v="00509"/>
    <s v="18 de agosto de 2017"/>
    <x v="9"/>
    <s v="12.500,00"/>
    <s v="Doce Mil Quinientos Bolívares con 00/100"/>
  </r>
  <r>
    <n v="510"/>
    <m/>
    <s v="ü"/>
    <d v="2017-08-18T00:00:00"/>
    <n v="139000"/>
    <s v="Familia Jiménez Salvatierra"/>
    <s v="0414-582.8909"/>
    <s v="Calle Güigüe Nro. 89-45"/>
    <s v="Cancelación Vigilancia, meses de Abril a Agosto/2017"/>
    <x v="0"/>
    <m/>
    <s v="00510"/>
    <s v="18 de agosto de 2017"/>
    <x v="9"/>
    <s v="139.000,00"/>
    <s v="Ciento Treinta y Nueve Mil Bolívares con 00/100"/>
  </r>
  <r>
    <n v="511"/>
    <m/>
    <s v="ü"/>
    <d v="2017-08-19T00:00:00"/>
    <n v="70000"/>
    <s v="Anahiz Seijas"/>
    <s v="anahiz_2@hotmail.es"/>
    <s v="Calle Güigüe Nro. 89-106"/>
    <s v="Cancelación Vigilancia, meses de Julio y Agosto/2017"/>
    <x v="0"/>
    <m/>
    <s v="00511"/>
    <s v="19 de agosto de 2017"/>
    <x v="9"/>
    <s v="70.000,00"/>
    <s v="Setenta Mil Bolívares con 00/100"/>
  </r>
  <r>
    <n v="512"/>
    <m/>
    <s v="ü"/>
    <d v="2017-08-19T00:00:00"/>
    <n v="30000"/>
    <s v="Familia Cegarra Villamizar"/>
    <s v="jesus.villamizar.ra@gmail.com"/>
    <s v="Calle Guacara Nro. 88-35"/>
    <s v="Colaboración Vigilancia, mes de Agosto/2017"/>
    <x v="0"/>
    <m/>
    <s v="00512"/>
    <s v="19 de agosto de 2017"/>
    <x v="9"/>
    <s v="30.000,00"/>
    <s v="Treinta Mil Bolívares con 00/100"/>
  </r>
  <r>
    <n v="513"/>
    <m/>
    <s v="ü"/>
    <d v="2017-08-19T00:00:00"/>
    <n v="35000"/>
    <s v="Familia Delgado Hidalgo"/>
    <s v="ardh@hotmail.com"/>
    <s v="Calle Güigüe Nro. 88-10"/>
    <s v="Cancelación Vigilancia, mes de Julio/2017"/>
    <x v="0"/>
    <m/>
    <s v="00513"/>
    <s v="19 de agosto de 2017"/>
    <x v="9"/>
    <s v="35.000,00"/>
    <s v="Treinta y Cinco Mil Bolívares con 00/100"/>
  </r>
  <r>
    <n v="514"/>
    <m/>
    <s v="ü"/>
    <d v="2017-08-19T00:00:00"/>
    <n v="35000"/>
    <s v="Familia Milanés Carmona"/>
    <s v="yndira11m@gmail.com"/>
    <s v="Calle Güigüe Nro. 89-65"/>
    <s v="Cancelación Vigilancia, mes de Agosto/2017"/>
    <x v="0"/>
    <m/>
    <s v="00514"/>
    <s v="19 de agosto de 2017"/>
    <x v="9"/>
    <s v="35.000,00"/>
    <s v="Treinta y Cinco Mil Bolívares con 00/100"/>
  </r>
  <r>
    <n v="515"/>
    <m/>
    <s v="ü"/>
    <d v="2017-08-20T00:00:00"/>
    <n v="35000"/>
    <s v="Familia Ferrer Bahri"/>
    <s v="bahrimariela@hotmail.com"/>
    <s v="Calle Güigüe Nro. 89-83"/>
    <s v="Cancelación Vigilancia, mes de Agosto/2017"/>
    <x v="0"/>
    <m/>
    <s v="00515"/>
    <s v="20 de agosto de 2017"/>
    <x v="9"/>
    <s v="35.000,00"/>
    <s v="Treinta y Cinco Mil Bolívares con 00/100"/>
  </r>
  <r>
    <n v="516"/>
    <m/>
    <s v="ü"/>
    <d v="2017-08-16T00:00:00"/>
    <n v="61000"/>
    <s v="Familia Scabuzzo Gómez"/>
    <s v="sfscabuzzo@msn.com"/>
    <s v="Av. &quot;I&quot; Nro. 146-20"/>
    <s v="Cancelación Vigilancia, meses de Junio y Julio/2017"/>
    <x v="0"/>
    <m/>
    <s v="00516"/>
    <s v="16 de agosto de 2017"/>
    <x v="9"/>
    <s v="61.000,00"/>
    <s v="Sesenta y Un Mil Bolívares con 00/100"/>
  </r>
  <r>
    <n v="517"/>
    <m/>
    <s v="ü"/>
    <d v="2017-08-20T00:00:00"/>
    <n v="15000"/>
    <s v="Familia Rodríguez Aular"/>
    <s v="mvaular@hotmail.com"/>
    <s v="Calle Güigüe Nro. 88-58"/>
    <s v="Colaboración Vigilancia, mes de Julio/2017"/>
    <x v="0"/>
    <m/>
    <s v="00517"/>
    <s v="20 de agosto de 2017"/>
    <x v="9"/>
    <s v="15.000,00"/>
    <s v="Quince Mil Bolívares con 00/100"/>
  </r>
  <r>
    <n v="518"/>
    <m/>
    <s v="ü"/>
    <d v="2017-08-21T00:00:00"/>
    <n v="44000"/>
    <s v="Familia Narváez Caldera"/>
    <s v="jeannette_nc@yahoo.com"/>
    <s v="Calle Güigüe Nro. 87-A-11"/>
    <s v="Cancelación saldo Vigilancia, mes de Julio/2017 y Cancelación Vigilancia mes de Agosto/2017"/>
    <x v="0"/>
    <m/>
    <s v="00518"/>
    <s v="21 de agosto de 2017"/>
    <x v="9"/>
    <s v="44.000,00"/>
    <s v="Cuarenta y Cuatro Mil Bolívares con 00/100"/>
  </r>
  <r>
    <n v="519"/>
    <m/>
    <s v="ü"/>
    <d v="2017-08-23T00:00:00"/>
    <n v="35000"/>
    <s v="Familia Scabuzzo Gómez"/>
    <s v="sfscabuzzo@msn.com"/>
    <s v="Av. &quot;I&quot; Nro. 146-20"/>
    <s v="Cancelación Vigilancia, mes de Agosto/2017"/>
    <x v="0"/>
    <m/>
    <s v="00519"/>
    <s v="23 de agosto de 2017"/>
    <x v="9"/>
    <s v="35.000,00"/>
    <s v="Treinta y Cinco Mil Bolívares con 00/100"/>
  </r>
  <r>
    <n v="520"/>
    <m/>
    <s v="ü"/>
    <d v="2017-08-25T00:00:00"/>
    <n v="18000"/>
    <s v="Familia Rodríguez Aular"/>
    <s v="mvaular@hotmail.com"/>
    <s v="Calle Güigüe Nro. 88-58"/>
    <s v="Colaboración Vigilancia, mes de Agosto/2017"/>
    <x v="0"/>
    <m/>
    <s v="00520"/>
    <s v="25 de agosto de 2017"/>
    <x v="9"/>
    <s v="18.000,00"/>
    <s v="Dieciocho Mil Bolívares con 00/100"/>
  </r>
  <r>
    <n v="521"/>
    <m/>
    <s v="ü"/>
    <d v="2017-08-28T00:00:00"/>
    <n v="70000"/>
    <s v="Familia Castro Jiménez"/>
    <s v="0426-543.4303"/>
    <s v="Calle Guacara Nro. 90-51"/>
    <s v="Cancelación Vigilancia, meses de Julio y Agosto/2017"/>
    <x v="0"/>
    <m/>
    <s v="00521"/>
    <s v="28 de agosto de 2017"/>
    <x v="9"/>
    <s v="70.000,00"/>
    <s v="Setenta Mil Bolívares con 00/100"/>
  </r>
  <r>
    <n v="522"/>
    <m/>
    <s v="ü"/>
    <d v="2017-08-24T00:00:00"/>
    <n v="36000"/>
    <s v="Familia Fernández Parés"/>
    <s v="vultecca@gmail.com"/>
    <s v="Calle Guacara Nro. 88-75"/>
    <s v="Cancelación Vigilancia, mes de Julio/2017, y anticipo del mes de Agosto/2017"/>
    <x v="0"/>
    <m/>
    <s v="00522"/>
    <s v="24 de agosto de 2017"/>
    <x v="9"/>
    <s v="36.000,00"/>
    <s v="Treinta y Seis Mil Bolívares con 00/100"/>
  </r>
  <r>
    <n v="523"/>
    <m/>
    <s v="ü"/>
    <d v="2017-08-30T00:00:00"/>
    <n v="35000"/>
    <s v="Familia Durvelle Serrano"/>
    <s v="sdurvelle@hotmail.com"/>
    <s v="Calle Guacara Nro. 89-60"/>
    <s v="Cancelación Vigilancia, mes de Septiembre/2017"/>
    <x v="0"/>
    <m/>
    <s v="00523"/>
    <s v="30 de agosto de 2017"/>
    <x v="9"/>
    <s v="35.000,00"/>
    <s v="Treinta y Cinco Mil Bolívares con 00/100"/>
  </r>
  <r>
    <n v="524"/>
    <m/>
    <s v="ü"/>
    <d v="2017-08-31T00:00:00"/>
    <n v="70000"/>
    <s v="Familia Gascón Domínguez"/>
    <s v="vrgascon@gmail.com"/>
    <s v="Calle Güigüe Nro. 88-70"/>
    <s v="Cancelación Vigilancia, meses de Agosto y Septiembre/2017"/>
    <x v="0"/>
    <m/>
    <s v="00524"/>
    <s v="31 de agosto de 2017"/>
    <x v="9"/>
    <s v="70.000,00"/>
    <s v="Setenta Mil Bolívares con 00/100"/>
  </r>
  <r>
    <n v="525"/>
    <m/>
    <s v="ü"/>
    <d v="2017-08-30T00:00:00"/>
    <n v="10000"/>
    <s v="Familia Sirit Palencia"/>
    <s v="irasirit@gmail.com"/>
    <s v="Calle Güigüe Nro. 89-35"/>
    <s v="Colaboración Vigilancia, mes de Agosto/2017"/>
    <x v="0"/>
    <m/>
    <s v="00525"/>
    <s v="30 de agosto de 2017"/>
    <x v="9"/>
    <s v="10.000,00"/>
    <s v="Diez Mil Bolívares con 00/100"/>
  </r>
  <r>
    <n v="526"/>
    <m/>
    <s v="ü"/>
    <d v="2017-08-31T00:00:00"/>
    <n v="72000"/>
    <s v="Familia Matta Palomino"/>
    <s v="En Físico"/>
    <s v="Calle Güigüe Nro. 88-90"/>
    <s v="Cancelación Vigilancia, meses de Julio y Agosto/2017 y Anticipo Vigilancia Septiembre/2017"/>
    <x v="0"/>
    <m/>
    <s v="00526"/>
    <s v="31 de agosto de 2017"/>
    <x v="9"/>
    <s v="72.000,00"/>
    <s v="Setenta y Dos Mil Bolívares con 00/100"/>
  </r>
  <r>
    <n v="527"/>
    <m/>
    <s v="ü"/>
    <d v="2017-08-31T00:00:00"/>
    <n v="35000"/>
    <s v="Familia Ferrer Bahri"/>
    <s v="bahrimariela@hotmail.com"/>
    <s v="Calle Güigüe Nro. 89-83"/>
    <s v="Cancelación Vigilancia, mes de Septiembre/2017"/>
    <x v="0"/>
    <m/>
    <s v="00527"/>
    <s v="31 de agosto de 2017"/>
    <x v="9"/>
    <s v="35.000,00"/>
    <s v="Treinta y Cinco Mil Bolívares con 00/100"/>
  </r>
  <r>
    <n v="528"/>
    <m/>
    <s v="ü"/>
    <d v="2017-07-31T00:00:00"/>
    <n v="35000"/>
    <s v="Familia Navarro Assing"/>
    <s v="liliaassing@gmail.com"/>
    <s v="Calle Güigüe Nro. 88-54"/>
    <s v="Cancelación Vigilancia, mes de Agosto/2017"/>
    <x v="0"/>
    <m/>
    <s v="00528"/>
    <s v="31 de julio de 2017"/>
    <x v="8"/>
    <s v="35.000,00"/>
    <s v="Treinta y Cinco Mil Bolívares con 00/100"/>
  </r>
  <r>
    <n v="529"/>
    <m/>
    <s v="ü"/>
    <d v="2017-09-01T00:00:00"/>
    <n v="100000"/>
    <s v="Zoraida Khair"/>
    <s v="zorakhair@hotmail.com"/>
    <s v="Calle Güigüe Nro. 88-80"/>
    <s v="Colaboración Vigilancia, meses de Junio, Julio, Agosto y Septiembre/2017"/>
    <x v="0"/>
    <m/>
    <s v="00529"/>
    <s v="01 de septiembre de 2017"/>
    <x v="10"/>
    <s v="100.000,00"/>
    <s v="Cien Mil Bolívares con 00/100"/>
  </r>
  <r>
    <n v="530"/>
    <m/>
    <s v="ü"/>
    <d v="2017-09-01T00:00:00"/>
    <n v="35000"/>
    <s v="Familia Colosso Delgado"/>
    <s v="mcolosso@gmail.com"/>
    <s v="Calle Güigüe Nro. 88-44"/>
    <s v="Cancelación Vigilancia, mes de Septiembre/2017"/>
    <x v="0"/>
    <m/>
    <s v="00530"/>
    <s v="01 de septiembre de 2017"/>
    <x v="10"/>
    <s v="35.000,00"/>
    <s v="Treinta y Cinco Mil Bolívares con 00/100"/>
  </r>
  <r>
    <n v="531"/>
    <m/>
    <s v="ü"/>
    <d v="2017-09-01T00:00:00"/>
    <n v="35000"/>
    <s v="Familia Zavarce Pérez"/>
    <s v="En Físico"/>
    <s v="Calle Guacara Nro. 90-35"/>
    <s v="Cancelación Vigilancia, mes de Julio/2017"/>
    <x v="0"/>
    <m/>
    <s v="00531"/>
    <s v="01 de septiembre de 2017"/>
    <x v="10"/>
    <s v="35.000,00"/>
    <s v="Treinta y Cinco Mil Bolívares con 00/100"/>
  </r>
  <r>
    <n v="532"/>
    <m/>
    <s v="ü"/>
    <d v="2017-09-01T00:00:00"/>
    <n v="35000"/>
    <s v="Familia Zavarce Pérez"/>
    <s v="En Físico"/>
    <s v="Calle Guacara Nro. 90-35"/>
    <s v="Cancelación Vigilancia, mes de Agosto/2017"/>
    <x v="0"/>
    <m/>
    <s v="00532"/>
    <s v="01 de septiembre de 2017"/>
    <x v="10"/>
    <s v="35.000,00"/>
    <s v="Treinta y Cinco Mil Bolívares con 00/100"/>
  </r>
  <r>
    <n v="533"/>
    <m/>
    <s v="ü"/>
    <d v="2017-09-01T00:00:00"/>
    <n v="35000"/>
    <s v="Familia Barreto Pérez"/>
    <s v="bbetsa19@hotmail.com"/>
    <s v="Av. &quot;M&quot; Nro. 146-15"/>
    <s v="Cancelación Vigilancia, mes de Agosto/2017"/>
    <x v="0"/>
    <m/>
    <s v="00533"/>
    <s v="01 de septiembre de 2017"/>
    <x v="10"/>
    <s v="35.000,00"/>
    <s v="Treinta y Cinco Mil Bolívares con 00/100"/>
  </r>
  <r>
    <n v="534"/>
    <m/>
    <s v="ü"/>
    <d v="2017-09-01T00:00:00"/>
    <n v="35000"/>
    <s v="Ely Saúl Rivero Gómez, C.I 18.448.557"/>
    <s v="hhs.admon@gmail.com"/>
    <s v="Av. &quot;Ñ&quot; Nro. 145-25"/>
    <s v="Cancelación saldo Vigilancia, mes de Septiembre/2017 (saldo a favor: Bs. 44.000)"/>
    <x v="0"/>
    <m/>
    <s v="00534"/>
    <s v="01 de septiembre de 2017"/>
    <x v="10"/>
    <s v="35.000,00"/>
    <s v="Treinta y Cinco Mil Bolívares con 00/100"/>
  </r>
  <r>
    <n v="535"/>
    <m/>
    <s v="ü"/>
    <d v="2017-09-01T00:00:00"/>
    <n v="35000"/>
    <s v="Familia Del Negro Palermo"/>
    <s v="vdelnegro@gmail.com"/>
    <s v="Calle Guacara Nro. 88-45"/>
    <s v="Cancelación Vigilancia, mes de Septiembre/2017 (saldo a favor: Bs. 60.000)"/>
    <x v="0"/>
    <m/>
    <s v="00535"/>
    <s v="01 de septiembre de 2017"/>
    <x v="10"/>
    <s v="35.000,00"/>
    <s v="Treinta y Cinco Mil Bolívares con 00/100"/>
  </r>
  <r>
    <n v="536"/>
    <m/>
    <s v="ü"/>
    <d v="2017-09-01T00:00:00"/>
    <n v="20000"/>
    <s v="Héctor Hernández"/>
    <s v="eof64@hotmail.com"/>
    <s v="Calle Guacara Nro. 89-94"/>
    <s v="Colaboración Vigilancia, mes de Septiembre/2017"/>
    <x v="0"/>
    <m/>
    <s v="00536"/>
    <s v="01 de septiembre de 2017"/>
    <x v="10"/>
    <s v="20.000,00"/>
    <s v="Veinte Mil Bolívares con 00/100"/>
  </r>
  <r>
    <n v="537"/>
    <m/>
    <s v="ü"/>
    <d v="2017-09-01T00:00:00"/>
    <n v="35000"/>
    <s v="Familia Manrique Riera"/>
    <s v="patriciamanrique@gmail.com"/>
    <s v="Calle Guacara Nro. 89-40"/>
    <s v="Cancelación Vigilancia, mes de Julio/2017"/>
    <x v="0"/>
    <m/>
    <s v="00537"/>
    <s v="01 de septiembre de 2017"/>
    <x v="10"/>
    <s v="35.000,00"/>
    <s v="Treinta y Cinco Mil Bolívares con 00/100"/>
  </r>
  <r>
    <n v="538"/>
    <m/>
    <s v="ü"/>
    <d v="2017-09-03T00:00:00"/>
    <n v="70000"/>
    <s v="Familia González Arévalo"/>
    <s v="feryenis@hotmail.com"/>
    <s v="Calle Guacara Nro. 89-86"/>
    <s v="Cancelación Vigilancia, meses de Septiembre y Octubre/2017"/>
    <x v="0"/>
    <m/>
    <s v="00538"/>
    <s v="03 de septiembre de 2017"/>
    <x v="10"/>
    <s v="70.000,00"/>
    <s v="Setenta Mil Bolívares con 00/100"/>
  </r>
  <r>
    <n v="539"/>
    <m/>
    <s v="ü"/>
    <d v="2017-09-04T00:00:00"/>
    <n v="70000"/>
    <s v="Familia Ochoa Mendoza"/>
    <s v="marisoljudithm@hotmail.com"/>
    <s v="Calle Güigüe Nro. 89-105"/>
    <s v="Cancelación Vigilancia, meses de Agosto y Septiembre/2017"/>
    <x v="0"/>
    <m/>
    <s v="00539"/>
    <s v="04 de septiembre de 2017"/>
    <x v="10"/>
    <s v="70.000,00"/>
    <s v="Setenta Mil Bolívares con 00/100"/>
  </r>
  <r>
    <n v="540"/>
    <m/>
    <s v="ü"/>
    <d v="2017-09-04T00:00:00"/>
    <n v="35000"/>
    <s v="Familia Castillo Mena"/>
    <s v="emmecas@hotmail.com"/>
    <s v="Calle Güigüe Nro. 88-101"/>
    <s v="Cancelación Vigilancia, mes de Agosto/2017"/>
    <x v="0"/>
    <m/>
    <s v="00540"/>
    <s v="04 de septiembre de 2017"/>
    <x v="10"/>
    <s v="35.000,00"/>
    <s v="Treinta y Cinco Mil Bolívares con 00/100"/>
  </r>
  <r>
    <n v="541"/>
    <m/>
    <s v="ü"/>
    <d v="2017-09-05T00:00:00"/>
    <n v="35000"/>
    <s v="Familia Guerra Miret"/>
    <s v="antoniojguerrag@hotmail.com"/>
    <s v="Calle Güigüe Nro. 89-40"/>
    <s v="Cancelación Vigilancia, mes de Agosto/2017"/>
    <x v="0"/>
    <m/>
    <s v="00541"/>
    <s v="05 de septiembre de 2017"/>
    <x v="10"/>
    <s v="35.000,00"/>
    <s v="Treinta y Cinco Mil Bolívares con 00/100"/>
  </r>
  <r>
    <n v="542"/>
    <m/>
    <s v="ü"/>
    <d v="2017-09-05T00:00:00"/>
    <n v="35000"/>
    <s v="Familia Arcia Polanco"/>
    <s v="misipo29@gmail.com"/>
    <s v="Calle Guacara Nro. 89-20"/>
    <s v="Cancelación Vigilancia, mes de Septiembre/2017"/>
    <x v="0"/>
    <m/>
    <s v="00542"/>
    <s v="05 de septiembre de 2017"/>
    <x v="10"/>
    <s v="35.000,00"/>
    <s v="Treinta y Cinco Mil Bolívares con 00/100"/>
  </r>
  <r>
    <n v="543"/>
    <m/>
    <s v="ü"/>
    <d v="2017-09-05T00:00:00"/>
    <n v="105000"/>
    <s v="Familia López Hermoso"/>
    <s v="lopez.humberto14@yahoo.com.ve"/>
    <s v="Calle Güigüe Nro. 89-79"/>
    <s v="Cancelación Vigilancia, meses de Julio, Agosto y Septiembre/2017"/>
    <x v="0"/>
    <m/>
    <s v="00543"/>
    <s v="05 de septiembre de 2017"/>
    <x v="10"/>
    <s v="105.000,00"/>
    <s v="Ciento Cinco Mil Bolívares con 00/100"/>
  </r>
  <r>
    <n v="544"/>
    <m/>
    <s v="ü"/>
    <d v="2017-09-06T00:00:00"/>
    <n v="35000"/>
    <s v="Wu Hung Fung"/>
    <s v="carolinahung24@gmail.com"/>
    <s v="Calle Guacara Nro. 90-81"/>
    <s v="Cancelación Vigilancia, mes de Septiembre/2017"/>
    <x v="0"/>
    <m/>
    <s v="00544"/>
    <s v="06 de septiembre de 2017"/>
    <x v="10"/>
    <s v="35.000,00"/>
    <s v="Treinta y Cinco Mil Bolívares con 00/100"/>
  </r>
  <r>
    <n v="545"/>
    <m/>
    <s v="ü"/>
    <d v="2017-09-06T00:00:00"/>
    <n v="54000"/>
    <s v="Colegio El Trigal"/>
    <s v="En Físico"/>
    <s v="Calle Güigüe Nros. 88-71 y 88-81"/>
    <s v="Cancelación Vigilancia, mes de Septiembre/2017"/>
    <x v="0"/>
    <m/>
    <s v="00545"/>
    <s v="06 de septiembre de 2017"/>
    <x v="10"/>
    <s v="54.000,00"/>
    <s v="Cincuenta y Cuatro Mil Bolívares con 00/100"/>
  </r>
  <r>
    <n v="546"/>
    <m/>
    <s v="ü"/>
    <d v="2017-09-06T00:00:00"/>
    <n v="15000"/>
    <s v="Chin Chun Ya (Goya)"/>
    <s v="uc2721@gmail.com"/>
    <s v="Calle Guacara Nro. 87-86"/>
    <s v="Colaboración Vigilancia, mes de Septiembre/2017"/>
    <x v="0"/>
    <m/>
    <s v="00546"/>
    <s v="06 de septiembre de 2017"/>
    <x v="10"/>
    <s v="15.000,00"/>
    <s v="Quince Mil Bolívares con 00/100"/>
  </r>
  <r>
    <n v="547"/>
    <m/>
    <s v="ü"/>
    <d v="2017-08-23T00:00:00"/>
    <n v="35000"/>
    <s v="Familia Acosta"/>
    <s v="pablo962@hotmail.com"/>
    <s v="Calle Güigüe Nro. 89-10"/>
    <s v="Cancelación Vigilancia, mes de Agosto/2017"/>
    <x v="0"/>
    <m/>
    <s v="00547"/>
    <s v="23 de agosto de 2017"/>
    <x v="9"/>
    <s v="35.000,00"/>
    <s v="Treinta y Cinco Mil Bolívares con 00/100"/>
  </r>
  <r>
    <n v="548"/>
    <m/>
    <s v="ü"/>
    <d v="2017-08-24T00:00:00"/>
    <n v="35000"/>
    <s v="Amarilis Guerra"/>
    <s v="amarilisguerra1@yahoo.com"/>
    <s v="Calle Güigüe Nro. 89-96"/>
    <s v="Cancelación Vigilancia, mes de Agosto/2017"/>
    <x v="0"/>
    <m/>
    <s v="00548"/>
    <s v="24 de agosto de 2017"/>
    <x v="9"/>
    <s v="35.000,00"/>
    <s v="Treinta y Cinco Mil Bolívares con 00/100"/>
  </r>
  <r>
    <n v="549"/>
    <m/>
    <s v="ü"/>
    <d v="2017-09-07T00:00:00"/>
    <n v="35000"/>
    <s v="Familia Astor Zamora"/>
    <s v="imzastor@gmail.com"/>
    <s v="Calle Güigüe Nro. 88-111"/>
    <s v="Cancelación Vigilancia, mes de Julio/2017"/>
    <x v="0"/>
    <m/>
    <s v="00549"/>
    <s v="07 de septiembre de 2017"/>
    <x v="10"/>
    <s v="35.000,00"/>
    <s v="Treinta y Cinco Mil Bolívares con 00/100"/>
  </r>
  <r>
    <n v="550"/>
    <m/>
    <s v="ü"/>
    <d v="2017-09-10T00:00:00"/>
    <n v="15000"/>
    <s v="Familia Morales Sesar"/>
    <s v="moralesesar@gmail.com"/>
    <s v="Calle Güigüe Nro. 89-120"/>
    <s v="Colaboración Vigilancia, mes de Agosto/2017"/>
    <x v="0"/>
    <m/>
    <s v="00550"/>
    <s v="10 de septiembre de 2017"/>
    <x v="10"/>
    <s v="15.000,00"/>
    <s v="Quince Mil Bolívares con 00/100"/>
  </r>
  <r>
    <n v="551"/>
    <m/>
    <s v="ü"/>
    <d v="2017-09-11T00:00:00"/>
    <n v="60000"/>
    <s v="Familia Hatem Medina"/>
    <s v="hhatem1@hotmail.com"/>
    <s v="Calle Guacara Nro. 88-51"/>
    <s v="Colaboración Vigilancia, meses de Julio y Agosto/2017"/>
    <x v="0"/>
    <m/>
    <s v="00551"/>
    <s v="11 de septiembre de 2017"/>
    <x v="10"/>
    <s v="60.000,00"/>
    <s v="Sesenta Mil Bolívares con 00/100"/>
  </r>
  <r>
    <n v="552"/>
    <m/>
    <s v="ü"/>
    <d v="2017-09-12T00:00:00"/>
    <n v="35000"/>
    <s v="Familia Hatem Medina"/>
    <s v="hhatem1@hotmail.com"/>
    <s v="Calle Guacara Nro. 88-51"/>
    <s v="Cancelación Vigilancia, mes de Septiembre/2017"/>
    <x v="0"/>
    <m/>
    <s v="00552"/>
    <s v="12 de septiembre de 2017"/>
    <x v="10"/>
    <s v="35.000,00"/>
    <s v="Treinta y Cinco Mil Bolívares con 00/100"/>
  </r>
  <r>
    <n v="553"/>
    <m/>
    <s v="ü"/>
    <d v="2017-09-13T00:00:00"/>
    <n v="9000"/>
    <s v="Familia Ochoa Mendoza"/>
    <s v="marisoljudithm@hotmail.com"/>
    <s v="Calle Güigüe Nro. 89-105"/>
    <s v="Cancelación saldo Vigilancia, mes de Julio/2017"/>
    <x v="0"/>
    <m/>
    <s v="00553"/>
    <s v="13 de septiembre de 2017"/>
    <x v="10"/>
    <s v="9.000,00"/>
    <s v="Nueve Mil Bolívares con 00/100"/>
  </r>
  <r>
    <n v="554"/>
    <m/>
    <s v="ü"/>
    <d v="2017-09-13T00:00:00"/>
    <n v="35000"/>
    <s v="Familia Puerta Burguillos"/>
    <s v="namaricakes@gmail.com"/>
    <s v="Calle Guacara Nro. 87-100"/>
    <s v="Cancelación Vigilancia, mes de Septiembre/2017"/>
    <x v="0"/>
    <m/>
    <s v="00554"/>
    <s v="13 de septiembre de 2017"/>
    <x v="10"/>
    <s v="35.000,00"/>
    <s v="Treinta y Cinco Mil Bolívares con 00/100"/>
  </r>
  <r>
    <n v="555"/>
    <m/>
    <s v="ü"/>
    <d v="2017-09-13T00:00:00"/>
    <n v="3000"/>
    <s v="Familia Flores Montagne"/>
    <s v="namaricakes@gmail.com"/>
    <s v="Av. &quot;M&quot; Nro. 146-20"/>
    <s v="Colaboración Vigilancia, mes de Septiembre/2017"/>
    <x v="0"/>
    <m/>
    <s v="00555"/>
    <s v="13 de septiembre de 2017"/>
    <x v="10"/>
    <s v="3.000,00"/>
    <s v="Tres Mil Bolívares con 00/100"/>
  </r>
  <r>
    <n v="556"/>
    <m/>
    <s v="ü"/>
    <d v="2017-09-13T00:00:00"/>
    <n v="105000"/>
    <s v="Familia Navarrete Medina"/>
    <s v="juanin1919@yahoo.com"/>
    <s v="Calle Güigüe Nro. 89-22"/>
    <s v="Cancelación Vigilancia, meses de Julio, Agosto y Septiembre/2017"/>
    <x v="0"/>
    <m/>
    <s v="00556"/>
    <s v="13 de septiembre de 2017"/>
    <x v="10"/>
    <s v="105.000,00"/>
    <s v="Ciento Cinco Mil Bolívares con 00/100"/>
  </r>
  <r>
    <n v="557"/>
    <m/>
    <s v="ü"/>
    <d v="2017-09-14T00:00:00"/>
    <n v="14900"/>
    <s v="Familia Santos Carrillo"/>
    <s v="briceidamp@hotmail.com"/>
    <s v="Calle Guacara Nro. 90-93"/>
    <s v="Colaboración Vigilancia, mes de Septiembre/2017"/>
    <x v="0"/>
    <m/>
    <s v="00557"/>
    <s v="14 de septiembre de 2017"/>
    <x v="10"/>
    <s v="14.900,00"/>
    <s v="Catorce Mil Novecientos Bolívares con 00/100"/>
  </r>
  <r>
    <n v="558"/>
    <m/>
    <s v="ü"/>
    <d v="2017-09-14T00:00:00"/>
    <n v="20000"/>
    <s v="Familia Méndez Parra"/>
    <s v="briceidamp@hotmail.com"/>
    <s v="Calle Guacara Nro. 88-19"/>
    <s v="Colaboración Vigilancia, mes de Septiembre/2017"/>
    <x v="0"/>
    <m/>
    <s v="00558"/>
    <s v="14 de septiembre de 2017"/>
    <x v="10"/>
    <s v="20.000,00"/>
    <s v="Veinte Mil Bolívares con 00/100"/>
  </r>
  <r>
    <n v="559"/>
    <m/>
    <s v="ü"/>
    <d v="2017-09-15T00:00:00"/>
    <n v="35000"/>
    <s v="Beatriz Lara"/>
    <s v="valentina.gutierrez@hotmail.com"/>
    <s v="Calle Guacara Nro. 89-130"/>
    <s v="Cancelación Vigilancia, mes de Septiembre/2017"/>
    <x v="0"/>
    <m/>
    <s v="00559"/>
    <s v="15 de septiembre de 2017"/>
    <x v="10"/>
    <s v="35.000,00"/>
    <s v="Treinta y Cinco Mil Bolívares con 00/100"/>
  </r>
  <r>
    <n v="560"/>
    <m/>
    <s v="ü"/>
    <d v="2017-09-15T00:00:00"/>
    <n v="35000"/>
    <s v="Familia Díaz González"/>
    <s v="luisrdt57@gmail.com"/>
    <s v="Calle Güigüe Nro. 88-116"/>
    <s v="Cancelación Vigilancia, mes de Septiembre/2017"/>
    <x v="0"/>
    <m/>
    <s v="00560"/>
    <s v="15 de septiembre de 2017"/>
    <x v="10"/>
    <s v="35.000,00"/>
    <s v="Treinta y Cinco Mil Bolívares con 00/100"/>
  </r>
  <r>
    <n v="561"/>
    <m/>
    <s v="ü"/>
    <d v="2017-09-15T00:00:00"/>
    <n v="17000"/>
    <s v="Manuel Rodríguez"/>
    <s v="mrl58@hotmail.com"/>
    <s v="Calle Güigüe Nro. 89-29"/>
    <s v="Colaboración Vigilancia, mes de Septiembre/2017"/>
    <x v="0"/>
    <m/>
    <s v="00561"/>
    <s v="15 de septiembre de 2017"/>
    <x v="10"/>
    <s v="17.000,00"/>
    <s v="Diecisiete Mil Bolívares con 00/100"/>
  </r>
  <r>
    <n v="562"/>
    <m/>
    <s v="ü"/>
    <d v="2017-09-15T00:00:00"/>
    <n v="35000"/>
    <s v="Familia Sayago Peñaranda"/>
    <s v="alexissayago@gmail.com"/>
    <s v="Calle Güigüe Nro. 89-04"/>
    <s v="Cancelación Vigilancia, mes de Septiembre/2017"/>
    <x v="0"/>
    <m/>
    <s v="00562"/>
    <s v="15 de septiembre de 2017"/>
    <x v="10"/>
    <s v="35.000,00"/>
    <s v="Treinta y Cinco Mil Bolívares con 00/100"/>
  </r>
  <r>
    <n v="563"/>
    <m/>
    <s v="ü"/>
    <d v="2017-09-16T00:00:00"/>
    <n v="20000"/>
    <s v="Familia Kabblan"/>
    <s v="norisjsb56@hotmail.com"/>
    <s v="Calle Güigüe Nro. 89-80"/>
    <s v="Colaboración Vigilancia, mes de Septiembre/2017"/>
    <x v="0"/>
    <m/>
    <s v="00563"/>
    <s v="16 de septiembre de 2017"/>
    <x v="10"/>
    <s v="20.000,00"/>
    <s v="Veinte Mil Bolívares con 00/100"/>
  </r>
  <r>
    <n v="564"/>
    <m/>
    <s v="ü"/>
    <d v="2017-09-18T00:00:00"/>
    <n v="35000"/>
    <s v="Familia Nava Gordon"/>
    <s v="maru_19_66@hotmail.com"/>
    <s v="Calle Guacara Nro. 89-78"/>
    <s v="Cancelación Vigilancia, mes de Agosto/2017"/>
    <x v="0"/>
    <m/>
    <s v="00564"/>
    <s v="18 de septiembre de 2017"/>
    <x v="10"/>
    <s v="35.000,00"/>
    <s v="Treinta y Cinco Mil Bolívares con 00/100"/>
  </r>
  <r>
    <n v="565"/>
    <m/>
    <s v="ü"/>
    <d v="2017-09-18T00:00:00"/>
    <n v="35000"/>
    <s v="Familia Lomeña Agudo"/>
    <s v="claudialomena@hotmail.com"/>
    <s v="Calle Guacara Nro. 89-30"/>
    <s v="Cancelación Vigilancia, mes de Septiembre/2017"/>
    <x v="0"/>
    <m/>
    <s v="00565"/>
    <s v="18 de septiembre de 2017"/>
    <x v="10"/>
    <s v="35.000,00"/>
    <s v="Treinta y Cinco Mil Bolívares con 00/100"/>
  </r>
  <r>
    <n v="566"/>
    <m/>
    <s v="ü"/>
    <d v="2017-09-18T00:00:00"/>
    <n v="20000"/>
    <s v="Familia Zavarce Barón"/>
    <s v="0414-241.8055"/>
    <s v="Calle Guacara Nro. 88-91"/>
    <s v="Colaboración Vigilancia, meses de Julio y Agosto/2017"/>
    <x v="0"/>
    <m/>
    <s v="00566"/>
    <s v="18 de septiembre de 2017"/>
    <x v="10"/>
    <s v="20.000,00"/>
    <s v="Veinte Mil Bolívares con 00/100"/>
  </r>
  <r>
    <n v="567"/>
    <m/>
    <s v="ü"/>
    <d v="2017-09-18T00:00:00"/>
    <n v="35000"/>
    <s v="Familia Fermín Rivas"/>
    <s v="angelferminb@gmail.com"/>
    <s v="Calle Güigüe Nro. 89-55"/>
    <s v="Cancelación Vigilancia, mes de Septiembre/2017, transferencia y contra factura"/>
    <x v="0"/>
    <m/>
    <s v="00567"/>
    <s v="18 de septiembre de 2017"/>
    <x v="10"/>
    <s v="35.000,00"/>
    <s v="Treinta y Cinco Mil Bolívares con 00/100"/>
  </r>
  <r>
    <n v="568"/>
    <m/>
    <s v="ü"/>
    <d v="2017-09-19T00:00:00"/>
    <n v="35000"/>
    <s v="Familia Loponte Arteaga"/>
    <s v="nancyloponte@hotmail.com"/>
    <s v="Calle Güigüe Nro. 88-120"/>
    <s v="Cancelación Vigilancia, mes de Septiembre/2017"/>
    <x v="0"/>
    <m/>
    <s v="00568"/>
    <s v="19 de septiembre de 2017"/>
    <x v="10"/>
    <s v="35.000,00"/>
    <s v="Treinta y Cinco Mil Bolívares con 00/100"/>
  </r>
  <r>
    <n v="569"/>
    <m/>
    <s v="ü"/>
    <d v="2017-09-19T00:00:00"/>
    <n v="35000"/>
    <s v="Familia Castillo Mena"/>
    <s v="emmecas@hotmail.com"/>
    <s v="Calle Güigüe Nro. 88-101"/>
    <s v="Cancelación Vigilancia, mes de Septiembre/2017"/>
    <x v="0"/>
    <m/>
    <s v="00569"/>
    <s v="19 de septiembre de 2017"/>
    <x v="10"/>
    <s v="35.000,00"/>
    <s v="Treinta y Cinco Mil Bolívares con 00/100"/>
  </r>
  <r>
    <n v="570"/>
    <m/>
    <s v="ü"/>
    <d v="2017-09-19T00:00:00"/>
    <n v="70000"/>
    <s v="Familia Piñero Padilla"/>
    <s v="achepaul2005@hotmail.com"/>
    <s v="Calle Güigüe Nro. 89-21"/>
    <s v="Cancelación Vigilancia, meses de Julio y Agosto/2017"/>
    <x v="0"/>
    <m/>
    <s v="00570"/>
    <s v="19 de septiembre de 2017"/>
    <x v="10"/>
    <s v="70.000,00"/>
    <s v="Setenta Mil Bolívares con 00/100"/>
  </r>
  <r>
    <n v="571"/>
    <m/>
    <s v="ü"/>
    <d v="2017-09-20T00:00:00"/>
    <n v="35000"/>
    <s v="Amarilis Guerra"/>
    <s v="amarilisguerra1@yahoo.com"/>
    <s v="Calle Güigüe Nro. 89-96"/>
    <s v="Cancelación Vigilancia, mes de Septiembre/2017"/>
    <x v="0"/>
    <m/>
    <s v="00571"/>
    <s v="20 de septiembre de 2017"/>
    <x v="10"/>
    <s v="35.000,00"/>
    <s v="Treinta y Cinco Mil Bolívares con 00/100"/>
  </r>
  <r>
    <n v="572"/>
    <m/>
    <s v="ü"/>
    <d v="2017-09-20T00:00:00"/>
    <n v="35000"/>
    <s v="Familia Montilla García"/>
    <s v="dairy252525@hotmail.com"/>
    <s v="Calle Güigüe Nro. 89-90"/>
    <s v="Cancelación Vigilancia, mes de Septiembre/2017"/>
    <x v="0"/>
    <m/>
    <s v="00572"/>
    <s v="20 de septiembre de 2017"/>
    <x v="10"/>
    <s v="35.000,00"/>
    <s v="Treinta y Cinco Mil Bolívares con 00/100"/>
  </r>
  <r>
    <n v="573"/>
    <m/>
    <s v="ü"/>
    <d v="2017-09-20T00:00:00"/>
    <n v="35000"/>
    <s v="Familia Jiménez Navarro"/>
    <s v="joyasonline2012@gmail.com"/>
    <s v="Calle Güigüe Nro. 88-50"/>
    <s v="Cancelación Vigilancia, mes de Agosto/2017"/>
    <x v="0"/>
    <m/>
    <s v="00573"/>
    <s v="20 de septiembre de 2017"/>
    <x v="10"/>
    <s v="35.000,00"/>
    <s v="Treinta y Cinco Mil Bolívares con 00/100"/>
  </r>
  <r>
    <n v="574"/>
    <m/>
    <s v="ü"/>
    <d v="2017-09-21T00:00:00"/>
    <n v="35000"/>
    <s v="Familia Del Negro Palermo"/>
    <s v="vdelnegro@gmail.com"/>
    <s v="Calle Guacara Nro. 88-45"/>
    <s v="Anticipo Vigilancia (saldo a favor: Bs. 105.000)"/>
    <x v="1"/>
    <m/>
    <s v="00574"/>
    <s v="21 de septiembre de 2017"/>
    <x v="10"/>
    <s v="35.000,00"/>
    <s v="Treinta y Cinco Mil Bolívares con 00/100"/>
  </r>
  <r>
    <n v="575"/>
    <m/>
    <s v="ü"/>
    <d v="2017-09-21T00:00:00"/>
    <n v="10000"/>
    <s v="Familia Rivero"/>
    <s v="En Físico"/>
    <s v="Calle Güigüe Nro. 88-40"/>
    <s v="Colaboración Vigilancia, mes de Agosto/2017"/>
    <x v="0"/>
    <m/>
    <s v="00575"/>
    <s v="21 de septiembre de 2017"/>
    <x v="10"/>
    <s v="10.000,00"/>
    <s v="Diez Mil Bolívares con 00/100"/>
  </r>
  <r>
    <n v="576"/>
    <m/>
    <s v="ü"/>
    <d v="2017-09-21T00:00:00"/>
    <n v="35000"/>
    <s v="Familia Il Grande Franceschi"/>
    <s v="arcifran75@hotmail.com"/>
    <s v="Av. &quot;I&quot; Nro. 146-40"/>
    <s v="Cancelación saldo Vigilancia, mes de Agosto/2017 y anticipo mes de Septiembre/2017 (Bs. 1.000)"/>
    <x v="0"/>
    <m/>
    <s v="00576"/>
    <s v="21 de septiembre de 2017"/>
    <x v="10"/>
    <s v="35.000,00"/>
    <s v="Treinta y Cinco Mil Bolívares con 00/100"/>
  </r>
  <r>
    <n v="577"/>
    <m/>
    <s v="ü"/>
    <d v="2017-09-21T00:00:00"/>
    <n v="25000"/>
    <s v="Familia Machado Stoppa"/>
    <s v="machadoru@hotmail.com"/>
    <s v="Calle Guacara Nro. 88-85"/>
    <s v="Colaboración Vigilancia, mes de Julio/2017"/>
    <x v="0"/>
    <m/>
    <s v="00577"/>
    <s v="21 de septiembre de 2017"/>
    <x v="10"/>
    <s v="25.000,00"/>
    <s v="Veinticinco Mil Bolívares con 00/100"/>
  </r>
  <r>
    <n v="578"/>
    <m/>
    <s v="ü"/>
    <d v="2017-09-21T00:00:00"/>
    <n v="30000"/>
    <s v="Familia Machado Stoppa"/>
    <s v="machadoru@hotmail.com"/>
    <s v="Calle Guacara Nro. 88-85"/>
    <s v="Colaboración Vigilancia, mes de Agosto/2017"/>
    <x v="0"/>
    <m/>
    <s v="00578"/>
    <s v="21 de septiembre de 2017"/>
    <x v="10"/>
    <s v="30.000,00"/>
    <s v="Treinta Mil Bolívares con 00/100"/>
  </r>
  <r>
    <n v="579"/>
    <m/>
    <s v="ü"/>
    <d v="2017-09-22T00:00:00"/>
    <n v="35000"/>
    <s v="Familia Zavarce Pérez"/>
    <s v="En Físico"/>
    <s v="Calle Guacara Nro. 90-35"/>
    <s v="Cancelación Vigilancia, mes de Septiembre/2017"/>
    <x v="0"/>
    <m/>
    <s v="00579"/>
    <s v="22 de septiembre de 2017"/>
    <x v="10"/>
    <s v="35.000,00"/>
    <s v="Treinta y Cinco Mil Bolívares con 00/100"/>
  </r>
  <r>
    <n v="580"/>
    <m/>
    <s v="ü"/>
    <d v="2017-09-23T00:00:00"/>
    <n v="21000"/>
    <s v="Familia Chávez Hernández"/>
    <s v="mercedesch23@hotmail.com"/>
    <s v="Calle Güigüe Nro. 88-20"/>
    <s v="Colaboración Vigilancia, meses de Abril a Octubre/2017"/>
    <x v="0"/>
    <m/>
    <s v="00580"/>
    <s v="23 de septiembre de 2017"/>
    <x v="10"/>
    <s v="21.000,00"/>
    <s v="Veintiun Mil Bolívares con 00/100"/>
  </r>
  <r>
    <n v="581"/>
    <m/>
    <s v="ü"/>
    <d v="2017-09-25T00:00:00"/>
    <n v="40000"/>
    <s v="La Casita Encantada"/>
    <s v="En Físico"/>
    <s v="Av. &quot;M&quot; Nro. 146-30"/>
    <s v="Cancelación Vigilancia, mes de Septiembre/2017"/>
    <x v="0"/>
    <m/>
    <s v="00581"/>
    <s v="25 de septiembre de 2017"/>
    <x v="10"/>
    <s v="40.000,00"/>
    <s v="Cuarenta Mil Bolívares con 00/100"/>
  </r>
  <r>
    <n v="582"/>
    <m/>
    <s v="ü"/>
    <d v="2017-09-25T00:00:00"/>
    <n v="35000"/>
    <s v="Familia Hurtado"/>
    <s v="En Físico"/>
    <s v="Av. &quot;O&quot; Nro. 146-11"/>
    <s v="Cancelación Vigilancia, mes de Agosto/2017"/>
    <x v="0"/>
    <m/>
    <s v="00582"/>
    <s v="25 de septiembre de 2017"/>
    <x v="10"/>
    <s v="35.000,00"/>
    <s v="Treinta y Cinco Mil Bolívares con 00/100"/>
  </r>
  <r>
    <n v="583"/>
    <m/>
    <s v="ü"/>
    <d v="2017-09-25T00:00:00"/>
    <n v="35000"/>
    <s v="Familia Delgado Hidalgo"/>
    <s v="ardh@hotmail.com"/>
    <s v="Calle Güigüe Nro. 88-10"/>
    <s v="Cancelación Vigilancia, mes de Agosto/2017"/>
    <x v="0"/>
    <m/>
    <s v="00583"/>
    <s v="25 de septiembre de 2017"/>
    <x v="10"/>
    <s v="35.000,00"/>
    <s v="Treinta y Cinco Mil Bolívares con 00/100"/>
  </r>
  <r>
    <n v="584"/>
    <m/>
    <s v="ü"/>
    <d v="2017-09-26T00:00:00"/>
    <n v="35000"/>
    <s v="Familia Jiménez Salvatierra"/>
    <s v="0414-582.8909"/>
    <s v="Calle Güigüe Nro. 89-45"/>
    <s v="Cancelación Vigilancia, mes de Septiembre/2017"/>
    <x v="0"/>
    <m/>
    <s v="00584"/>
    <s v="26 de septiembre de 2017"/>
    <x v="10"/>
    <s v="35.000,00"/>
    <s v="Treinta y Cinco Mil Bolívares con 00/100"/>
  </r>
  <r>
    <n v="585"/>
    <m/>
    <s v="ü"/>
    <d v="2017-09-29T00:00:00"/>
    <n v="35000"/>
    <s v="Familia Barreto Pérez"/>
    <s v="bbetsa19@hotmail.com"/>
    <s v="Av. &quot;M&quot; Nro. 146-15"/>
    <s v="Cancelación Vigilancia, mes de Septiembre/2017"/>
    <x v="0"/>
    <m/>
    <s v="00585"/>
    <s v="29 de septiembre de 2017"/>
    <x v="10"/>
    <s v="35.000,00"/>
    <s v="Treinta y Cinco Mil Bolívares con 00/100"/>
  </r>
  <r>
    <n v="586"/>
    <m/>
    <s v="ü"/>
    <d v="2017-10-02T00:00:00"/>
    <n v="35000"/>
    <s v="Familia Guerra Miret"/>
    <s v="antoniojguerrag@hotmail.com"/>
    <s v="Calle Güigüe Nro. 89-40"/>
    <s v="Cancelación Vigilancia, mes de Septiembre/2017"/>
    <x v="0"/>
    <m/>
    <s v="00586"/>
    <s v="02 de octubre de 2017"/>
    <x v="11"/>
    <s v="35.000,00"/>
    <s v="Treinta y Cinco Mil Bolívares con 00/100"/>
  </r>
  <r>
    <n v="587"/>
    <m/>
    <s v="ü"/>
    <d v="2017-10-02T00:00:00"/>
    <n v="35000"/>
    <s v="Familia Fernández Parés"/>
    <s v="vultecca@gmail.com"/>
    <s v="Calle Guacara Nro. 88-75"/>
    <s v="Cancelación saldo Vigilancia, mes de Agosto/2017, y anticipo del mes de Septiembre/2017"/>
    <x v="0"/>
    <m/>
    <s v="00587"/>
    <s v="02 de octubre de 2017"/>
    <x v="11"/>
    <s v="35.000,00"/>
    <s v="Treinta y Cinco Mil Bolívares con 00/100"/>
  </r>
  <r>
    <n v="588"/>
    <m/>
    <s v="ü"/>
    <d v="2017-10-03T00:00:00"/>
    <n v="35000"/>
    <s v="Familia Durvelle Serrano"/>
    <s v="sdurvelle@hotmail.com"/>
    <s v="Calle Guacara Nro. 89-60"/>
    <s v="Cancelación Vigilancia, mes de Octubre/2017"/>
    <x v="0"/>
    <m/>
    <s v="00588"/>
    <s v="03 de octubre de 2017"/>
    <x v="11"/>
    <s v="35.000,00"/>
    <s v="Treinta y Cinco Mil Bolívares con 00/100"/>
  </r>
  <r>
    <n v="589"/>
    <m/>
    <s v="ü"/>
    <d v="2017-10-03T00:00:00"/>
    <n v="22000"/>
    <s v="Sra. Reina Meléndez"/>
    <s v="olgajipe@gmail.com"/>
    <s v="Av. &quot;M&quot; Nro. 145-10"/>
    <s v="Cancelación saldo Vigilancia, mes de Julio/2017"/>
    <x v="0"/>
    <m/>
    <s v="00589"/>
    <s v="03 de octubre de 2017"/>
    <x v="11"/>
    <s v="22.000,00"/>
    <s v="Veintidos Mil Bolívares con 00/100"/>
  </r>
  <r>
    <n v="590"/>
    <m/>
    <s v="ü"/>
    <d v="2017-10-03T00:00:00"/>
    <n v="35000"/>
    <s v="Sra. Reina Meléndez"/>
    <s v="olgajipe@gmail.com"/>
    <s v="Av. &quot;M&quot; Nro. 145-10"/>
    <s v="Cancelación Vigilancia, mes de Agosto/2017"/>
    <x v="0"/>
    <m/>
    <s v="00590"/>
    <s v="03 de octubre de 2017"/>
    <x v="11"/>
    <s v="35.000,00"/>
    <s v="Treinta y Cinco Mil Bolívares con 00/100"/>
  </r>
  <r>
    <n v="591"/>
    <m/>
    <s v="ü"/>
    <d v="2017-10-03T00:00:00"/>
    <n v="20000"/>
    <s v="Victoria Francischiello"/>
    <s v="victoriafrancischiello@hotmail.com"/>
    <s v="Calle Guacara Nro. 88-25"/>
    <s v="Colaboración Vigilancia, mes de Septiembre/2017"/>
    <x v="0"/>
    <m/>
    <s v="00591"/>
    <s v="03 de octubre de 2017"/>
    <x v="11"/>
    <s v="20.000,00"/>
    <s v="Veinte Mil Bolívares con 00/100"/>
  </r>
  <r>
    <n v="592"/>
    <m/>
    <s v="ü"/>
    <d v="2017-10-03T00:00:00"/>
    <n v="70000"/>
    <s v="Familia Scabuzzo Gómez"/>
    <s v="sfscabuzzo@msn.com"/>
    <s v="Av. &quot;I&quot; Nro. 146-20"/>
    <s v="Cancelación Vigilancia, meses de Septiembre y Octubre/2017"/>
    <x v="0"/>
    <m/>
    <s v="00592"/>
    <s v="03 de octubre de 2017"/>
    <x v="11"/>
    <s v="70.000,00"/>
    <s v="Setenta Mil Bolívares con 00/100"/>
  </r>
  <r>
    <n v="593"/>
    <m/>
    <s v="ü"/>
    <d v="2017-10-04T00:00:00"/>
    <n v="15000"/>
    <s v="Chin Chun Ya (Goya)"/>
    <s v="uc2721@gmail.com"/>
    <s v="Calle Guacara Nro. 87-86"/>
    <s v="Colaboración Vigilancia, mes de Octubre/2017"/>
    <x v="0"/>
    <m/>
    <s v="00593"/>
    <s v="04 de octubre de 2017"/>
    <x v="11"/>
    <s v="15.000,00"/>
    <s v="Quince Mil Bolívares con 00/100"/>
  </r>
  <r>
    <n v="594"/>
    <m/>
    <s v="ü"/>
    <d v="2017-10-04T00:00:00"/>
    <n v="35000"/>
    <s v="Familia Ferrer Bahri"/>
    <s v="bahrimariela@hotmail.com"/>
    <s v="Calle Güigüe Nro. 89-83"/>
    <s v="Cancelación Vigilancia, mes de Octubre/2017"/>
    <x v="0"/>
    <m/>
    <s v="00594"/>
    <s v="04 de octubre de 2017"/>
    <x v="11"/>
    <s v="35.000,00"/>
    <s v="Treinta y Cinco Mil Bolívares con 00/100"/>
  </r>
  <r>
    <n v="595"/>
    <m/>
    <s v="ü"/>
    <d v="2017-10-04T00:00:00"/>
    <n v="70000"/>
    <s v="Ana de González"/>
    <s v="mikelnowak25@gmail.com"/>
    <s v="Av. &quot;O&quot; Nro. 146-17"/>
    <s v="Cancelación Vigilancia, meses de Agosto y Septiembre/2017"/>
    <x v="0"/>
    <m/>
    <s v="00595"/>
    <s v="04 de octubre de 2017"/>
    <x v="11"/>
    <s v="70.000,00"/>
    <s v="Setenta Mil Bolívares con 00/100"/>
  </r>
  <r>
    <n v="596"/>
    <m/>
    <s v="ü"/>
    <d v="2017-10-04T00:00:00"/>
    <n v="35000"/>
    <s v="Familia Arcia Polanco"/>
    <s v="misipo29@gmail.com"/>
    <s v="Calle Guacara Nro. 89-20"/>
    <s v="Cancelación Vigilancia, mes de Octubre/2017"/>
    <x v="0"/>
    <m/>
    <s v="00596"/>
    <s v="04 de octubre de 2017"/>
    <x v="11"/>
    <s v="35.000,00"/>
    <s v="Treinta y Cinco Mil Bolívares con 00/100"/>
  </r>
  <r>
    <n v="597"/>
    <m/>
    <s v="ü"/>
    <d v="2017-10-04T00:00:00"/>
    <n v="25000"/>
    <s v="Héctor Hernández"/>
    <s v="eof64@hotmail.com"/>
    <s v="Calle Guacara Nro. 89-94"/>
    <s v="Colaboración Vigilancia, mes de Octubre/2017"/>
    <x v="0"/>
    <m/>
    <s v="00597"/>
    <s v="04 de octubre de 2017"/>
    <x v="11"/>
    <s v="25.000,00"/>
    <s v="Veinticinco Mil Bolívares con 00/100"/>
  </r>
  <r>
    <n v="598"/>
    <m/>
    <s v="ü"/>
    <d v="2017-10-05T00:00:00"/>
    <n v="35000"/>
    <s v="Familia Del Negro Palermo"/>
    <s v="vdelnegro@gmail.com"/>
    <s v="Calle Guacara Nro. 88-45"/>
    <s v="Cancelación Vigilancia, mes de Octubre/2017 (saldo a favor: Bs. 70.000)"/>
    <x v="0"/>
    <m/>
    <s v="00598"/>
    <s v="05 de octubre de 2017"/>
    <x v="11"/>
    <s v="35.000,00"/>
    <s v="Treinta y Cinco Mil Bolívares con 00/100"/>
  </r>
  <r>
    <n v="599"/>
    <m/>
    <s v="ü"/>
    <d v="2017-10-05T00:00:00"/>
    <n v="35000"/>
    <s v="Ely Saúl Rivero Gómez, C.I 18.448.557"/>
    <s v="hhs.admon@gmail.com"/>
    <s v="Av. &quot;Ñ&quot; Nro. 145-25"/>
    <s v="Cancelación Vigilancia, mes de Octubre/2017 (saldo a favor: Bs. 9.000)"/>
    <x v="0"/>
    <m/>
    <s v="00599"/>
    <s v="05 de octubre de 2017"/>
    <x v="11"/>
    <s v="35.000,00"/>
    <s v="Treinta y Cinco Mil Bolívares con 00/100"/>
  </r>
  <r>
    <n v="600"/>
    <m/>
    <s v="ü"/>
    <d v="2017-09-20T00:00:00"/>
    <n v="10000"/>
    <s v="Ma. de Jesus Alonso"/>
    <s v="marjoriealonsoh@hotmail.com"/>
    <s v="Calle Güigüe Nro. 88-30"/>
    <s v="Colaboración Vigilancia, mes de Septiembre/2017"/>
    <x v="0"/>
    <m/>
    <s v="00600"/>
    <s v="20 de septiembre de 2017"/>
    <x v="10"/>
    <s v="10.000,00"/>
    <s v="Diez Mil Bolívares con 00/100"/>
  </r>
  <r>
    <n v="601"/>
    <m/>
    <s v="ü"/>
    <d v="2017-10-05T00:00:00"/>
    <n v="10000"/>
    <s v="Ma. de Jesus Alonso"/>
    <s v="marjoriealonsoh@hotmail.com"/>
    <s v="Calle Güigüe Nro. 88-30"/>
    <s v="Colaboración Vigilancia, mes de Octubre/2017"/>
    <x v="0"/>
    <m/>
    <s v="00601"/>
    <s v="05 de octubre de 2017"/>
    <x v="11"/>
    <s v="10.000,00"/>
    <s v="Diez Mil Bolívares con 00/100"/>
  </r>
  <r>
    <n v="602"/>
    <m/>
    <s v="ü"/>
    <d v="2017-10-06T00:00:00"/>
    <n v="10000"/>
    <s v="Familia Sirit Palencia"/>
    <s v="irasirit@gmail.com"/>
    <s v="Calle Güigüe Nro. 89-35"/>
    <s v="Colaboración Vigilancia, mes de Septiembre/2017"/>
    <x v="0"/>
    <m/>
    <s v="00602"/>
    <s v="06 de octubre de 2017"/>
    <x v="11"/>
    <s v="10.000,00"/>
    <s v="Diez Mil Bolívares con 00/100"/>
  </r>
  <r>
    <n v="603"/>
    <m/>
    <s v="ü"/>
    <d v="2017-10-06T00:00:00"/>
    <n v="35000"/>
    <s v="Familia Navarro Assing"/>
    <s v="liliaassing@gmail.com"/>
    <s v="Calle Güigüe Nro. 88-54"/>
    <s v="Cancelación Vigilancia, mes de Septiembre/2017"/>
    <x v="0"/>
    <m/>
    <s v="00603"/>
    <s v="06 de octubre de 2017"/>
    <x v="11"/>
    <s v="35.000,00"/>
    <s v="Treinta y Cinco Mil Bolívares con 00/100"/>
  </r>
  <r>
    <n v="604"/>
    <m/>
    <s v="ü"/>
    <d v="2017-10-06T00:00:00"/>
    <n v="54000"/>
    <s v="Colegio El Trigal"/>
    <s v="En Físico"/>
    <s v="Calle Güigüe Nros. 88-71 y 88-81"/>
    <s v="Cancelación Vigilancia, mes de Octubre/2017"/>
    <x v="0"/>
    <m/>
    <s v="00604"/>
    <s v="06 de octubre de 2017"/>
    <x v="11"/>
    <s v="54.000,00"/>
    <s v="Cincuenta y Cuatro Mil Bolívares con 00/100"/>
  </r>
  <r>
    <n v="605"/>
    <m/>
    <s v="ü"/>
    <d v="2017-10-09T00:00:00"/>
    <n v="156000"/>
    <s v="Ely Saúl Rivero Gómez, C.I 18.448.557"/>
    <s v="hhs.admon@gmail.com"/>
    <s v="Av. &quot;Ñ&quot; Nro. 145-25"/>
    <s v="Anticipo Vigilancia (saldo a favor: Bs. 165.000)"/>
    <x v="1"/>
    <m/>
    <s v="00605"/>
    <s v="09 de octubre de 2017"/>
    <x v="11"/>
    <s v="156.000,00"/>
    <s v="Ciento Cincuenta y Seis Mil Bolívares con 00/100"/>
  </r>
  <r>
    <n v="606"/>
    <m/>
    <s v="ü"/>
    <d v="2017-10-10T00:00:00"/>
    <n v="35000"/>
    <s v="Familia Colosso Delgado"/>
    <s v="mcolosso@gmail.com"/>
    <s v="Calle Güigüe Nro. 88-44"/>
    <s v="Cancelación Vigilancia, mes de Octubre/2017"/>
    <x v="0"/>
    <m/>
    <s v="00606"/>
    <s v="10 de octubre de 2017"/>
    <x v="11"/>
    <s v="35.000,00"/>
    <s v="Treinta y Cinco Mil Bolívares con 00/100"/>
  </r>
  <r>
    <n v="607"/>
    <m/>
    <s v="ü"/>
    <d v="2017-10-11T00:00:00"/>
    <n v="35000"/>
    <s v="Familia Puerta Burguillos"/>
    <s v="namaricakes@gmail.com"/>
    <s v="Calle Guacara Nro. 87-100"/>
    <s v="Cancelación Vigilancia, mes de Octubre/2017"/>
    <x v="0"/>
    <m/>
    <s v="00607"/>
    <s v="11 de octubre de 2017"/>
    <x v="11"/>
    <s v="35.000,00"/>
    <s v="Treinta y Cinco Mil Bolívares con 00/100"/>
  </r>
  <r>
    <n v="608"/>
    <m/>
    <s v="ü"/>
    <d v="2017-10-11T00:00:00"/>
    <n v="5000"/>
    <s v="Familia Flores Montagne"/>
    <s v="namaricakes@gmail.com"/>
    <s v="Av. &quot;M&quot; Nro. 146-20"/>
    <s v="Colaboración Vigilancia, mes de Octubre/2017"/>
    <x v="0"/>
    <m/>
    <s v="00608"/>
    <s v="11 de octubre de 2017"/>
    <x v="11"/>
    <s v="5.000,00"/>
    <s v="Cinco Mil Bolívares con 00/100"/>
  </r>
  <r>
    <n v="609"/>
    <m/>
    <s v="ü"/>
    <d v="2017-10-11T00:00:00"/>
    <n v="35000"/>
    <s v="Beatriz Lara"/>
    <s v="valentina.gutierrez@hotmail.com"/>
    <s v="Calle Guacara Nro. 89-130"/>
    <s v="Cancelación Vigilancia, mes de Octubre/2017"/>
    <x v="0"/>
    <m/>
    <s v="00609"/>
    <s v="11 de octubre de 2017"/>
    <x v="11"/>
    <s v="35.000,00"/>
    <s v="Treinta y Cinco Mil Bolívares con 00/100"/>
  </r>
  <r>
    <n v="610"/>
    <m/>
    <s v="ü"/>
    <d v="2017-10-11T00:00:00"/>
    <n v="35000"/>
    <s v="Familia Fernández Parés"/>
    <s v="vultecca@gmail.com"/>
    <s v="Calle Guacara Nro. 88-75"/>
    <s v="Cancelación saldo Vigilancia, mes de Septiembre/2017, y anticipo del mes de Octubre/2017"/>
    <x v="0"/>
    <m/>
    <s v="00610"/>
    <s v="11 de octubre de 2017"/>
    <x v="11"/>
    <s v="35.000,00"/>
    <s v="Treinta y Cinco Mil Bolívares con 00/100"/>
  </r>
  <r>
    <n v="611"/>
    <m/>
    <s v="ü"/>
    <d v="2017-10-12T00:00:00"/>
    <n v="70000"/>
    <s v="Anahiz Seijas"/>
    <s v="anahiz_2@hotmail.es"/>
    <s v="Calle Güigüe Nro. 89-106"/>
    <s v="Cancelación Vigilancia, meses de Septiembre y Octubre/2017"/>
    <x v="0"/>
    <m/>
    <s v="00611"/>
    <s v="12 de octubre de 2017"/>
    <x v="11"/>
    <s v="70.000,00"/>
    <s v="Setenta Mil Bolívares con 00/100"/>
  </r>
  <r>
    <n v="612"/>
    <m/>
    <s v="ü"/>
    <d v="2017-10-15T00:00:00"/>
    <n v="35000"/>
    <s v="Familia Castillo Mena"/>
    <s v="emmecas@hotmail.com"/>
    <s v="Calle Güigüe Nro. 88-101"/>
    <s v="Cancelación Vigilancia, mes de Octubre/2017"/>
    <x v="0"/>
    <m/>
    <s v="00612"/>
    <s v="15 de octubre de 2017"/>
    <x v="11"/>
    <s v="35.000,00"/>
    <s v="Treinta y Cinco Mil Bolívares con 00/100"/>
  </r>
  <r>
    <n v="613"/>
    <m/>
    <s v="ü"/>
    <d v="2017-10-15T00:00:00"/>
    <n v="35000"/>
    <s v="Familia Montilla García"/>
    <s v="dairy252525@hotmail.com"/>
    <s v="Calle Güigüe Nro. 89-90"/>
    <s v="Cancelación Vigilancia, mes de Octubre/2017"/>
    <x v="0"/>
    <m/>
    <s v="00613"/>
    <s v="15 de octubre de 2017"/>
    <x v="11"/>
    <s v="35.000,00"/>
    <s v="Treinta y Cinco Mil Bolívares con 00/100"/>
  </r>
  <r>
    <n v="614"/>
    <m/>
    <s v="ü"/>
    <d v="2017-10-14T00:00:00"/>
    <n v="35000"/>
    <s v="Familia Fermín Rivas"/>
    <s v="angelferminb@gmail.com"/>
    <s v="Calle Güigüe Nro. 89-55"/>
    <s v="Cancelación Vigilancia, mes de Octubre/2017, transferencia y Bs. 7.868 contra factura"/>
    <x v="0"/>
    <m/>
    <s v="00614"/>
    <s v="14 de octubre de 2017"/>
    <x v="11"/>
    <s v="35.000,00"/>
    <s v="Treinta y Cinco Mil Bolívares con 00/100"/>
  </r>
  <r>
    <n v="615"/>
    <m/>
    <s v="ü"/>
    <d v="2017-10-16T00:00:00"/>
    <n v="35000"/>
    <s v="Familia Sayago Peñaranda"/>
    <s v="alexissayago@gmail.com"/>
    <s v="Calle Güigüe Nro. 89-04"/>
    <s v="Cancelación Vigilancia, mes de Octubre/2017, transferencia y Bs. 12.000 contra factura"/>
    <x v="0"/>
    <m/>
    <s v="00615"/>
    <s v="16 de octubre de 2017"/>
    <x v="11"/>
    <s v="35.000,00"/>
    <s v="Treinta y Cinco Mil Bolívares con 00/100"/>
  </r>
  <r>
    <n v="616"/>
    <m/>
    <s v="ü"/>
    <d v="2017-10-16T00:00:00"/>
    <n v="35000"/>
    <s v="Familia Milanés Carmona"/>
    <s v="yndira11m@gmail.com"/>
    <s v="Calle Güigüe Nro. 89-65"/>
    <s v="Cancelación Vigilancia, mes de Septiembre/2017"/>
    <x v="0"/>
    <m/>
    <s v="00616"/>
    <s v="16 de octubre de 2017"/>
    <x v="11"/>
    <s v="35.000,00"/>
    <s v="Treinta y Cinco Mil Bolívares con 00/100"/>
  </r>
  <r>
    <n v="617"/>
    <m/>
    <s v="ü"/>
    <d v="2017-10-16T00:00:00"/>
    <n v="15000"/>
    <s v="Manuel Rodríguez"/>
    <s v="mrl58@hotmail.com"/>
    <s v="Calle Güigüe Nro. 89-29"/>
    <s v="Colaboración Vigilancia, mes de Octubre/2017"/>
    <x v="0"/>
    <m/>
    <s v="00617"/>
    <s v="16 de octubre de 2017"/>
    <x v="11"/>
    <s v="15.000,00"/>
    <s v="Quince Mil Bolívares con 00/100"/>
  </r>
  <r>
    <n v="618"/>
    <m/>
    <s v="ü"/>
    <d v="2017-10-16T00:00:00"/>
    <n v="20000"/>
    <s v="Familia Rodríguez Aular"/>
    <s v="mvaular@hotmail.com"/>
    <s v="Calle Güigüe Nro. 88-58"/>
    <s v="Colaboración Vigilancia, mes de Octubre/2017"/>
    <x v="0"/>
    <m/>
    <s v="00618"/>
    <s v="16 de octubre de 2017"/>
    <x v="11"/>
    <s v="20.000,00"/>
    <s v="Veinte Mil Bolívares con 00/100"/>
  </r>
  <r>
    <n v="619"/>
    <m/>
    <s v="ü"/>
    <d v="2017-10-18T00:00:00"/>
    <n v="20000"/>
    <s v="Familia Rodríguez Aular"/>
    <s v="mvaular@hotmail.com"/>
    <s v="Calle Güigüe Nro. 88-58"/>
    <s v="Colaboración Vigilancia, mes de Septiembre/2017"/>
    <x v="0"/>
    <m/>
    <s v="00619"/>
    <s v="18 de octubre de 2017"/>
    <x v="11"/>
    <s v="20.000,00"/>
    <s v="Veinte Mil Bolívares con 00/100"/>
  </r>
  <r>
    <n v="620"/>
    <m/>
    <s v="ü"/>
    <d v="2017-10-18T00:00:00"/>
    <n v="35000"/>
    <s v="Familia Acosta"/>
    <s v="pablo962@hotmail.com"/>
    <s v="Calle Güigüe Nro. 89-10"/>
    <s v="Cancelación Vigilancia, mes de Septiembre/2017"/>
    <x v="0"/>
    <m/>
    <s v="00620"/>
    <s v="18 de octubre de 2017"/>
    <x v="11"/>
    <s v="35.000,00"/>
    <s v="Treinta y Cinco Mil Bolívares con 00/100"/>
  </r>
  <r>
    <n v="621"/>
    <m/>
    <s v="ü"/>
    <d v="2017-10-19T00:00:00"/>
    <n v="35000"/>
    <s v="Familia Díaz González"/>
    <s v="luisrdt57@gmail.com"/>
    <s v="Calle Güigüe Nro. 88-116"/>
    <s v="Cancelación Vigilancia, mes de Octubre/2017"/>
    <x v="0"/>
    <m/>
    <s v="00621"/>
    <s v="19 de octubre de 2017"/>
    <x v="11"/>
    <s v="35.000,00"/>
    <s v="Treinta y Cinco Mil Bolívares con 00/100"/>
  </r>
  <r>
    <n v="622"/>
    <m/>
    <s v="ü"/>
    <d v="2017-10-20T00:00:00"/>
    <n v="40000"/>
    <s v="La Casita Encantada"/>
    <s v="En Físico"/>
    <s v="Av. &quot;M&quot; Nro. 146-30"/>
    <s v="Cancelación Vigilancia, mes de Octubre/2017"/>
    <x v="0"/>
    <m/>
    <s v="00622"/>
    <s v="20 de octubre de 2017"/>
    <x v="11"/>
    <s v="40.000,00"/>
    <s v="Cuarenta Mil Bolívares con 00/100"/>
  </r>
  <r>
    <n v="623"/>
    <m/>
    <s v="ü"/>
    <d v="2017-10-21T00:00:00"/>
    <n v="70000"/>
    <s v="Familia Castro Jiménez"/>
    <s v="0426-543.4303"/>
    <s v="Calle Guacara Nro. 90-51"/>
    <s v="Cancelación Vigilancia, meses de Septiembre y Octubre/2017"/>
    <x v="0"/>
    <m/>
    <s v="00623"/>
    <s v="21 de octubre de 2017"/>
    <x v="11"/>
    <s v="70.000,00"/>
    <s v="Setenta Mil Bolívares con 00/100"/>
  </r>
  <r>
    <n v="624"/>
    <m/>
    <s v="ü"/>
    <d v="2017-10-21T00:00:00"/>
    <n v="35000"/>
    <s v="Familia Nava Gordon"/>
    <s v="maru_19_66@hotmail.com"/>
    <s v="Calle Guacara Nro. 89-78"/>
    <s v="Cancelación Vigilancia, mes de Septiembre/2017"/>
    <x v="0"/>
    <m/>
    <s v="00624"/>
    <s v="21 de octubre de 2017"/>
    <x v="11"/>
    <s v="35.000,00"/>
    <s v="Treinta y Cinco Mil Bolívares con 00/100"/>
  </r>
  <r>
    <n v="625"/>
    <m/>
    <s v="ü"/>
    <d v="2017-10-21T00:00:00"/>
    <n v="35000"/>
    <s v="Familia Jiménez Navarro"/>
    <s v="joyasonline2012@gmail.com"/>
    <s v="Calle Güigüe Nro. 88-50"/>
    <s v="Cancelación Vigilancia, mes de Septiembre/2017"/>
    <x v="0"/>
    <m/>
    <s v="00625"/>
    <s v="21 de octubre de 2017"/>
    <x v="11"/>
    <s v="35.000,00"/>
    <s v="Treinta y Cinco Mil Bolívares con 00/100"/>
  </r>
  <r>
    <n v="626"/>
    <m/>
    <s v="ü"/>
    <d v="2017-10-23T00:00:00"/>
    <n v="35000"/>
    <s v="Amarilis Guerra"/>
    <s v="amarilisguerra1@yahoo.com"/>
    <s v="Calle Güigüe Nro. 89-96"/>
    <s v="Cancelación Vigilancia, mes de Octubre/2017"/>
    <x v="0"/>
    <m/>
    <s v="00626"/>
    <s v="23 de octubre de 2017"/>
    <x v="11"/>
    <s v="35.000,00"/>
    <s v="Treinta y Cinco Mil Bolívares con 00/100"/>
  </r>
  <r>
    <n v="627"/>
    <m/>
    <s v="ü"/>
    <d v="2017-10-23T00:00:00"/>
    <n v="35000"/>
    <s v="Familia Lomeña Agudo"/>
    <s v="claudialomena@hotmail.com"/>
    <s v="Calle Guacara Nro. 89-30"/>
    <s v="Cancelación Vigilancia, mes de Octubre/2017"/>
    <x v="0"/>
    <m/>
    <s v="00627"/>
    <s v="23 de octubre de 2017"/>
    <x v="11"/>
    <s v="35.000,00"/>
    <s v="Treinta y Cinco Mil Bolívares con 00/100"/>
  </r>
  <r>
    <n v="628"/>
    <m/>
    <s v="ü"/>
    <d v="2017-10-23T00:00:00"/>
    <n v="35000"/>
    <s v="Familia Loponte Arteaga"/>
    <s v="nancyloponte@hotmail.com"/>
    <s v="Calle Güigüe Nro. 88-120"/>
    <s v="Cancelación Vigilancia, mes de Octubre/2017"/>
    <x v="0"/>
    <m/>
    <s v="00628"/>
    <s v="23 de octubre de 2017"/>
    <x v="11"/>
    <s v="35.000,00"/>
    <s v="Treinta y Cinco Mil Bolívares con 00/100"/>
  </r>
  <r>
    <n v="629"/>
    <m/>
    <s v="ü"/>
    <d v="2017-10-23T00:00:00"/>
    <n v="70000"/>
    <s v="Familia Delgado Hidalgo"/>
    <s v="ardh@hotmail.com"/>
    <s v="Calle Güigüe Nro. 88-10"/>
    <s v="Cancelación Vigilancia, meses de Septiembre y Octubre/2017"/>
    <x v="0"/>
    <m/>
    <s v="00629"/>
    <s v="23 de octubre de 2017"/>
    <x v="11"/>
    <s v="70.000,00"/>
    <s v="Setenta Mil Bolívares con 00/100"/>
  </r>
  <r>
    <n v="630"/>
    <m/>
    <s v="ü"/>
    <d v="2017-10-23T00:00:00"/>
    <n v="70000"/>
    <s v="Familia Manrique Riera"/>
    <s v="patriciamanrique@gmail.com"/>
    <s v="Calle Guacara Nro. 89-40"/>
    <s v="Cancelación Vigilancia, meses de Agosto y Septiembre/2017"/>
    <x v="0"/>
    <m/>
    <s v="00630"/>
    <s v="23 de octubre de 2017"/>
    <x v="11"/>
    <s v="70.000,00"/>
    <s v="Setenta Mil Bolívares con 00/100"/>
  </r>
  <r>
    <n v="631"/>
    <m/>
    <s v="ü"/>
    <d v="2017-10-25T00:00:00"/>
    <n v="30000"/>
    <s v="Familia Machado Stoppa"/>
    <s v="machadoru@hotmail.com"/>
    <s v="Calle Guacara Nro. 88-85"/>
    <s v="Colaboración Vigilancia, mes de Septiembre/2017"/>
    <x v="0"/>
    <m/>
    <s v="00631"/>
    <s v="25 de octubre de 2017"/>
    <x v="11"/>
    <s v="30.000,00"/>
    <s v="Treinta Mil Bolívares con 00/100"/>
  </r>
  <r>
    <n v="632"/>
    <m/>
    <s v="ü"/>
    <d v="2017-10-26T00:00:00"/>
    <n v="15000"/>
    <s v="Familia Morales Sesar"/>
    <s v="moralesesar@gmail.com"/>
    <s v="Calle Güigüe Nro. 89-120"/>
    <s v="Colaboración Vigilancia, mes de Septiembre/2017"/>
    <x v="0"/>
    <m/>
    <s v="00632"/>
    <s v="26 de octubre de 2017"/>
    <x v="11"/>
    <s v="15.000,00"/>
    <s v="Quince Mil Bolívares con 00/100"/>
  </r>
  <r>
    <n v="633"/>
    <m/>
    <s v="ü"/>
    <d v="2017-10-27T00:00:00"/>
    <n v="35000"/>
    <s v="Familia Navarro Assing"/>
    <s v="liliaassing@gmail.com"/>
    <s v="Calle Güigüe Nro. 88-54"/>
    <s v="Cancelación Vigilancia, mes de Octubre/2017"/>
    <x v="0"/>
    <m/>
    <s v="00633"/>
    <s v="27 de octubre de 2017"/>
    <x v="11"/>
    <s v="35.000,00"/>
    <s v="Treinta y Cinco Mil Bolívares con 00/100"/>
  </r>
  <r>
    <n v="634"/>
    <m/>
    <s v="ü"/>
    <d v="2017-10-27T00:00:00"/>
    <n v="105000"/>
    <s v="Familia Narváez Caldera"/>
    <s v="jeannette_nc@yahoo.com"/>
    <s v="Calle Güigüe Nro. 87-A-11"/>
    <s v="Cancelación Vigilancia, meses de Septiembre y Octubre/2017, y Anticipo Vigilancia, mes de Noviembre/2017"/>
    <x v="0"/>
    <m/>
    <s v="00634"/>
    <s v="27 de octubre de 2017"/>
    <x v="11"/>
    <s v="105.000,00"/>
    <s v="Ciento Cinco Mil Bolívares con 00/100"/>
  </r>
  <r>
    <n v="635"/>
    <m/>
    <s v="ü"/>
    <d v="2017-10-27T00:00:00"/>
    <n v="70000"/>
    <s v="Familia Il Grande Franceschi"/>
    <s v="arcifran75@hotmail.com"/>
    <s v="Av. &quot;I&quot; Nro. 146-40"/>
    <s v="Cancelación saldo Vigilancia, mes de Septiembre, cancelación mes de Octubre y anticipo mes de Noviembre/2017 (Bs. 1.000)"/>
    <x v="0"/>
    <m/>
    <s v="00635"/>
    <s v="27 de octubre de 2017"/>
    <x v="11"/>
    <s v="70.000,00"/>
    <s v="Setenta Mil Bolívares con 00/100"/>
  </r>
  <r>
    <n v="636"/>
    <m/>
    <s v="ü"/>
    <d v="2017-10-29T00:00:00"/>
    <n v="60000"/>
    <s v="Gloria Molina"/>
    <s v="glomola2@yahoo.es"/>
    <s v="Calle Güigüe Nro. 89-71"/>
    <s v="Colaboración Vigilancia, meses de Junio, Julio, Agosto y Septiembre/2017"/>
    <x v="0"/>
    <m/>
    <s v="00636"/>
    <s v="29 de octubre de 2017"/>
    <x v="11"/>
    <s v="60.000,00"/>
    <s v="Sesenta Mil Bolívares con 00/100"/>
  </r>
  <r>
    <n v="637"/>
    <m/>
    <s v="ü"/>
    <d v="2017-10-30T00:00:00"/>
    <n v="20000"/>
    <s v="Familia Santos Carrillo"/>
    <s v="briceidamp@hotmail.com"/>
    <s v="Calle Guacara Nro. 90-93"/>
    <s v="Colaboración Vigilancia, mes de Octubre/2017"/>
    <x v="0"/>
    <m/>
    <s v="00637"/>
    <s v="30 de octubre de 2017"/>
    <x v="11"/>
    <s v="20.000,00"/>
    <s v="Veinte Mil Bolívares con 00/100"/>
  </r>
  <r>
    <n v="638"/>
    <m/>
    <s v="ü"/>
    <d v="2017-10-30T00:00:00"/>
    <n v="20000"/>
    <s v="Familia Méndez Parra"/>
    <s v="briceidamp@hotmail.com"/>
    <s v="Calle Guacara Nro. 88-19"/>
    <s v="Colaboración Vigilancia, mes de Octubre/2017"/>
    <x v="0"/>
    <m/>
    <s v="00638"/>
    <s v="30 de octubre de 2017"/>
    <x v="11"/>
    <s v="20.000,00"/>
    <s v="Veinte Mil Bolívares con 00/100"/>
  </r>
  <r>
    <n v="639"/>
    <m/>
    <s v="ü"/>
    <d v="2017-10-31T00:00:00"/>
    <n v="35000"/>
    <s v="Familia Gascón Domínguez"/>
    <s v="vrgascon@gmail.com"/>
    <s v="Calle Güigüe Nro. 88-70"/>
    <s v="Cancelación Vigilancia, mes de Octubre/2017"/>
    <x v="0"/>
    <m/>
    <s v="00639"/>
    <s v="31 de octubre de 2017"/>
    <x v="11"/>
    <s v="35.000,00"/>
    <s v="Treinta y Cinco Mil Bolívares con 00/100"/>
  </r>
  <r>
    <n v="640"/>
    <m/>
    <s v="ü"/>
    <d v="2017-10-19T00:00:00"/>
    <n v="20000"/>
    <s v="Familia Kabblan"/>
    <s v="norisjsb56@hotmail.com"/>
    <s v="Calle Güigüe Nro. 89-80"/>
    <s v="Colaboración Vigilancia, mes de Octubre/2017"/>
    <x v="0"/>
    <m/>
    <s v="00640"/>
    <s v="19 de octubre de 2017"/>
    <x v="11"/>
    <s v="20.000,00"/>
    <s v="Veinte Mil Bolívares con 00/100"/>
  </r>
  <r>
    <n v="641"/>
    <m/>
    <s v="ü"/>
    <d v="2017-11-01T00:00:00"/>
    <n v="35000"/>
    <s v="Familia Barreto Pérez"/>
    <s v="bbetsa19@hotmail.com"/>
    <s v="Av. &quot;M&quot; Nro. 146-15"/>
    <s v="Cancelación Vigilancia, mes de Octubre/2017"/>
    <x v="0"/>
    <m/>
    <s v="00641"/>
    <s v="01 de noviembre de 2017"/>
    <x v="12"/>
    <s v="35.000,00"/>
    <s v="Treinta y Cinco Mil Bolívares con 00/100"/>
  </r>
  <r>
    <n v="642"/>
    <m/>
    <s v="ü"/>
    <d v="2017-11-01T00:00:00"/>
    <n v="35000"/>
    <s v="Familia Ferrer Bahri"/>
    <s v="bahrimariela@hotmail.com"/>
    <s v="Calle Güigüe Nro. 89-83"/>
    <s v="Anticipo Vigilancia, mes de Noviembre/2017"/>
    <x v="0"/>
    <m/>
    <s v="00642"/>
    <s v="01 de noviembre de 2017"/>
    <x v="12"/>
    <s v="35.000,00"/>
    <s v="Treinta y Cinco Mil Bolívares con 00/100"/>
  </r>
  <r>
    <n v="643"/>
    <m/>
    <s v="ü"/>
    <d v="2017-11-02T00:00:00"/>
    <n v="35000"/>
    <s v="Familia Durvelle Serrano"/>
    <s v="sdurvelle@hotmail.com"/>
    <s v="Calle Guacara Nro. 89-60"/>
    <s v="Anticipo Vigilancia, mes de Noviembre/2017"/>
    <x v="0"/>
    <m/>
    <s v="00643"/>
    <s v="02 de noviembre de 2017"/>
    <x v="12"/>
    <s v="35.000,00"/>
    <s v="Treinta y Cinco Mil Bolívares con 00/100"/>
  </r>
  <r>
    <n v="644"/>
    <m/>
    <s v="ü"/>
    <d v="2017-11-01T00:00:00"/>
    <n v="68000"/>
    <s v="Familia Matta Palomino"/>
    <s v="En Físico"/>
    <s v="Calle Güigüe Nro. 88-90"/>
    <s v="Cancelación saldo Vigilancia, mes de Septiembre/2017 y Cancelación Vigilancia, mes de Octubre/2017"/>
    <x v="0"/>
    <m/>
    <s v="00644"/>
    <s v="01 de noviembre de 2017"/>
    <x v="12"/>
    <s v="68.000,00"/>
    <s v="Sesenta y Ocho Mil Bolívares con 00/100"/>
  </r>
  <r>
    <n v="645"/>
    <m/>
    <s v="ü"/>
    <d v="2017-11-02T00:00:00"/>
    <n v="70000"/>
    <s v="Familia Kattar"/>
    <s v="jagiak123@yahoo.es"/>
    <s v="Calle Güigüe Nro. 89-95"/>
    <s v="Cancelación Vigilancia, meses de Agosto y Septiembre/2017"/>
    <x v="0"/>
    <m/>
    <s v="00645"/>
    <s v="02 de noviembre de 2017"/>
    <x v="12"/>
    <s v="70.000,00"/>
    <s v="Setenta Mil Bolívares con 00/100"/>
  </r>
  <r>
    <n v="646"/>
    <m/>
    <s v="ü"/>
    <d v="2017-11-02T00:00:00"/>
    <n v="35000"/>
    <s v="Familia Loponte Arteaga"/>
    <s v="nancyloponte@hotmail.com"/>
    <s v="Calle Güigüe Nro. 88-120"/>
    <s v="Anticipo Vigilancia, mes de Noviembre/2017"/>
    <x v="0"/>
    <m/>
    <s v="00646"/>
    <s v="02 de noviembre de 2017"/>
    <x v="12"/>
    <s v="35.000,00"/>
    <s v="Treinta y Cinco Mil Bolívares con 00/100"/>
  </r>
  <r>
    <n v="647"/>
    <m/>
    <s v="ü"/>
    <d v="2017-11-02T00:00:00"/>
    <n v="70000"/>
    <s v="Familia Jiménez Salvatierra"/>
    <s v="0414-582.8909"/>
    <s v="Calle Güigüe Nro. 89-45"/>
    <s v="Cancelación Vigilancia, mes de Octubre/2017, y Anticipo Vigilancia, mes de Noviembre/2017"/>
    <x v="0"/>
    <m/>
    <s v="00647"/>
    <s v="02 de noviembre de 2017"/>
    <x v="12"/>
    <s v="70.000,00"/>
    <s v="Setenta Mil Bolívares con 00/100"/>
  </r>
  <r>
    <n v="648"/>
    <m/>
    <s v="ü"/>
    <d v="2017-11-02T00:00:00"/>
    <n v="50000"/>
    <s v="Familia Alonso Rojas"/>
    <s v="redjc01@gmail.com"/>
    <s v="Calle Güigüe Nro. 89-54"/>
    <s v="Cancelación Vigilancia, mes de Noviembre/2017"/>
    <x v="0"/>
    <m/>
    <s v="00648"/>
    <s v="02 de noviembre de 2017"/>
    <x v="12"/>
    <s v="50.000,00"/>
    <s v="Cincuenta Mil Bolívares con 00/100"/>
  </r>
  <r>
    <n v="649"/>
    <m/>
    <s v="ü"/>
    <d v="2017-11-03T00:00:00"/>
    <n v="50000"/>
    <s v="Familia Colosso Delgado"/>
    <s v="mcolosso@gmail.com"/>
    <s v="Calle Güigüe Nro. 88-44"/>
    <s v="Cancelación Vigilancia, mes de Noviembre/2017"/>
    <x v="0"/>
    <m/>
    <s v="00649"/>
    <s v="03 de noviembre de 2017"/>
    <x v="12"/>
    <s v="50.000,00"/>
    <s v="Cincuenta Mil Bolívares con 00/100"/>
  </r>
  <r>
    <n v="650"/>
    <m/>
    <s v="ü"/>
    <d v="2017-11-04T00:00:00"/>
    <n v="105000"/>
    <s v="Dra. Lilia Magallanes"/>
    <s v="liliamagallanes2010@gmail.com"/>
    <s v="Calle Güigüe Nro. 88-51"/>
    <s v="Cancelación Vigilancia, meses de Agosto, Septiembre y Octubre/2017"/>
    <x v="0"/>
    <m/>
    <s v="00650"/>
    <s v="04 de noviembre de 2017"/>
    <x v="12"/>
    <s v="105.000,00"/>
    <s v="Ciento Cinco Mil Bolívares con 00/100"/>
  </r>
  <r>
    <n v="651"/>
    <m/>
    <s v="ü"/>
    <d v="2017-11-08T00:00:00"/>
    <n v="35000"/>
    <s v="Familia Hatem Medina"/>
    <s v="hhatem1@hotmail.com"/>
    <s v="Calle Guacara Nro. 88-51"/>
    <s v="Cancelación Vigilancia, mes de Octubre y anticipo mes de Noviembre/2017: transferencia y contra factura"/>
    <x v="0"/>
    <m/>
    <s v="00651"/>
    <s v="08 de noviembre de 2017"/>
    <x v="12"/>
    <s v="35.000,00"/>
    <s v="Treinta y Cinco Mil Bolívares con 00/100"/>
  </r>
  <r>
    <n v="652"/>
    <m/>
    <s v="ü"/>
    <d v="2017-11-07T00:00:00"/>
    <n v="50000"/>
    <s v="Familia Del Negro Palermo"/>
    <s v="vdelnegro@gmail.com"/>
    <s v="Calle Guacara Nro. 88-45"/>
    <s v="Cancelación Vigilancia, mes de Noviembre/2017 (saldo a favor: Bs. 20.000)"/>
    <x v="0"/>
    <m/>
    <s v="00652"/>
    <s v="07 de noviembre de 2017"/>
    <x v="12"/>
    <s v="50.000,00"/>
    <s v="Cincuenta Mil Bolívares con 00/100"/>
  </r>
  <r>
    <n v="653"/>
    <m/>
    <s v="ü"/>
    <d v="2017-11-07T00:00:00"/>
    <n v="50000"/>
    <s v="Ely Saúl Rivero Gómez, C.I 18.448.557"/>
    <s v="hhs.admon@gmail.com"/>
    <s v="Av. &quot;Ñ&quot; Nro. 145-25"/>
    <s v="Cancelación Vigilancia, mes de Noviembre/2017 (saldo a favor: Bs. 115.000)"/>
    <x v="0"/>
    <m/>
    <s v="00653"/>
    <s v="07 de noviembre de 2017"/>
    <x v="12"/>
    <s v="50.000,00"/>
    <s v="Cincuenta Mil Bolívares con 00/100"/>
  </r>
  <r>
    <n v="654"/>
    <m/>
    <s v="ü"/>
    <d v="2017-11-08T00:00:00"/>
    <n v="50000"/>
    <s v="Familia Arcia Polanco"/>
    <s v="misipo29@gmail.com"/>
    <s v="Calle Guacara Nro. 89-20"/>
    <s v="Cancelación Vigilancia, mes de Noviembre/2017"/>
    <x v="0"/>
    <m/>
    <s v="00654"/>
    <s v="08 de noviembre de 2017"/>
    <x v="12"/>
    <s v="50.000,00"/>
    <s v="Cincuenta Mil Bolívares con 00/100"/>
  </r>
  <r>
    <n v="655"/>
    <m/>
    <s v="ü"/>
    <d v="2017-11-10T00:00:00"/>
    <n v="30000"/>
    <s v="Héctor Hernández"/>
    <s v="eof64@hotmail.com"/>
    <s v="Calle Guacara Nro. 89-94"/>
    <s v="Colaboración Vigilancia, mes de Noviembre/2017"/>
    <x v="0"/>
    <m/>
    <s v="00655"/>
    <s v="10 de noviembre de 2017"/>
    <x v="12"/>
    <s v="30.000,00"/>
    <s v="Treinta Mil Bolívares con 00/100"/>
  </r>
  <r>
    <n v="656"/>
    <m/>
    <s v="ü"/>
    <d v="2017-11-09T00:00:00"/>
    <n v="50000"/>
    <s v="Familia Acosta"/>
    <s v="pablo962@hotmail.com"/>
    <s v="Calle Güigüe Nro. 89-10"/>
    <s v="Cancelación Vigilancia, mes de Noviembre/2017"/>
    <x v="0"/>
    <m/>
    <s v="00656"/>
    <s v="09 de noviembre de 2017"/>
    <x v="12"/>
    <s v="50.000,00"/>
    <s v="Cincuenta Mil Bolívares con 00/100"/>
  </r>
  <r>
    <n v="657"/>
    <m/>
    <s v="ü"/>
    <d v="2017-11-09T00:00:00"/>
    <n v="85000"/>
    <s v="Familia Kattar"/>
    <s v="jagiak123@yahoo.es"/>
    <s v="Calle Güigüe Nro. 89-95"/>
    <s v="Cancelación Vigilancia, meses de Octubre y Noviembre/2017"/>
    <x v="0"/>
    <m/>
    <s v="00657"/>
    <s v="09 de noviembre de 2017"/>
    <x v="12"/>
    <s v="85.000,00"/>
    <s v="Ochenta y Cinco Mil Bolívares con 00/100"/>
  </r>
  <r>
    <n v="658"/>
    <m/>
    <s v="ü"/>
    <d v="2017-11-10T00:00:00"/>
    <n v="135000"/>
    <s v="Wu Hung Fung"/>
    <s v="carolinahung24@gmail.com"/>
    <s v="Calle Guacara Nro. 90-81"/>
    <s v="Cancelación Vigilancia, meses de Octubre, Noviembre y Diciembre/2017"/>
    <x v="0"/>
    <m/>
    <s v="00658"/>
    <s v="10 de noviembre de 2017"/>
    <x v="12"/>
    <s v="135.000,00"/>
    <s v="Ciento Treinta y Cinco Mil Bolívares con 00/100"/>
  </r>
  <r>
    <n v="659"/>
    <m/>
    <s v="ü"/>
    <d v="2017-11-10T00:00:00"/>
    <n v="35000"/>
    <s v="Chin Chun Ya (Goya)"/>
    <s v="uc2721@gmail.com"/>
    <s v="Calle Guacara Nro. 87-86"/>
    <s v="Colaboración Vigilancia, mes de Noviembre/2017"/>
    <x v="0"/>
    <m/>
    <s v="00659"/>
    <s v="10 de noviembre de 2017"/>
    <x v="12"/>
    <s v="35.000,00"/>
    <s v="Treinta y Cinco Mil Bolívares con 00/100"/>
  </r>
  <r>
    <n v="660"/>
    <m/>
    <s v="ü"/>
    <d v="2017-11-11T00:00:00"/>
    <n v="120000"/>
    <s v="Familia Piñero Padilla"/>
    <s v="achepaul2005@hotmail.com"/>
    <s v="Calle Güigüe Nro. 89-21"/>
    <s v="Cancelación Vigilancia, meses de Septiembre, Octubre y Noviembre/2017"/>
    <x v="0"/>
    <m/>
    <s v="00660"/>
    <s v="11 de noviembre de 2017"/>
    <x v="12"/>
    <s v="120.000,00"/>
    <s v="Ciento Veinte Mil Bolívares con 00/100"/>
  </r>
  <r>
    <n v="661"/>
    <m/>
    <s v="ü"/>
    <d v="2017-11-11T00:00:00"/>
    <n v="50000"/>
    <s v="Familia Fermín Rivas"/>
    <s v="angelferminb@gmail.com"/>
    <s v="Calle Güigüe Nro. 89-55"/>
    <s v="Cancelación Vigilancia, mes de Noviembre/2017"/>
    <x v="0"/>
    <m/>
    <s v="00661"/>
    <s v="11 de noviembre de 2017"/>
    <x v="12"/>
    <s v="50.000,00"/>
    <s v="Cincuenta Mil Bolívares con 00/100"/>
  </r>
  <r>
    <n v="662"/>
    <m/>
    <s v="ü"/>
    <d v="2017-11-12T00:00:00"/>
    <n v="85000"/>
    <s v="Familia López Hermoso"/>
    <s v="lopez.humberto14@yahoo.com.ve"/>
    <s v="Calle Güigüe Nro. 89-79"/>
    <s v="Cancelación Vigilancia, meses de Octubre y Noviembre/2017"/>
    <x v="0"/>
    <m/>
    <s v="00662"/>
    <s v="12 de noviembre de 2017"/>
    <x v="12"/>
    <s v="85.000,00"/>
    <s v="Ochenta y Cinco Mil Bolívares con 00/100"/>
  </r>
  <r>
    <n v="663"/>
    <m/>
    <s v="ü"/>
    <d v="2017-11-12T00:00:00"/>
    <n v="10000"/>
    <s v="Ma. de Jesus Alonso"/>
    <s v="marjoriealonsoh@hotmail.com"/>
    <s v="Calle Güigüe Nro. 88-30"/>
    <s v="Colaboración Vigilancia, mes de Noviembre/2017"/>
    <x v="0"/>
    <m/>
    <s v="00663"/>
    <s v="12 de noviembre de 2017"/>
    <x v="12"/>
    <s v="10.000,00"/>
    <s v="Diez Mil Bolívares con 00/100"/>
  </r>
  <r>
    <n v="664"/>
    <m/>
    <s v="ü"/>
    <d v="2017-11-14T00:00:00"/>
    <n v="50000"/>
    <s v="Familia Lomeña Agudo"/>
    <s v="claudialomena@hotmail.com"/>
    <s v="Calle Guacara Nro. 89-30"/>
    <s v="Cancelación Vigilancia, mes de Noviembre/2017"/>
    <x v="0"/>
    <m/>
    <s v="00664"/>
    <s v="14 de noviembre de 2017"/>
    <x v="12"/>
    <s v="50.000,00"/>
    <s v="Cincuenta Mil Bolívares con 00/100"/>
  </r>
  <r>
    <n v="665"/>
    <m/>
    <s v="ü"/>
    <d v="2017-11-13T00:00:00"/>
    <n v="20000"/>
    <s v="Victoria Francischiello"/>
    <s v="victoriafrancischiello@hotmail.com"/>
    <s v="Calle Guacara Nro. 88-25"/>
    <s v="Colaboración Vigilancia, mes de Octubre/2017"/>
    <x v="0"/>
    <m/>
    <s v="00665"/>
    <s v="13 de noviembre de 2017"/>
    <x v="12"/>
    <s v="20.000,00"/>
    <s v="Veinte Mil Bolívares con 00/100"/>
  </r>
  <r>
    <n v="666"/>
    <m/>
    <s v="ü"/>
    <d v="2017-11-09T00:00:00"/>
    <n v="35000"/>
    <s v="Familia Zavarce Pérez"/>
    <s v="En Físico"/>
    <s v="Calle Guacara Nro. 90-35"/>
    <s v="Cancelación Vigilancia, mes de Octubre/2017"/>
    <x v="0"/>
    <m/>
    <s v="00666"/>
    <s v="09 de noviembre de 2017"/>
    <x v="12"/>
    <s v="35.000,00"/>
    <s v="Treinta y Cinco Mil Bolívares con 00/100"/>
  </r>
  <r>
    <n v="667"/>
    <m/>
    <s v="ü"/>
    <d v="2017-11-14T00:00:00"/>
    <n v="85000"/>
    <s v="Ana de González"/>
    <s v="mikelnowak25@gmail.com"/>
    <s v="Av. &quot;O&quot; Nro. 146-17"/>
    <s v="Cancelación Vigilancia, meses de Octubre y Noviembre/2017"/>
    <x v="0"/>
    <m/>
    <s v="00667"/>
    <s v="14 de noviembre de 2017"/>
    <x v="12"/>
    <s v="85.000,00"/>
    <s v="Ochenta y Cinco Mil Bolívares con 00/100"/>
  </r>
  <r>
    <n v="668"/>
    <m/>
    <s v="ü"/>
    <d v="2017-11-14T00:00:00"/>
    <n v="35000"/>
    <s v="Familia Nava Gordon"/>
    <s v="maru_19_66@hotmail.com"/>
    <s v="Calle Guacara Nro. 89-78"/>
    <s v="Cancelación Vigilancia, mes de Octubre/2017"/>
    <x v="0"/>
    <m/>
    <s v="00668"/>
    <s v="14 de noviembre de 2017"/>
    <x v="12"/>
    <s v="35.000,00"/>
    <s v="Treinta y Cinco Mil Bolívares con 00/100"/>
  </r>
  <r>
    <n v="669"/>
    <m/>
    <s v="ü"/>
    <d v="2017-11-14T00:00:00"/>
    <n v="100000"/>
    <s v="Familia González Arévalo"/>
    <s v="feryenis@hotmail.com"/>
    <s v="Calle Guacara Nro. 89-86"/>
    <s v="Cancelación Vigilancia, meses de Noviembre y Diciembre/2017"/>
    <x v="0"/>
    <m/>
    <s v="00669"/>
    <s v="14 de noviembre de 2017"/>
    <x v="12"/>
    <s v="100.000,00"/>
    <s v="Cien Mil Bolívares con 00/100"/>
  </r>
  <r>
    <n v="670"/>
    <m/>
    <s v="ü"/>
    <d v="2017-11-15T00:00:00"/>
    <n v="15000"/>
    <s v="Familia Ferrer Bahri"/>
    <s v="bahrimariela@hotmail.com"/>
    <s v="Calle Güigüe Nro. 89-83"/>
    <s v="Cancelación saldo Vigilancia, mes de Noviembre/2017"/>
    <x v="0"/>
    <m/>
    <s v="00670"/>
    <s v="15 de noviembre de 2017"/>
    <x v="12"/>
    <s v="15.000,00"/>
    <s v="Quince Mil Bolívares con 00/100"/>
  </r>
  <r>
    <n v="671"/>
    <m/>
    <s v="ü"/>
    <d v="2017-11-15T00:00:00"/>
    <n v="185000"/>
    <s v="Familia Guerra Miret"/>
    <s v="antoniojguerrag@hotmail.com"/>
    <s v="Calle Güigüe Nro. 89-40"/>
    <s v="Cancelación Vigilancia, meses de Octubre, Noviembre ,Diciembre/2017 y mes de Enero/2018"/>
    <x v="0"/>
    <m/>
    <s v="00671"/>
    <s v="15 de noviembre de 2017"/>
    <x v="12"/>
    <s v="185.000,00"/>
    <s v="Ciento Ochenta y Cinco Mil Bolívares con 00/100"/>
  </r>
  <r>
    <n v="672"/>
    <m/>
    <s v="ü"/>
    <d v="2017-11-15T00:00:00"/>
    <n v="15000"/>
    <s v="Manuel Rodríguez"/>
    <s v="mrl58@hotmail.com"/>
    <s v="Calle Güigüe Nro. 89-29"/>
    <s v="Colaboración Vigilancia, mes de Noviembre/2017"/>
    <x v="0"/>
    <m/>
    <s v="00672"/>
    <s v="15 de noviembre de 2017"/>
    <x v="12"/>
    <s v="15.000,00"/>
    <s v="Quince Mil Bolívares con 00/100"/>
  </r>
  <r>
    <n v="673"/>
    <m/>
    <s v="ü"/>
    <d v="2017-11-10T00:00:00"/>
    <n v="15000"/>
    <s v="Familia Durvelle Serrano"/>
    <s v="sdurvelle@hotmail.com"/>
    <s v="Calle Guacara Nro. 89-60"/>
    <s v="Cancelación saldo Vigilancia, mes de Noviembre/2017"/>
    <x v="0"/>
    <m/>
    <s v="00673"/>
    <s v="10 de noviembre de 2017"/>
    <x v="12"/>
    <s v="15.000,00"/>
    <s v="Quince Mil Bolívares con 00/100"/>
  </r>
  <r>
    <n v="674"/>
    <m/>
    <s v="ü"/>
    <d v="2017-11-15T00:00:00"/>
    <n v="85000"/>
    <s v="Familia Milanés Carmona"/>
    <s v="yndira11m@gmail.com"/>
    <s v="Calle Güigüe Nro. 89-65"/>
    <s v="Cancelación Vigilancia, meses de Octubre y Noviembre/2017"/>
    <x v="0"/>
    <m/>
    <s v="00674"/>
    <s v="15 de noviembre de 2017"/>
    <x v="12"/>
    <s v="85.000,00"/>
    <s v="Ochenta y Cinco Mil Bolívares con 00/100"/>
  </r>
  <r>
    <n v="675"/>
    <m/>
    <s v="ü"/>
    <d v="2017-11-15T00:00:00"/>
    <n v="85000"/>
    <s v="Familia Manrique Riera"/>
    <s v="patriciamanrique@gmail.com"/>
    <s v="Calle Guacara Nro. 89-40"/>
    <s v="Cancelación Vigilancia, meses de Octubre y Noviembre/2017"/>
    <x v="0"/>
    <m/>
    <s v="00675"/>
    <s v="15 de noviembre de 2017"/>
    <x v="12"/>
    <s v="85.000,00"/>
    <s v="Ochenta y Cinco Mil Bolívares con 00/100"/>
  </r>
  <r>
    <n v="676"/>
    <m/>
    <s v="ü"/>
    <d v="2017-11-15T00:00:00"/>
    <n v="50000"/>
    <s v="Familia Puerta Burguillos"/>
    <s v="namaricakes@gmail.com"/>
    <s v="Calle Guacara Nro. 87-100"/>
    <s v="Cancelación Vigilancia, mes de Noviembre/2017"/>
    <x v="0"/>
    <m/>
    <s v="00676"/>
    <s v="15 de noviembre de 2017"/>
    <x v="12"/>
    <s v="50.000,00"/>
    <s v="Cincuenta Mil Bolívares con 00/100"/>
  </r>
  <r>
    <n v="677"/>
    <m/>
    <s v="ü"/>
    <d v="2017-11-16T00:00:00"/>
    <n v="54000"/>
    <s v="La Casita Encantada"/>
    <s v="En Físico"/>
    <s v="Av. &quot;M&quot; Nro. 146-30"/>
    <s v="Cancelación Vigilancia, mes de Noviembre/2017"/>
    <x v="0"/>
    <m/>
    <s v="00677"/>
    <s v="16 de noviembre de 2017"/>
    <x v="12"/>
    <s v="54.000,00"/>
    <s v="Cincuenta y Cuatro Mil Bolívares con 00/100"/>
  </r>
  <r>
    <n v="678"/>
    <m/>
    <s v="ü"/>
    <d v="2017-11-16T00:00:00"/>
    <n v="35000"/>
    <s v="Familia Navarrete Medina"/>
    <s v="juanin1919@yahoo.com"/>
    <s v="Calle Güigüe Nro. 89-22"/>
    <s v="Cancelación Vigilancia, mes de Octubre/2017"/>
    <x v="0"/>
    <m/>
    <s v="00678"/>
    <s v="16 de noviembre de 2017"/>
    <x v="12"/>
    <s v="35.000,00"/>
    <s v="Treinta y Cinco Mil Bolívares con 00/100"/>
  </r>
  <r>
    <n v="679"/>
    <m/>
    <s v="ü"/>
    <d v="2017-11-17T00:00:00"/>
    <n v="50000"/>
    <s v="Familia Díaz González"/>
    <s v="luisrdt57@gmail.com"/>
    <s v="Calle Güigüe Nro. 88-116"/>
    <s v="Cancelación Vigilancia, mes de Noviembre/2017"/>
    <x v="0"/>
    <m/>
    <s v="00679"/>
    <s v="17 de noviembre de 2017"/>
    <x v="12"/>
    <s v="50.000,00"/>
    <s v="Cincuenta Mil Bolívares con 00/100"/>
  </r>
  <r>
    <n v="680"/>
    <m/>
    <s v="ü"/>
    <d v="2017-11-17T00:00:00"/>
    <n v="50000"/>
    <s v="Familia Sayago Peñaranda"/>
    <s v="alexissayago@gmail.com"/>
    <s v="Calle Güigüe Nro. 89-04"/>
    <s v="Cancelación Vigilancia, mes de Noviembre/2017 (transferencia y Bs. 14.600 contra factura)"/>
    <x v="0"/>
    <m/>
    <s v="00680"/>
    <s v="17 de noviembre de 2017"/>
    <x v="12"/>
    <s v="50.000,00"/>
    <s v="Cincuenta Mil Bolívares con 00/100"/>
  </r>
  <r>
    <n v="681"/>
    <m/>
    <s v="ü"/>
    <d v="2017-11-17T00:00:00"/>
    <n v="50000"/>
    <s v="Amarilis Guerra"/>
    <s v="amarilisguerra1@yahoo.com"/>
    <s v="Calle Güigüe Nro. 89-96"/>
    <s v="Cancelación Vigilancia, mes de Noviembre/2017"/>
    <x v="0"/>
    <m/>
    <s v="00681"/>
    <s v="17 de noviembre de 2017"/>
    <x v="12"/>
    <s v="50.000,00"/>
    <s v="Cincuenta Mil Bolívares con 00/100"/>
  </r>
  <r>
    <n v="682"/>
    <m/>
    <s v="ü"/>
    <d v="2017-11-17T00:00:00"/>
    <n v="100000"/>
    <s v="Familia Hurtado"/>
    <s v="En Físico"/>
    <s v="Av. &quot;O&quot; Nro. 146-11"/>
    <s v="Cancelación Vigilancia, meses de Septiembre y Octubre/2017, y anticipo Vigilancia, mes de Noviembre/2017"/>
    <x v="0"/>
    <m/>
    <s v="00682"/>
    <s v="17 de noviembre de 2017"/>
    <x v="12"/>
    <s v="100.000,00"/>
    <s v="Cien Mil Bolívares con 00/100"/>
  </r>
  <r>
    <n v="683"/>
    <m/>
    <s v="ü"/>
    <d v="2017-11-17T00:00:00"/>
    <n v="40000"/>
    <s v="Familia Kabblan"/>
    <s v="norisjsb56@hotmail.com"/>
    <s v="Calle Güigüe Nro. 89-80"/>
    <s v="Colaboración Vigilancia, mes de Noviembre/2017"/>
    <x v="0"/>
    <m/>
    <s v="00683"/>
    <s v="17 de noviembre de 2017"/>
    <x v="12"/>
    <s v="40.000,00"/>
    <s v="Cuarenta Mil Bolívares con 00/100"/>
  </r>
  <r>
    <n v="684"/>
    <m/>
    <s v="ü"/>
    <d v="2017-11-19T00:00:00"/>
    <n v="35000"/>
    <s v="Familia Jiménez Navarro"/>
    <s v="joyasonline2012@gmail.com"/>
    <s v="Calle Güigüe Nro. 88-50"/>
    <s v="Cancelación Vigilancia, mes de Octubre/2017"/>
    <x v="0"/>
    <m/>
    <s v="00684"/>
    <s v="19 de noviembre de 2017"/>
    <x v="12"/>
    <s v="35.000,00"/>
    <s v="Treinta y Cinco Mil Bolívares con 00/100"/>
  </r>
  <r>
    <n v="685"/>
    <m/>
    <s v="ü"/>
    <d v="2017-11-19T00:00:00"/>
    <n v="50000"/>
    <s v="Familia Zavarce Pérez"/>
    <s v="En Físico"/>
    <s v="Calle Guacara Nro. 90-35"/>
    <s v="Cancelación Vigilancia, mes de Noviembre/2017"/>
    <x v="0"/>
    <m/>
    <s v="00685"/>
    <s v="19 de noviembre de 2017"/>
    <x v="12"/>
    <s v="50.000,00"/>
    <s v="Cincuenta Mil Bolívares con 00/100"/>
  </r>
  <r>
    <n v="686"/>
    <m/>
    <s v="ü"/>
    <d v="2017-11-20T00:00:00"/>
    <n v="50000"/>
    <s v="Familia Alonso Rojas"/>
    <s v="redjc01@gmail.com"/>
    <s v="Calle Güigüe Nro. 89-54"/>
    <s v="Cancelación Vigilancia, mes de Diciembre/2017"/>
    <x v="0"/>
    <m/>
    <s v="00686"/>
    <s v="20 de noviembre de 2017"/>
    <x v="12"/>
    <s v="50.000,00"/>
    <s v="Cincuenta Mil Bolívares con 00/100"/>
  </r>
  <r>
    <n v="687"/>
    <m/>
    <s v="ü"/>
    <d v="2017-11-20T00:00:00"/>
    <n v="40000"/>
    <s v="Familia Rivero"/>
    <s v="En Físico"/>
    <s v="Calle Güigüe Nro. 88-40"/>
    <s v="Colaboración Vigilancia, meses de Septiembre y Octubre/2017"/>
    <x v="0"/>
    <m/>
    <s v="00687"/>
    <s v="20 de noviembre de 2017"/>
    <x v="12"/>
    <s v="40.000,00"/>
    <s v="Cuarenta Mil Bolívares con 00/100"/>
  </r>
  <r>
    <n v="688"/>
    <m/>
    <s v="ü"/>
    <d v="2017-11-21T00:00:00"/>
    <n v="170000"/>
    <s v="Familia Cegarra Villamizar"/>
    <s v="jesus.villamizar.ra@gmail.com"/>
    <s v="Calle Guacara Nro. 88-35"/>
    <s v="Cancelación Vigilancia, meses de Septiembre, Octubre, Noviembre y Diciembre/2017"/>
    <x v="0"/>
    <m/>
    <s v="00688"/>
    <s v="21 de noviembre de 2017"/>
    <x v="12"/>
    <s v="170.000,00"/>
    <s v="Ciento Setenta Mil Bolívares con 00/100"/>
  </r>
  <r>
    <n v="689"/>
    <m/>
    <s v="ü"/>
    <d v="2017-11-22T00:00:00"/>
    <n v="30000"/>
    <s v="Familia Jiménez de Avila"/>
    <s v="meji2333@gmail.com"/>
    <s v="Calle Güigüe Nro. 89-116"/>
    <s v="Colaboración Vigilancia, mes de Noviembre/2017"/>
    <x v="0"/>
    <m/>
    <s v="00689"/>
    <s v="22 de noviembre de 2017"/>
    <x v="12"/>
    <s v="30.000,00"/>
    <s v="Treinta Mil Bolívares con 00/100"/>
  </r>
  <r>
    <n v="690"/>
    <m/>
    <s v="ü"/>
    <d v="2017-11-22T00:00:00"/>
    <n v="50000"/>
    <s v="Beatriz Lara"/>
    <s v="valentina.gutierrez@hotmail.com"/>
    <s v="Calle Guacara Nro. 89-130"/>
    <s v="Cancelación Vigilancia, mes de Noviembre/2017"/>
    <x v="0"/>
    <m/>
    <s v="00690"/>
    <s v="22 de noviembre de 2017"/>
    <x v="12"/>
    <s v="50.000,00"/>
    <s v="Cincuenta Mil Bolívares con 00/100"/>
  </r>
  <r>
    <n v="691"/>
    <m/>
    <s v="ü"/>
    <d v="2017-11-23T00:00:00"/>
    <n v="50000"/>
    <s v="Familia Montilla García"/>
    <s v="dairy252525@hotmail.com"/>
    <s v="Calle Güigüe Nro. 89-90"/>
    <s v="Cancelación Vigilancia, mes de Noviembre/2017"/>
    <x v="0"/>
    <m/>
    <s v="00691"/>
    <s v="23 de noviembre de 2017"/>
    <x v="12"/>
    <s v="50.000,00"/>
    <s v="Cincuenta Mil Bolívares con 00/100"/>
  </r>
  <r>
    <n v="692"/>
    <m/>
    <s v="ü"/>
    <d v="2017-11-28T00:00:00"/>
    <n v="65000"/>
    <s v="Familia Narváez Caldera"/>
    <s v="jeannette_nc@yahoo.com"/>
    <s v="Calle Güigüe Nro. 87-A-11"/>
    <s v="Cancelación Vigilancia, saldo mes de Noviembre y mes de Diciembre/2017"/>
    <x v="0"/>
    <m/>
    <s v="00692"/>
    <s v="28 de noviembre de 2017"/>
    <x v="12"/>
    <s v="65.000,00"/>
    <s v="Sesenta y Cinco Mil Bolívares con 00/100"/>
  </r>
  <r>
    <n v="693"/>
    <m/>
    <s v="ü"/>
    <d v="2017-11-28T00:00:00"/>
    <n v="100000"/>
    <s v="Familia Gascón Domínguez"/>
    <s v="vrgascon@gmail.com"/>
    <s v="Calle Güigüe Nro. 88-70"/>
    <s v="Cancelación Vigilancia, meses de Noviembre y Diciembre/2017"/>
    <x v="0"/>
    <m/>
    <s v="00693"/>
    <s v="28 de noviembre de 2017"/>
    <x v="12"/>
    <s v="100.000,00"/>
    <s v="Cien Mil Bolívares con 00/100"/>
  </r>
  <r>
    <n v="694"/>
    <m/>
    <s v="ü"/>
    <d v="2017-11-28T00:00:00"/>
    <n v="100000"/>
    <s v="Familia Hatem Medina"/>
    <s v="hhatem1@hotmail.com"/>
    <s v="Calle Guacara Nro. 88-51"/>
    <s v="Cancelación Vigilancia, saldo mes de Noviembre, mes de Diciembre/2017 y Anticipo Vigilancia, mes de Enero/2018 (Bs. 5.850)"/>
    <x v="0"/>
    <m/>
    <s v="00694"/>
    <s v="28 de noviembre de 2017"/>
    <x v="12"/>
    <s v="100.000,00"/>
    <s v="Cien Mil Bolívares con 00/100"/>
  </r>
  <r>
    <n v="695"/>
    <m/>
    <s v="ü"/>
    <d v="2017-11-29T00:00:00"/>
    <n v="50000"/>
    <s v="Familia Delgado Hidalgo"/>
    <s v="ardh@hotmail.com"/>
    <s v="Calle Güigüe Nro. 88-10"/>
    <s v="Cancelación Vigilancia, mes de Noviembre/2017"/>
    <x v="0"/>
    <m/>
    <s v="00695"/>
    <s v="29 de noviembre de 2017"/>
    <x v="12"/>
    <s v="50.000,00"/>
    <s v="Cincuenta Mil Bolívares con 00/100"/>
  </r>
  <r>
    <n v="696"/>
    <m/>
    <s v="ü"/>
    <d v="2017-12-03T00:00:00"/>
    <n v="100000"/>
    <s v="Familia Ferrer Bahri"/>
    <s v="bahrimariela@hotmail.com"/>
    <s v="Calle Güigüe Nro. 89-83"/>
    <s v="Cancelación Vigilancia, meses de Diciembre/2017 y Enero/2018"/>
    <x v="0"/>
    <m/>
    <s v="00696"/>
    <s v="03 de diciembre de 2017"/>
    <x v="13"/>
    <s v="100.000,00"/>
    <s v="Cien Mil Bolívares con 00/100"/>
  </r>
  <r>
    <n v="697"/>
    <m/>
    <s v="ü"/>
    <d v="2017-11-21T00:00:00"/>
    <n v="71000"/>
    <s v="Colegio El Trigal"/>
    <s v="En Físico"/>
    <s v="Calle Güigüe Nros. 88-71 y 88-81"/>
    <s v="Cancelación Vigilancia, mes de Noviembre/2017"/>
    <x v="0"/>
    <m/>
    <s v="00697"/>
    <s v="21 de noviembre de 2017"/>
    <x v="12"/>
    <s v="71.000,00"/>
    <s v="Setenta y Un Mil Bolívares con 00/100"/>
  </r>
  <r>
    <n v="698"/>
    <m/>
    <s v="ü"/>
    <d v="2017-12-04T00:00:00"/>
    <n v="50000"/>
    <s v="Familia Navarro Assing"/>
    <s v="liliaassing@gmail.com"/>
    <s v="Calle Güigüe Nro. 88-54"/>
    <s v="Cancelación Vigilancia, mes de Noviembre/2017"/>
    <x v="0"/>
    <m/>
    <s v="00698"/>
    <s v="04 de diciembre de 2017"/>
    <x v="13"/>
    <s v="50.000,00"/>
    <s v="Cincuenta Mil Bolívares con 00/100"/>
  </r>
  <r>
    <n v="699"/>
    <m/>
    <s v="ü"/>
    <d v="2017-12-04T00:00:00"/>
    <n v="32000"/>
    <s v="Familia Méndez Parra"/>
    <s v="briceidamp@hotmail.com"/>
    <s v="Calle Guacara Nro. 88-19"/>
    <s v="Colaboración Vigilancia, mes de Noviembre/2017"/>
    <x v="0"/>
    <m/>
    <s v="00699"/>
    <s v="04 de diciembre de 2017"/>
    <x v="13"/>
    <s v="32.000,00"/>
    <s v="Treinta y Dos Mil Bolívares con 00/100"/>
  </r>
  <r>
    <n v="700"/>
    <m/>
    <s v="ü"/>
    <d v="2017-12-04T00:00:00"/>
    <n v="18000"/>
    <s v="Familia Santos Carrillo"/>
    <s v="briceidamp@hotmail.com"/>
    <s v="Calle Guacara Nro. 90-93"/>
    <s v="Colaboración Vigilancia, mes de Noviembre/2017"/>
    <x v="0"/>
    <m/>
    <s v="00700"/>
    <s v="04 de diciembre de 2017"/>
    <x v="13"/>
    <s v="18.000,00"/>
    <s v="Dieciocho Mil Bolívares con 00/100"/>
  </r>
  <r>
    <n v="701"/>
    <m/>
    <s v="ü"/>
    <d v="2017-12-04T00:00:00"/>
    <n v="25000"/>
    <s v="Familia Morales Sesar"/>
    <s v="moralesesar@gmail.com"/>
    <s v="Calle Güigüe Nro. 89-120"/>
    <s v="Colaboración Vigilancia, mes de Octubre/2017"/>
    <x v="0"/>
    <m/>
    <s v="00701"/>
    <s v="04 de diciembre de 2017"/>
    <x v="13"/>
    <s v="25.000,00"/>
    <s v="Veinticinco Mil Bolívares con 00/100"/>
  </r>
  <r>
    <n v="702"/>
    <m/>
    <s v="ü"/>
    <d v="2017-12-04T00:00:00"/>
    <n v="100000"/>
    <s v="Familia Castro Jiménez"/>
    <s v="0426-543.4303"/>
    <s v="Calle Guacara Nro. 90-51"/>
    <s v="Cancelación Vigilancia, meses de Noviembre y Diciembre/2017"/>
    <x v="0"/>
    <m/>
    <s v="00702"/>
    <s v="04 de diciembre de 2017"/>
    <x v="13"/>
    <s v="100.000,00"/>
    <s v="Cien Mil Bolívares con 00/100"/>
  </r>
  <r>
    <n v="703"/>
    <m/>
    <s v="ü"/>
    <d v="2017-12-04T00:00:00"/>
    <n v="40000"/>
    <s v="Familia Jiménez Salvatierra"/>
    <s v="0414-582.8909"/>
    <s v="Calle Güigüe Nro. 89-45"/>
    <s v="Cancelación Vigilancia, saldo mes de Noviembre y anticipo mes de Diciembre/2017"/>
    <x v="0"/>
    <m/>
    <s v="00703"/>
    <s v="04 de diciembre de 2017"/>
    <x v="13"/>
    <s v="40.000,00"/>
    <s v="Cuarenta Mil Bolívares con 00/100"/>
  </r>
  <r>
    <n v="704"/>
    <m/>
    <s v="ü"/>
    <d v="2017-12-04T00:00:00"/>
    <n v="50000"/>
    <s v="Familia Castillo Mena"/>
    <s v="emmecas@hotmail.com"/>
    <s v="Calle Güigüe Nro. 88-101"/>
    <s v="Cancelación Vigilancia, mes de Noviembre/2017"/>
    <x v="0"/>
    <m/>
    <s v="00704"/>
    <s v="04 de diciembre de 2017"/>
    <x v="13"/>
    <s v="50.000,00"/>
    <s v="Cincuenta Mil Bolívares con 00/100"/>
  </r>
  <r>
    <n v="705"/>
    <m/>
    <s v="ü"/>
    <d v="2017-12-05T00:00:00"/>
    <n v="50000"/>
    <s v="Familia Milanés Carmona"/>
    <s v="yndira11m@gmail.com"/>
    <s v="Calle Güigüe Nro. 89-65"/>
    <s v="Cancelación Vigilancia, mes de Diciembre/2017"/>
    <x v="0"/>
    <m/>
    <s v="00705"/>
    <s v="05 de diciembre de 2017"/>
    <x v="13"/>
    <s v="50.000,00"/>
    <s v="Cincuenta Mil Bolívares con 00/100"/>
  </r>
  <r>
    <n v="706"/>
    <m/>
    <s v="ü"/>
    <d v="2017-12-05T00:00:00"/>
    <n v="50000"/>
    <s v="Familia Del Negro Palermo"/>
    <s v="vdelnegro@gmail.com"/>
    <s v="Calle Guacara Nro. 88-45"/>
    <s v="Cancelación Vigilancia, mes de Diciembre/2017 (saldo a favor: Bs. 600.000)"/>
    <x v="0"/>
    <m/>
    <s v="00706"/>
    <s v="05 de diciembre de 2017"/>
    <x v="13"/>
    <s v="50.000,00"/>
    <s v="Cincuenta Mil Bolívares con 00/100"/>
  </r>
  <r>
    <n v="707"/>
    <m/>
    <s v="ü"/>
    <d v="2017-12-05T00:00:00"/>
    <n v="50000"/>
    <s v="Ely Saúl Rivero Gómez, C.I 18.448.557"/>
    <s v="hhs.admon@gmail.com"/>
    <s v="Av. &quot;Ñ&quot; Nro. 145-25"/>
    <s v="Cancelación Vigilancia, mes de Diciembre/2017 (saldo a favor: Bs. 65.000)"/>
    <x v="0"/>
    <m/>
    <s v="00707"/>
    <s v="05 de diciembre de 2017"/>
    <x v="13"/>
    <s v="50.000,00"/>
    <s v="Cincuenta Mil Bolívares con 00/100"/>
  </r>
  <r>
    <n v="708"/>
    <m/>
    <s v="ü"/>
    <d v="2017-12-05T00:00:00"/>
    <n v="35000"/>
    <s v="Chin Chun Ya (Goya)"/>
    <s v="uc2721@gmail.com"/>
    <s v="Calle Guacara Nro. 87-86"/>
    <s v="Colaboración Vigilancia, mes de Diciembre/2017"/>
    <x v="0"/>
    <m/>
    <s v="00708"/>
    <s v="05 de diciembre de 2017"/>
    <x v="13"/>
    <s v="35.000,00"/>
    <s v="Treinta y Cinco Mil Bolívares con 00/100"/>
  </r>
  <r>
    <n v="709"/>
    <m/>
    <s v="ü"/>
    <d v="2017-12-05T00:00:00"/>
    <n v="50000"/>
    <s v="Familia Arcia Polanco"/>
    <s v="misipo29@gmail.com"/>
    <s v="Calle Guacara Nro. 89-20"/>
    <s v="Cancelación Vigilancia, mes de Diciembre/2017"/>
    <x v="0"/>
    <m/>
    <s v="00709"/>
    <s v="05 de diciembre de 2017"/>
    <x v="13"/>
    <s v="50.000,00"/>
    <s v="Cincuenta Mil Bolívares con 00/100"/>
  </r>
  <r>
    <n v="710"/>
    <m/>
    <s v="ü"/>
    <d v="2017-12-05T00:00:00"/>
    <n v="50000"/>
    <s v="Familia Durvelle Serrano"/>
    <s v="sdurvelle@hotmail.com"/>
    <s v="Calle Guacara Nro. 89-60"/>
    <s v="Cancelación Vigilancia, mes de Diciembre/2017"/>
    <x v="0"/>
    <m/>
    <s v="00710"/>
    <s v="05 de diciembre de 2017"/>
    <x v="13"/>
    <s v="50.000,00"/>
    <s v="Cincuenta Mil Bolívares con 00/100"/>
  </r>
  <r>
    <n v="711"/>
    <m/>
    <s v="ü"/>
    <d v="2017-12-05T00:00:00"/>
    <n v="30000"/>
    <s v="Héctor Hernández"/>
    <s v="eof64@hotmail.com"/>
    <s v="Calle Guacara Nro. 89-94"/>
    <s v="Colaboración Vigilancia, mes de Diciembre/2017"/>
    <x v="0"/>
    <m/>
    <s v="00711"/>
    <s v="05 de diciembre de 2017"/>
    <x v="13"/>
    <s v="30.000,00"/>
    <s v="Treinta Mil Bolívares con 00/100"/>
  </r>
  <r>
    <n v="712"/>
    <m/>
    <s v="ü"/>
    <d v="2017-12-05T00:00:00"/>
    <n v="84000"/>
    <s v="Familia Fernández Parés"/>
    <s v="vultecca@gmail.com"/>
    <s v="Calle Guacara Nro. 88-75"/>
    <s v="Cancelación saldo Vigilancia, mes de Octubre/2017 y anticipo del mes de Noviembre/2017"/>
    <x v="0"/>
    <m/>
    <s v="00712"/>
    <s v="05 de diciembre de 2017"/>
    <x v="13"/>
    <s v="84.000,00"/>
    <s v="Ochenta y Cuatro Mil Bolívares con 00/100"/>
  </r>
  <r>
    <n v="713"/>
    <m/>
    <s v="ü"/>
    <d v="2017-12-06T00:00:00"/>
    <n v="100000"/>
    <s v="Anahiz Seijas"/>
    <s v="anahiz_2@hotmail.es"/>
    <s v="Calle Güigüe Nro. 89-106"/>
    <s v="Cancelación Vigilancia, meses de Noviembre y Diciembre/2017"/>
    <x v="0"/>
    <m/>
    <s v="00713"/>
    <s v="06 de diciembre de 2017"/>
    <x v="13"/>
    <s v="100.000,00"/>
    <s v="Cien Mil Bolívares con 00/100"/>
  </r>
  <r>
    <n v="714"/>
    <m/>
    <s v="ü"/>
    <d v="2017-12-06T00:00:00"/>
    <n v="50000"/>
    <s v="Familia Sayago Peñaranda"/>
    <s v="alexissayago@gmail.com"/>
    <s v="Calle Güigüe Nro. 89-04"/>
    <s v="Cancelación Vigilancia, mes de Diciembre/2017 (transferencia y Bs. 15.200 contra factura)"/>
    <x v="0"/>
    <m/>
    <s v="00714"/>
    <s v="06 de diciembre de 2017"/>
    <x v="13"/>
    <s v="50.000,00"/>
    <s v="Cincuenta Mil Bolívares con 00/100"/>
  </r>
  <r>
    <n v="715"/>
    <m/>
    <s v="ü"/>
    <d v="2017-12-06T00:00:00"/>
    <n v="30000"/>
    <s v="Familia Rodríguez Aular"/>
    <s v="mvaular@hotmail.com"/>
    <s v="Calle Güigüe Nro. 88-58"/>
    <s v="Colaboración Vigilancia, mes de Noviembre/2017"/>
    <x v="0"/>
    <m/>
    <s v="00715"/>
    <s v="06 de diciembre de 2017"/>
    <x v="13"/>
    <s v="30.000,00"/>
    <s v="Treinta Mil Bolívares con 00/100"/>
  </r>
  <r>
    <n v="716"/>
    <m/>
    <s v="ü"/>
    <d v="2017-12-07T00:00:00"/>
    <n v="35000"/>
    <s v="Familia Martínez Boada"/>
    <s v="florcitakmz@gmail.com"/>
    <s v="Calle Güigüe Nro. 88-62"/>
    <s v="Cancelación Vigilancia, mes de Agosto/2017"/>
    <x v="0"/>
    <m/>
    <s v="00716"/>
    <s v="07 de diciembre de 2017"/>
    <x v="13"/>
    <s v="35.000,00"/>
    <s v="Treinta y Cinco Mil Bolívares con 00/100"/>
  </r>
  <r>
    <n v="717"/>
    <m/>
    <s v="ü"/>
    <d v="2017-12-06T00:00:00"/>
    <n v="120000"/>
    <s v="Zoraida Khair"/>
    <s v="zorakhair@hotmail.com"/>
    <s v="Calle Güigüe Nro. 88-80"/>
    <s v="Colaboración Vigilancia, meses de Octubre, Noviembre y Diciembre/2017"/>
    <x v="0"/>
    <m/>
    <s v="00717"/>
    <s v="06 de diciembre de 2017"/>
    <x v="13"/>
    <s v="120.000,00"/>
    <s v="Ciento Veinte Mil Bolívares con 00/100"/>
  </r>
  <r>
    <n v="718"/>
    <m/>
    <s v="ü"/>
    <d v="2017-12-06T00:00:00"/>
    <n v="100000"/>
    <s v="Franco Gómez"/>
    <s v="eof64@hotmail.com"/>
    <s v="Calle Guacara Nro. 87-07"/>
    <s v="Colaboración Vigilancia, meses de Septiembre, Octubre, Noviembre y Diciembre/2017"/>
    <x v="0"/>
    <m/>
    <s v="00718"/>
    <s v="06 de diciembre de 2017"/>
    <x v="13"/>
    <s v="100.000,00"/>
    <s v="Cien Mil Bolívares con 00/100"/>
  </r>
  <r>
    <n v="719"/>
    <m/>
    <s v="ü"/>
    <d v="2017-12-07T00:00:00"/>
    <n v="115000"/>
    <s v="Familia Loponte Arteaga"/>
    <s v="nancyloponte@hotmail.com"/>
    <s v="Calle Güigüe Nro. 88-120"/>
    <s v="Cancelación Vigilancia, saldo mes de Noviembre y meses de Diciembre/2017 y Enero/2018"/>
    <x v="0"/>
    <m/>
    <s v="00719"/>
    <s v="07 de diciembre de 2017"/>
    <x v="13"/>
    <s v="115.000,00"/>
    <s v="Ciento Quince Mil Bolívares con 00/100"/>
  </r>
  <r>
    <n v="720"/>
    <m/>
    <s v="ü"/>
    <d v="2017-12-07T00:00:00"/>
    <n v="50000"/>
    <s v="Familia Barreto Pérez"/>
    <s v="bbetsa19@hotmail.com"/>
    <s v="Av. &quot;M&quot; Nro. 146-15"/>
    <s v="Cancelación Vigilancia, mes de Noviembre/2017"/>
    <x v="0"/>
    <m/>
    <s v="00720"/>
    <s v="07 de diciembre de 2017"/>
    <x v="13"/>
    <s v="50.000,00"/>
    <s v="Cincuenta Mil Bolívares con 00/100"/>
  </r>
  <r>
    <n v="721"/>
    <m/>
    <s v="ü"/>
    <d v="2017-12-07T00:00:00"/>
    <n v="50000"/>
    <s v="Familia Colosso Delgado"/>
    <s v="mcolosso@gmail.com"/>
    <s v="Calle Güigüe Nro. 88-44"/>
    <s v="Cancelación Vigilancia, mes de Diciembre/2017"/>
    <x v="0"/>
    <m/>
    <s v="00721"/>
    <s v="07 de diciembre de 2017"/>
    <x v="13"/>
    <s v="50.000,00"/>
    <s v="Cincuenta Mil Bolívares con 00/100"/>
  </r>
  <r>
    <n v="722"/>
    <m/>
    <s v="ü"/>
    <d v="2017-12-08T00:00:00"/>
    <n v="54000"/>
    <s v="La Casita Encantada"/>
    <s v="En Físico"/>
    <s v="Av. &quot;M&quot; Nro. 146-30"/>
    <s v="Cancelación Vigilancia, mes de Diciembre/2017"/>
    <x v="0"/>
    <m/>
    <s v="00722"/>
    <s v="08 de diciembre de 2017"/>
    <x v="13"/>
    <s v="54.000,00"/>
    <s v="Cincuenta y Cuatro Mil Bolívares con 00/100"/>
  </r>
  <r>
    <n v="723"/>
    <m/>
    <s v="ü"/>
    <d v="2017-12-08T00:00:00"/>
    <n v="50000"/>
    <s v="Familia Lomeña Agudo"/>
    <s v="claudialomena@hotmail.com"/>
    <s v="Calle Guacara Nro. 89-30"/>
    <s v="Cancelación Vigilancia, mes de Diciembre/2017"/>
    <x v="0"/>
    <m/>
    <s v="00723"/>
    <s v="08 de diciembre de 2017"/>
    <x v="13"/>
    <s v="50.000,00"/>
    <s v="Cincuenta Mil Bolívares con 00/100"/>
  </r>
  <r>
    <n v="724"/>
    <m/>
    <s v="ü"/>
    <d v="2017-12-08T00:00:00"/>
    <n v="20000"/>
    <s v="Familia Santos Carrillo"/>
    <s v="briceidamp@hotmail.com"/>
    <s v="Calle Guacara Nro. 90-93"/>
    <s v="Colaboración Vigilancia, mes de Diciembre/2017"/>
    <x v="0"/>
    <m/>
    <s v="00724"/>
    <s v="08 de diciembre de 2017"/>
    <x v="13"/>
    <s v="20.000,00"/>
    <s v="Veinte Mil Bolívares con 00/100"/>
  </r>
  <r>
    <n v="725"/>
    <m/>
    <s v="ü"/>
    <d v="2017-12-12T00:00:00"/>
    <n v="71000"/>
    <s v="Colegio El Trigal"/>
    <s v="En Físico"/>
    <s v="Calle Güigüe Nros. 88-71 y 88-81"/>
    <s v="Cancelación Vigilancia, mes de Diciembre/2017"/>
    <x v="0"/>
    <m/>
    <s v="00725"/>
    <s v="12 de diciembre de 2017"/>
    <x v="13"/>
    <s v="71.000,00"/>
    <s v="Setenta y Un Mil Bolívares con 00/100"/>
  </r>
  <r>
    <n v="726"/>
    <m/>
    <s v="ü"/>
    <d v="2017-12-12T00:00:00"/>
    <n v="50000"/>
    <s v="Familia Puerta Burguillos"/>
    <s v="namaricakes@gmail.com"/>
    <s v="Calle Guacara Nro. 87-100"/>
    <s v="Cancelación Vigilancia, mes de Diciembre/2017"/>
    <x v="0"/>
    <m/>
    <s v="00726"/>
    <s v="12 de diciembre de 2017"/>
    <x v="13"/>
    <s v="50.000,00"/>
    <s v="Cincuenta Mil Bolívares con 00/100"/>
  </r>
  <r>
    <n v="727"/>
    <m/>
    <s v="ü"/>
    <d v="2017-12-12T00:00:00"/>
    <n v="40000"/>
    <s v="Familia Kabblan"/>
    <s v="norisjsb56@hotmail.com"/>
    <s v="Calle Güigüe Nro. 89-80"/>
    <s v="Colaboración Vigilancia, mes de Diciembre/2017"/>
    <x v="0"/>
    <m/>
    <s v="00727"/>
    <s v="12 de diciembre de 2017"/>
    <x v="13"/>
    <s v="40.000,00"/>
    <s v="Cuarenta Mil Bolívares con 00/100"/>
  </r>
  <r>
    <n v="728"/>
    <m/>
    <s v="ü"/>
    <d v="2017-12-13T00:00:00"/>
    <n v="50000"/>
    <s v="Familia Fermín Rivas"/>
    <s v="angelferminb@gmail.com"/>
    <s v="Calle Güigüe Nro. 89-55"/>
    <s v="Cancelación Vigilancia, mes de Diciembre/2017"/>
    <x v="0"/>
    <m/>
    <s v="00728"/>
    <s v="13 de diciembre de 2017"/>
    <x v="13"/>
    <s v="50.000,00"/>
    <s v="Cincuenta Mil Bolívares con 00/100"/>
  </r>
  <r>
    <n v="729"/>
    <m/>
    <s v="ü"/>
    <d v="2017-12-11T00:00:00"/>
    <n v="30000"/>
    <s v="Familia Machado Stoppa"/>
    <s v="machadoru@hotmail.com"/>
    <s v="Calle Guacara Nro. 88-85"/>
    <s v="Colaboración Vigilancia, mes de Octubre/2017"/>
    <x v="0"/>
    <m/>
    <s v="00729"/>
    <s v="11 de diciembre de 2017"/>
    <x v="13"/>
    <s v="30.000,00"/>
    <s v="Treinta Mil Bolívares con 00/100"/>
  </r>
  <r>
    <n v="730"/>
    <m/>
    <s v="ü"/>
    <d v="2017-12-11T00:00:00"/>
    <n v="40000"/>
    <s v="Familia Machado Stoppa"/>
    <s v="machadoru@hotmail.com"/>
    <s v="Calle Guacara Nro. 88-85"/>
    <s v="Colaboración Vigilancia, mes de Noviembre/2017"/>
    <x v="0"/>
    <m/>
    <s v="00730"/>
    <s v="11 de diciembre de 2017"/>
    <x v="13"/>
    <s v="40.000,00"/>
    <s v="Cuarenta Mil Bolívares con 00/100"/>
  </r>
  <r>
    <n v="731"/>
    <m/>
    <s v="ü"/>
    <d v="2017-12-10T00:00:00"/>
    <n v="85000"/>
    <s v="Familia Acosta"/>
    <s v="pablo962@hotmail.com"/>
    <s v="Calle Güigüe Nro. 89-10"/>
    <s v="Cancelación Vigilancia, meses de Octubre y Diciembre/2017"/>
    <x v="0"/>
    <m/>
    <s v="00731"/>
    <s v="10 de diciembre de 2017"/>
    <x v="13"/>
    <s v="85.000,00"/>
    <s v="Ochenta y Cinco Mil Bolívares con 00/100"/>
  </r>
  <r>
    <n v="732"/>
    <m/>
    <s v="ü"/>
    <d v="2017-12-13T00:00:00"/>
    <n v="50000"/>
    <s v="Familia Navarro Assing"/>
    <s v="liliaassing@gmail.com"/>
    <s v="Calle Güigüe Nro. 88-54"/>
    <s v="Cancelación Vigilancia, mes de Diciembre/2017"/>
    <x v="0"/>
    <m/>
    <s v="00732"/>
    <s v="13 de diciembre de 2017"/>
    <x v="13"/>
    <s v="50.000,00"/>
    <s v="Cincuenta Mil Bolívares con 00/100"/>
  </r>
  <r>
    <n v="733"/>
    <m/>
    <s v="ü"/>
    <d v="2017-12-15T00:00:00"/>
    <n v="100000"/>
    <s v="Familia Nava Gordon"/>
    <s v="maru_19_66@hotmail.com"/>
    <s v="Calle Guacara Nro. 89-78"/>
    <s v="Cancelación Vigilancia, meses de Noviembre y Diciembre/2017"/>
    <x v="0"/>
    <m/>
    <s v="00733"/>
    <s v="15 de diciembre de 2017"/>
    <x v="13"/>
    <s v="100.000,00"/>
    <s v="Cien Mil Bolívares con 00/100"/>
  </r>
  <r>
    <n v="734"/>
    <m/>
    <s v="ü"/>
    <d v="2017-10-11T00:00:00"/>
    <n v="35000"/>
    <s v="Familia Astor Zamora"/>
    <s v="imzastor@gmail.com"/>
    <s v="Calle Güigüe Nro. 88-111"/>
    <s v="Cancelación Vigilancia, mes de Agosto/2017"/>
    <x v="0"/>
    <m/>
    <s v="00734"/>
    <s v="11 de octubre de 2017"/>
    <x v="11"/>
    <s v="35.000,00"/>
    <s v="Treinta y Cinco Mil Bolívares con 00/100"/>
  </r>
  <r>
    <n v="735"/>
    <m/>
    <s v="ü"/>
    <d v="2017-07-07T00:00:00"/>
    <n v="3000"/>
    <s v="Ma. de Jesus Alonso"/>
    <s v="marjoriealonsoh@hotmail.com"/>
    <s v="Calle Güigüe Nro. 88-30"/>
    <s v="Colaboración Vigilancia, mes de Junio/2017"/>
    <x v="0"/>
    <m/>
    <s v="00735"/>
    <s v="07 de julio de 2017"/>
    <x v="8"/>
    <s v="3.000,00"/>
    <s v="Tres Mil Bolívares con 00/100"/>
  </r>
  <r>
    <n v="736"/>
    <m/>
    <s v="ü"/>
    <d v="2017-12-17T00:00:00"/>
    <n v="50000"/>
    <s v="Familia Díaz González"/>
    <s v="luisrdt57@gmail.com"/>
    <s v="Calle Güigüe Nro. 88-116"/>
    <s v="Cancelación Vigilancia, mes de Diciembre/2017"/>
    <x v="0"/>
    <m/>
    <s v="00736"/>
    <s v="17 de diciembre de 2017"/>
    <x v="13"/>
    <s v="50.000,00"/>
    <s v="Cincuenta Mil Bolívares con 00/100"/>
  </r>
  <r>
    <n v="737"/>
    <m/>
    <s v="ü"/>
    <d v="2017-12-18T00:00:00"/>
    <n v="50000"/>
    <s v="Familia Romero"/>
    <s v="autoescuela21@gmail.com"/>
    <s v="Calle Guacara Nro. 89-50"/>
    <s v="Cancelación Vigilancia, mes de Diciembre/2017"/>
    <x v="0"/>
    <m/>
    <s v="00737"/>
    <s v="18 de diciembre de 2017"/>
    <x v="13"/>
    <s v="50.000,00"/>
    <s v="Cincuenta Mil Bolívares con 00/100"/>
  </r>
  <r>
    <n v="738"/>
    <m/>
    <s v="ü"/>
    <d v="2017-12-19T00:00:00"/>
    <n v="60000"/>
    <s v="Gloria Molina"/>
    <s v="glomola2@yahoo.es"/>
    <s v="Calle Güigüe Nro. 89-71"/>
    <s v="Colaboración Vigilancia, meses de Octubre, Noviembre y Diciembre/2017"/>
    <x v="0"/>
    <m/>
    <s v="00738"/>
    <s v="19 de diciembre de 2017"/>
    <x v="13"/>
    <s v="60.000,00"/>
    <s v="Sesenta Mil Bolívares con 00/100"/>
  </r>
  <r>
    <n v="739"/>
    <m/>
    <s v="ü"/>
    <d v="2017-12-20T00:00:00"/>
    <n v="135000"/>
    <s v="Familia Ochoa Mendoza"/>
    <s v="marisoljudithm@hotmail.com"/>
    <s v="Calle Güigüe Nro. 89-105"/>
    <s v="Cancelación Vigilancia, meses de Octubre, Noviembre y Diciembre/2017"/>
    <x v="0"/>
    <m/>
    <s v="00739"/>
    <s v="20 de diciembre de 2017"/>
    <x v="13"/>
    <s v="135.000,00"/>
    <s v="Ciento Treinta y Cinco Mil Bolívares con 00/100"/>
  </r>
  <r>
    <n v="740"/>
    <m/>
    <s v="ü"/>
    <d v="2017-12-20T00:00:00"/>
    <n v="40000"/>
    <s v="Familia Machado Stoppa"/>
    <s v="machadoru@hotmail.com"/>
    <s v="Calle Guacara Nro. 88-85"/>
    <s v="Colaboración Vigilancia, mes de Diciembre/2017"/>
    <x v="0"/>
    <m/>
    <s v="00740"/>
    <s v="20 de diciembre de 2017"/>
    <x v="13"/>
    <s v="40.000,00"/>
    <s v="Cuarenta Mil Bolívares con 00/100"/>
  </r>
  <r>
    <n v="741"/>
    <m/>
    <s v="ü"/>
    <d v="2017-12-20T00:00:00"/>
    <n v="25000"/>
    <s v="Familia Jiménez Salvatierra"/>
    <s v="0414-582.8909"/>
    <s v="Calle Güigüe Nro. 89-45"/>
    <s v="Cancelación Vigilancia, saldo mes de Diciembre/2017"/>
    <x v="0"/>
    <m/>
    <s v="00741"/>
    <s v="20 de diciembre de 2017"/>
    <x v="13"/>
    <s v="25.000,00"/>
    <s v="Veinticinco Mil Bolívares con 00/100"/>
  </r>
  <r>
    <n v="742"/>
    <m/>
    <s v="ü"/>
    <d v="2017-12-22T00:00:00"/>
    <n v="17000"/>
    <s v="Manuel Rodríguez"/>
    <s v="mrl58@hotmail.com"/>
    <s v="Calle Güigüe Nro. 89-29"/>
    <s v="Colaboración Vigilancia, mes de Diciembre/2017"/>
    <x v="0"/>
    <m/>
    <s v="00742"/>
    <s v="22 de diciembre de 2017"/>
    <x v="13"/>
    <s v="17.000,00"/>
    <s v="Diecisiete Mil Bolívares con 00/100"/>
  </r>
  <r>
    <n v="743"/>
    <m/>
    <s v="ü"/>
    <d v="2017-12-22T00:00:00"/>
    <n v="15000"/>
    <s v="Victoria Francischiello"/>
    <s v="victoriafrancischiello@hotmail.com"/>
    <s v="Calle Guacara Nro. 88-25"/>
    <s v="Colaboración Vigilancia, mes de Noviembre/2017"/>
    <x v="0"/>
    <m/>
    <s v="00743"/>
    <s v="22 de diciembre de 2017"/>
    <x v="13"/>
    <s v="15.000,00"/>
    <s v="Quince Mil Bolívares con 00/100"/>
  </r>
  <r>
    <n v="744"/>
    <m/>
    <s v="ü"/>
    <d v="2017-12-23T00:00:00"/>
    <n v="100000"/>
    <s v="Familia Piñero Padilla"/>
    <s v="achepaul2005@hotmail.com"/>
    <s v="Calle Güigüe Nro. 89-21"/>
    <s v="Cancelación Vigilancia, meses de Diciembre/2017 y Enero/2018"/>
    <x v="0"/>
    <m/>
    <s v="00744"/>
    <s v="23 de diciembre de 2017"/>
    <x v="13"/>
    <s v="100.000,00"/>
    <s v="Cien Mil Bolívares con 00/100"/>
  </r>
  <r>
    <n v="745"/>
    <m/>
    <s v="ü"/>
    <d v="2017-12-26T00:00:00"/>
    <n v="100000"/>
    <s v="Familia Hurtado"/>
    <s v="En Físico"/>
    <s v="Av. &quot;O&quot; Nro. 146-11"/>
    <s v="Cancelación Vigilancia, ajuste mes de Noviembre, cancelación mes de Diciembre/2017 y anticipo mes de Enero/2018"/>
    <x v="0"/>
    <m/>
    <s v="00745"/>
    <s v="26 de diciembre de 2017"/>
    <x v="13"/>
    <s v="100.000,00"/>
    <s v="Cien Mil Bolívares con 00/100"/>
  </r>
  <r>
    <n v="746"/>
    <m/>
    <s v="ü"/>
    <d v="2017-12-26T00:00:00"/>
    <n v="50000"/>
    <s v="Beatriz Lara"/>
    <s v="valentina.gutierrez@hotmail.com"/>
    <s v="Calle Guacara Nro. 89-130"/>
    <s v="Cancelación Vigilancia, mes de Diciembre/2017"/>
    <x v="0"/>
    <m/>
    <s v="00746"/>
    <s v="26 de diciembre de 2017"/>
    <x v="13"/>
    <s v="50.000,00"/>
    <s v="Cincuenta Mil Bolívares con 00/100"/>
  </r>
  <r>
    <n v="747"/>
    <m/>
    <s v="ü"/>
    <d v="2017-12-23T00:00:00"/>
    <n v="50000"/>
    <s v="Familia Castillo Mena"/>
    <s v="emmecas@hotmail.com"/>
    <s v="Calle Güigüe Nro. 88-101"/>
    <s v="Cancelación Vigilancia, mes de Diciembre/2017"/>
    <x v="0"/>
    <m/>
    <s v="00747"/>
    <s v="23 de diciembre de 2017"/>
    <x v="13"/>
    <s v="50.000,00"/>
    <s v="Cincuenta Mil Bolívares con 00/100"/>
  </r>
  <r>
    <n v="748"/>
    <m/>
    <s v="ü"/>
    <d v="2017-12-26T00:00:00"/>
    <n v="20000"/>
    <s v="Familia Chávez Hernández"/>
    <s v="mercedesch23@hotmail.com"/>
    <s v="Calle Güigüe Nro. 88-20"/>
    <s v="Colaboración Vigilancia, meses de Noviembre y Diciembre/2017"/>
    <x v="0"/>
    <m/>
    <s v="00748"/>
    <s v="26 de diciembre de 2017"/>
    <x v="13"/>
    <s v="20.000,00"/>
    <s v="Veinte Mil Bolívares con 00/100"/>
  </r>
  <r>
    <n v="749"/>
    <m/>
    <s v="ü"/>
    <d v="2017-12-26T00:00:00"/>
    <n v="50000"/>
    <s v="Familia Alonso Rojas"/>
    <s v="redjc01@gmail.com"/>
    <s v="Calle Güigüe Nro. 89-54"/>
    <s v="Cancelación Vigilancia, mes de Enero/2018"/>
    <x v="0"/>
    <m/>
    <s v="00749"/>
    <s v="26 de diciembre de 2017"/>
    <x v="13"/>
    <s v="50.000,00"/>
    <s v="Cincuenta Mil Bolívares con 00/100"/>
  </r>
  <r>
    <n v="750"/>
    <m/>
    <s v="ü"/>
    <d v="2017-12-27T00:00:00"/>
    <n v="25000"/>
    <s v="Familia Rivero"/>
    <s v="En Físico"/>
    <s v="Calle Güigüe Nro. 88-40"/>
    <s v="Colaboración Vigilancia, mes de Noviembre/2017"/>
    <x v="0"/>
    <m/>
    <s v="00750"/>
    <s v="27 de diciembre de 2017"/>
    <x v="13"/>
    <s v="25.000,00"/>
    <s v="Veinticinco Mil Bolívares con 00/100"/>
  </r>
  <r>
    <n v="751"/>
    <m/>
    <s v="ü"/>
    <d v="2017-12-29T00:00:00"/>
    <n v="100000"/>
    <s v="Familia Scabuzzo Gómez"/>
    <s v="sfscabuzzo@msn.com"/>
    <s v="Av. &quot;I&quot; Nro. 146-20"/>
    <s v="Cancelación Vigilancia, meses de Noviembre y Diciembre/2017"/>
    <x v="0"/>
    <m/>
    <s v="00751"/>
    <s v="29 de diciembre de 2017"/>
    <x v="13"/>
    <s v="100.000,00"/>
    <s v="Cien Mil Bolívares con 00/100"/>
  </r>
  <r>
    <n v="752"/>
    <m/>
    <s v="ü"/>
    <d v="2018-01-02T00:00:00"/>
    <n v="30000"/>
    <s v="Héctor Hernández"/>
    <s v="eof64@hotmail.com"/>
    <s v="Calle Guacara Nro. 89-94"/>
    <s v="Colaboración Vigilancia, mes de Enero/2018"/>
    <x v="0"/>
    <m/>
    <s v="00752"/>
    <s v="02 de enero de 2018"/>
    <x v="14"/>
    <s v="30.000,00"/>
    <s v="Treinta Mil Bolívares con 00/100"/>
  </r>
  <r>
    <n v="753"/>
    <m/>
    <s v="ü"/>
    <d v="2018-01-02T00:00:00"/>
    <n v="30000"/>
    <s v="Familia Méndez Parra"/>
    <s v="briceidamp@hotmail.com"/>
    <s v="Calle Guacara Nro. 88-19"/>
    <s v="Colaboración Vigilancia, mes de Diciembre/2017"/>
    <x v="0"/>
    <m/>
    <s v="00753"/>
    <s v="02 de enero de 2018"/>
    <x v="14"/>
    <s v="30.000,00"/>
    <s v="Treinta Mil Bolívares con 00/100"/>
  </r>
  <r>
    <n v="754"/>
    <m/>
    <s v="ü"/>
    <d v="2018-01-04T00:00:00"/>
    <n v="45000"/>
    <s v="Victoria Francischiello"/>
    <s v="victoriafrancischiello@hotmail.com"/>
    <s v="Calle Guacara Nro. 88-25"/>
    <s v="Colaboración Vigilancia, mes de Diciembre/2017"/>
    <x v="0"/>
    <m/>
    <s v="00754"/>
    <s v="04 de enero de 2018"/>
    <x v="14"/>
    <s v="45.000,00"/>
    <s v="Cuarenta y Cinco Mil Bolívares con 00/100"/>
  </r>
  <r>
    <n v="755"/>
    <m/>
    <s v="ü"/>
    <d v="2017-12-29T00:00:00"/>
    <n v="50000"/>
    <s v="Familia Durvelle Serrano"/>
    <s v="sdurvelle@hotmail.com"/>
    <s v="Calle Guacara Nro. 89-60"/>
    <s v="Anticipo Vigilancia, mes de Enero/2018"/>
    <x v="0"/>
    <m/>
    <s v="00755"/>
    <s v="29 de diciembre de 2017"/>
    <x v="13"/>
    <s v="50.000,00"/>
    <s v="Cincuenta Mil Bolívares con 00/100"/>
  </r>
  <r>
    <n v="756"/>
    <m/>
    <s v="ü"/>
    <d v="2018-01-07T00:00:00"/>
    <n v="50000"/>
    <s v="Familia Arcia Polanco"/>
    <s v="misipo29@gmail.com"/>
    <s v="Calle Guacara Nro. 89-20"/>
    <s v="Anticipo Vigilancia, mes de Enero/2018"/>
    <x v="0"/>
    <m/>
    <s v="00756"/>
    <s v="07 de enero de 2018"/>
    <x v="14"/>
    <s v="50.000,00"/>
    <s v="Cincuenta Mil Bolívares con 00/100"/>
  </r>
  <r>
    <n v="757"/>
    <m/>
    <s v="ü"/>
    <d v="2018-01-10T00:00:00"/>
    <n v="50000"/>
    <s v="Familia López Hermoso"/>
    <s v="lopez.humberto14@yahoo.com.ve"/>
    <s v="Calle Güigüe Nro. 89-79"/>
    <s v="Cancelación Vigilancia, mes de Diciembre/2017"/>
    <x v="0"/>
    <m/>
    <s v="00757"/>
    <s v="10 de enero de 2018"/>
    <x v="14"/>
    <s v="50.000,00"/>
    <s v="Cincuenta Mil Bolívares con 00/100"/>
  </r>
  <r>
    <n v="758"/>
    <m/>
    <s v="ü"/>
    <d v="2018-01-10T00:00:00"/>
    <n v="30000"/>
    <s v="Familia Arcia Polanco"/>
    <s v="misipo29@gmail.com"/>
    <s v="Calle Guacara Nro. 89-20"/>
    <s v="Cancelación saldo Vigilancia, mes de Enero/2018"/>
    <x v="0"/>
    <m/>
    <s v="00758"/>
    <s v="10 de enero de 2018"/>
    <x v="14"/>
    <s v="30.000,00"/>
    <s v="Treinta Mil Bolívares con 00/100"/>
  </r>
  <r>
    <n v="759"/>
    <m/>
    <s v="ü"/>
    <d v="2018-01-10T00:00:00"/>
    <n v="30000"/>
    <s v="Familia Alonso Rojas"/>
    <s v="redjc01@gmail.com"/>
    <s v="Calle Güigüe Nro. 89-54"/>
    <s v="Cancelación saldo Vigilancia, mes de Enero/2018"/>
    <x v="0"/>
    <m/>
    <s v="00759"/>
    <s v="10 de enero de 2018"/>
    <x v="14"/>
    <s v="30.000,00"/>
    <s v="Treinta Mil Bolívares con 00/100"/>
  </r>
  <r>
    <n v="760"/>
    <m/>
    <s v="ü"/>
    <d v="2018-01-10T00:00:00"/>
    <n v="80000"/>
    <s v="Familia Del Negro Palermo"/>
    <s v="vdelnegro@gmail.com"/>
    <s v="Calle Guacara Nro. 88-45"/>
    <s v="Cancelación Vigilancia, mes de Enero/2018 (saldo a favor: Bs. 880.000)"/>
    <x v="0"/>
    <m/>
    <s v="00760"/>
    <s v="10 de enero de 2018"/>
    <x v="14"/>
    <s v="80.000,00"/>
    <s v="Ochenta Mil Bolívares con 00/100"/>
  </r>
  <r>
    <n v="761"/>
    <m/>
    <s v="ü"/>
    <d v="2018-01-10T00:00:00"/>
    <n v="50000"/>
    <s v="Familia Delgado Hidalgo"/>
    <s v="ardh@hotmail.com"/>
    <s v="Calle Güigüe Nro. 88-10"/>
    <s v="Cancelación Vigilancia, mes de Diciembre/2017"/>
    <x v="0"/>
    <m/>
    <s v="00761"/>
    <s v="10 de enero de 2018"/>
    <x v="14"/>
    <s v="50.000,00"/>
    <s v="Cincuenta Mil Bolívares con 00/100"/>
  </r>
  <r>
    <n v="762"/>
    <m/>
    <s v="ü"/>
    <d v="2018-01-10T00:00:00"/>
    <n v="130000"/>
    <s v="Familia Fernández Parés"/>
    <s v="vultecca@gmail.com"/>
    <s v="Calle Guacara Nro. 88-75"/>
    <s v="Cancelación Vigilancia, meses de Diciembre/2017 y Enero/2018"/>
    <x v="0"/>
    <m/>
    <s v="00762"/>
    <s v="10 de enero de 2018"/>
    <x v="14"/>
    <s v="130.000,00"/>
    <s v="Ciento Treinta Mil Bolívares con 00/100"/>
  </r>
  <r>
    <n v="763"/>
    <m/>
    <s v="ü"/>
    <d v="2018-01-10T00:00:00"/>
    <n v="80000"/>
    <s v="Familia Lomeña Agudo"/>
    <s v="claudialomena@hotmail.com"/>
    <s v="Calle Guacara Nro. 89-30"/>
    <s v="Cancelación Vigilancia, mes de Enero/2018"/>
    <x v="0"/>
    <m/>
    <s v="00763"/>
    <s v="10 de enero de 2018"/>
    <x v="14"/>
    <s v="80.000,00"/>
    <s v="Ochenta Mil Bolívares con 00/100"/>
  </r>
  <r>
    <n v="764"/>
    <m/>
    <s v="ü"/>
    <d v="2018-01-10T00:00:00"/>
    <n v="70000"/>
    <s v="Familia Il Grande Franceschi"/>
    <s v="arcifran75@hotmail.com"/>
    <s v="Av. &quot;I&quot; Nro. 146-40"/>
    <s v="Cancelación Vigilancia, mes de Noviembre y anticipo mes de Diciembre/2017 (Bs. 21.000)"/>
    <x v="0"/>
    <m/>
    <s v="00764"/>
    <s v="10 de enero de 2018"/>
    <x v="14"/>
    <s v="70.000,00"/>
    <s v="Setenta Mil Bolívares con 00/100"/>
  </r>
  <r>
    <n v="765"/>
    <m/>
    <s v="ü"/>
    <d v="2018-01-11T00:00:00"/>
    <n v="160000"/>
    <s v="Familia Hatem Medina"/>
    <s v="hhatem1@hotmail.com"/>
    <s v="Calle Guacara Nro. 88-51"/>
    <s v="Cancelación Vigilancia, saldo mes de Enero, y Anticipo Vigilancia meses de Febrero/2018 (Bs. 80.000) y Febrero/2018 (Bs. 5.850)"/>
    <x v="0"/>
    <m/>
    <s v="00765"/>
    <s v="11 de enero de 2018"/>
    <x v="14"/>
    <s v="160.000,00"/>
    <s v="Ciento Sesenta Mil Bolívares con 00/100"/>
  </r>
  <r>
    <n v="766"/>
    <m/>
    <s v="ü"/>
    <d v="2018-01-11T00:00:00"/>
    <n v="80000"/>
    <s v="Familia Sayago Peñaranda"/>
    <s v="alexissayago@gmail.com"/>
    <s v="Calle Güigüe Nro. 89-04"/>
    <s v="Cancelación Vigilancia, mes de Enero/2018"/>
    <x v="0"/>
    <m/>
    <s v="00766"/>
    <s v="11 de enero de 2018"/>
    <x v="14"/>
    <s v="80.000,00"/>
    <s v="Ochenta Mil Bolívares con 00/100"/>
  </r>
  <r>
    <n v="767"/>
    <m/>
    <s v="ü"/>
    <d v="2018-01-11T00:00:00"/>
    <n v="80000"/>
    <s v="Familia Flores Montagne"/>
    <s v="martaflores@gmail.com"/>
    <s v="Av. &quot;M&quot; Nro. 146-20"/>
    <s v="Cancelación Vigilancia, mes de Enero/2018"/>
    <x v="0"/>
    <m/>
    <s v="00767"/>
    <s v="11 de enero de 2018"/>
    <x v="14"/>
    <s v="80.000,00"/>
    <s v="Ochenta Mil Bolívares con 00/100"/>
  </r>
  <r>
    <n v="768"/>
    <m/>
    <s v="ü"/>
    <d v="2018-01-11T00:00:00"/>
    <n v="100000"/>
    <s v="Familia Jiménez Navarro"/>
    <s v="joyasonline2012@gmail.com"/>
    <s v="Calle Güigüe Nro. 88-50"/>
    <s v="Cancelación Vigilancia, meses de Noviembre y Diciembre/2017"/>
    <x v="0"/>
    <m/>
    <s v="00768"/>
    <s v="11 de enero de 2018"/>
    <x v="14"/>
    <s v="100.000,00"/>
    <s v="Cien Mil Bolívares con 00/100"/>
  </r>
  <r>
    <n v="769"/>
    <m/>
    <s v="ü"/>
    <d v="2018-01-11T00:00:00"/>
    <n v="80000"/>
    <s v="Familia Delgado Hidalgo"/>
    <s v="ardh@hotmail.com"/>
    <s v="Calle Güigüe Nro. 88-10"/>
    <s v="Cancelación Vigilancia, mes de Enero/2018"/>
    <x v="0"/>
    <m/>
    <s v="00769"/>
    <s v="11 de enero de 2018"/>
    <x v="14"/>
    <s v="80.000,00"/>
    <s v="Ochenta Mil Bolívares con 00/100"/>
  </r>
  <r>
    <n v="770"/>
    <m/>
    <s v="ü"/>
    <d v="2018-01-11T00:00:00"/>
    <n v="80000"/>
    <s v="Familia Narváez Caldera"/>
    <s v="jeannette_nc@yahoo.com"/>
    <s v="Calle Güigüe Nro. 87-A-11"/>
    <s v="Cancelación Vigilancia, mes de Enero/2018"/>
    <x v="0"/>
    <m/>
    <s v="00770"/>
    <s v="11 de enero de 2018"/>
    <x v="14"/>
    <s v="80.000,00"/>
    <s v="Ochenta Mil Bolívares con 00/100"/>
  </r>
  <r>
    <n v="771"/>
    <m/>
    <s v="ü"/>
    <d v="2018-01-11T00:00:00"/>
    <n v="80000"/>
    <s v="Familia Colosso Delgado"/>
    <s v="mcolosso@gmail.com"/>
    <s v="Calle Güigüe Nro. 88-44"/>
    <s v="Cancelación Vigilancia, mes de Enero/2018"/>
    <x v="0"/>
    <m/>
    <s v="00771"/>
    <s v="11 de enero de 2018"/>
    <x v="14"/>
    <s v="80.000,00"/>
    <s v="Ochenta Mil Bolívares con 00/100"/>
  </r>
  <r>
    <n v="772"/>
    <m/>
    <s v="ü"/>
    <d v="2018-01-12T00:00:00"/>
    <n v="160000"/>
    <s v="Familia González Arévalo"/>
    <s v="feryenis@hotmail.com"/>
    <s v="Calle Guacara Nro. 89-86"/>
    <s v="Cancelación Vigilancia, meses de Enero y Febrero/2018"/>
    <x v="0"/>
    <m/>
    <s v="00772"/>
    <s v="12 de enero de 2018"/>
    <x v="14"/>
    <s v="160.000,00"/>
    <s v="Ciento Sesenta Mil Bolívares con 00/100"/>
  </r>
  <r>
    <n v="773"/>
    <m/>
    <s v="ü"/>
    <d v="2018-01-13T00:00:00"/>
    <n v="80000"/>
    <s v="Beatriz Lara"/>
    <s v="valentina.gutierrez@hotmail.com"/>
    <s v="Calle Guacara Nro. 89-130"/>
    <s v="Cancelación Vigilancia, mes de Enero/2018"/>
    <x v="0"/>
    <m/>
    <s v="00773"/>
    <s v="13 de enero de 2018"/>
    <x v="14"/>
    <s v="80.000,00"/>
    <s v="Ochenta Mil Bolívares con 00/100"/>
  </r>
  <r>
    <n v="774"/>
    <m/>
    <s v="ü"/>
    <d v="2018-01-14T00:00:00"/>
    <n v="100000"/>
    <s v="Familia Romero"/>
    <s v="autoescuela21@gmail.com"/>
    <s v="Calle Guacara Nro. 89-50"/>
    <s v="Colaboración Vigilancia, meses de Enero y Febrero/2018"/>
    <x v="0"/>
    <m/>
    <s v="00774"/>
    <s v="14 de enero de 2018"/>
    <x v="14"/>
    <s v="100.000,00"/>
    <s v="Cien Mil Bolívares con 00/100"/>
  </r>
  <r>
    <n v="775"/>
    <m/>
    <s v="ü"/>
    <d v="2018-01-16T00:00:00"/>
    <n v="40000"/>
    <s v="Familia Rodríguez Aular"/>
    <s v="mvaular@hotmail.com"/>
    <s v="Calle Güigüe Nro. 88-58"/>
    <s v="Colaboración Vigilancia, mes de Enero/2018"/>
    <x v="0"/>
    <m/>
    <s v="00775"/>
    <s v="16 de enero de 2018"/>
    <x v="14"/>
    <s v="40.000,00"/>
    <s v="Cuarenta Mil Bolívares con 00/100"/>
  </r>
  <r>
    <n v="776"/>
    <m/>
    <s v="ü"/>
    <d v="2018-01-17T00:00:00"/>
    <n v="80000"/>
    <s v="Familia Díaz González"/>
    <s v="luisrdt57@gmail.com"/>
    <s v="Calle Güigüe Nro. 88-116"/>
    <s v="Cancelación Vigilancia, mes de Enero/2018"/>
    <x v="0"/>
    <m/>
    <s v="00776"/>
    <s v="17 de enero de 2018"/>
    <x v="14"/>
    <s v="80.000,00"/>
    <s v="Ochenta Mil Bolívares con 00/100"/>
  </r>
  <r>
    <n v="777"/>
    <m/>
    <s v="ü"/>
    <d v="2018-01-18T00:00:00"/>
    <n v="80000"/>
    <s v="Familia López Hermoso"/>
    <s v="lopez.humberto14@yahoo.com.ve"/>
    <s v="Calle Güigüe Nro. 89-79"/>
    <s v="Cancelación Vigilancia, mes de Enero/2018"/>
    <x v="0"/>
    <m/>
    <s v="00777"/>
    <s v="18 de enero de 2018"/>
    <x v="14"/>
    <s v="80.000,00"/>
    <s v="Ochenta Mil Bolívares con 00/100"/>
  </r>
  <r>
    <n v="778"/>
    <m/>
    <s v="ü"/>
    <d v="2018-01-18T00:00:00"/>
    <n v="40000"/>
    <s v="Manuel Rodríguez"/>
    <s v="mrl58@hotmail.com"/>
    <s v="Calle Güigüe Nro. 89-29"/>
    <s v="Colaboración Vigilancia, mes de Enero/2018"/>
    <x v="0"/>
    <m/>
    <s v="00778"/>
    <s v="18 de enero de 2018"/>
    <x v="14"/>
    <s v="40.000,00"/>
    <s v="Cuarenta Mil Bolívares con 00/100"/>
  </r>
  <r>
    <n v="779"/>
    <m/>
    <s v="ü"/>
    <d v="2018-01-18T00:00:00"/>
    <n v="80000"/>
    <s v="Familia Fermín Rivas"/>
    <s v="angelferminb@gmail.com"/>
    <s v="Calle Güigüe Nro. 89-55"/>
    <s v="Cancelación Vigilancia, mes de Enero/2018"/>
    <x v="0"/>
    <m/>
    <s v="00779"/>
    <s v="18 de enero de 2018"/>
    <x v="14"/>
    <s v="80.000,00"/>
    <s v="Ochenta Mil Bolívares con 00/100"/>
  </r>
  <r>
    <n v="780"/>
    <m/>
    <s v="ü"/>
    <d v="2018-01-18T00:00:00"/>
    <n v="100000"/>
    <s v="Familia Jiménez Salvatierra"/>
    <s v="En Físico"/>
    <s v="Calle Güigüe Nro. 89-45"/>
    <s v="Cancelación Vigilancia, mes de Enero y anticipo mes de Febrero/2018"/>
    <x v="0"/>
    <m/>
    <s v="00780"/>
    <s v="18 de enero de 2018"/>
    <x v="14"/>
    <s v="100.000,00"/>
    <s v="Cien Mil Bolívares con 00/100"/>
  </r>
  <r>
    <n v="781"/>
    <m/>
    <s v="ü"/>
    <d v="2018-01-18T00:00:00"/>
    <n v="80000"/>
    <s v="Familia Kabblan"/>
    <s v="norisjsb56@hotmail.com"/>
    <s v="Calle Güigüe Nro. 89-80"/>
    <s v="Cancelación Vigilancia, mes de Enero/2018"/>
    <x v="0"/>
    <m/>
    <s v="00781"/>
    <s v="18 de enero de 2018"/>
    <x v="14"/>
    <s v="80.000,00"/>
    <s v="Ochenta Mil Bolívares con 00/100"/>
  </r>
  <r>
    <n v="782"/>
    <m/>
    <s v="ü"/>
    <d v="2018-01-18T00:00:00"/>
    <n v="80000"/>
    <s v="Ely Saúl Rivero Gómez, C.I 18.448.557"/>
    <s v="hhs.admon@gmail.com"/>
    <s v="Av. &quot;Ñ&quot; Nro. 145-25"/>
    <s v="Cancelación Vigilancia, mes de Enero/2018 (saldo a favor: Bs. 945.000)"/>
    <x v="0"/>
    <m/>
    <s v="00782"/>
    <s v="18 de enero de 2018"/>
    <x v="14"/>
    <s v="80.000,00"/>
    <s v="Ochenta Mil Bolívares con 00/100"/>
  </r>
  <r>
    <n v="783"/>
    <m/>
    <s v="ü"/>
    <d v="2018-01-18T00:00:00"/>
    <n v="35000"/>
    <s v="Chin Chun Ya (Goya)"/>
    <s v="uc2721@gmail.com"/>
    <s v="Calle Guacara Nro. 87-86"/>
    <s v="Colaboración Vigilancia, mes de Enero/2018"/>
    <x v="0"/>
    <m/>
    <s v="00783"/>
    <s v="18 de enero de 2018"/>
    <x v="14"/>
    <s v="35.000,00"/>
    <s v="Treinta y Cinco Mil Bolívares con 00/100"/>
  </r>
  <r>
    <n v="784"/>
    <m/>
    <s v="ü"/>
    <d v="2018-01-18T00:00:00"/>
    <n v="80000"/>
    <s v="Familia Nava Gordon"/>
    <s v="maru_19_66@hotmail.com"/>
    <s v="Calle Guacara Nro. 89-78"/>
    <s v="Cancelación Vigilancia, mes de Enero/2018"/>
    <x v="0"/>
    <m/>
    <s v="00784"/>
    <s v="18 de enero de 2018"/>
    <x v="14"/>
    <s v="80.000,00"/>
    <s v="Ochenta Mil Bolívares con 00/100"/>
  </r>
  <r>
    <n v="785"/>
    <m/>
    <s v="ü"/>
    <d v="2018-01-18T00:00:00"/>
    <n v="80000"/>
    <s v="Wu Hung Fung"/>
    <s v="carolinahung24@gmail.com"/>
    <s v="Calle Guacara Nro. 90-81"/>
    <s v="Cancelación Vigilancia, mes de Enero/2018"/>
    <x v="0"/>
    <m/>
    <s v="00785"/>
    <s v="18 de enero de 2018"/>
    <x v="14"/>
    <s v="80.000,00"/>
    <s v="Ochenta Mil Bolívares con 00/100"/>
  </r>
  <r>
    <n v="786"/>
    <m/>
    <s v="ü"/>
    <d v="2018-01-19T00:00:00"/>
    <n v="80000"/>
    <s v="Familia Jiménez Navarro"/>
    <s v="joyasonline2012@gmail.com"/>
    <s v="Calle Güigüe Nro. 88-50"/>
    <s v="Cancelación Vigilancia, mes de Enero/2018"/>
    <x v="0"/>
    <m/>
    <s v="00786"/>
    <s v="19 de enero de 2018"/>
    <x v="14"/>
    <s v="80.000,00"/>
    <s v="Ochenta Mil Bolívares con 00/100"/>
  </r>
  <r>
    <n v="787"/>
    <m/>
    <s v="ü"/>
    <d v="2018-01-19T00:00:00"/>
    <n v="280000"/>
    <s v="Familia Ozar Rivero"/>
    <s v="vanessarivero81@hotmail.com"/>
    <s v="Calle Güigüe Nro. 88-06"/>
    <s v="Cancelación Vigilancia, meses de Octubre/2017 a Enero/2018 y anticipo Febrero/2018 (Bs. 65.000)"/>
    <x v="0"/>
    <m/>
    <s v="00787"/>
    <s v="19 de enero de 2018"/>
    <x v="14"/>
    <s v="280.000,00"/>
    <s v="Doscientos Ochenta Mil Bolívares con 00/100"/>
  </r>
  <r>
    <n v="788"/>
    <m/>
    <s v="ü"/>
    <d v="2018-01-19T00:00:00"/>
    <n v="40000"/>
    <s v="Familia Morales Sesar"/>
    <s v="moralesesar@gmail.com"/>
    <s v="Calle Güigüe Nro. 89-120"/>
    <s v="Colaboración Vigilancia, mes de Enero/2018"/>
    <x v="0"/>
    <m/>
    <s v="00788"/>
    <s v="19 de enero de 2018"/>
    <x v="14"/>
    <s v="40.000,00"/>
    <s v="Cuarenta Mil Bolívares con 00/100"/>
  </r>
  <r>
    <n v="789"/>
    <m/>
    <s v="ü"/>
    <d v="2018-01-22T00:00:00"/>
    <n v="80000"/>
    <s v="Familia Alonso Rojas"/>
    <s v="redjc01@gmail.com"/>
    <s v="Calle Güigüe Nro. 89-54"/>
    <s v="Cancelación Vigilancia, mes de Febrero/2018"/>
    <x v="0"/>
    <m/>
    <s v="00789"/>
    <s v="22 de enero de 2018"/>
    <x v="14"/>
    <s v="80.000,00"/>
    <s v="Ochenta Mil Bolívares con 00/100"/>
  </r>
  <r>
    <n v="790"/>
    <m/>
    <s v="ü"/>
    <d v="2018-01-22T00:00:00"/>
    <n v="80000"/>
    <s v="Familia Zavarce Pérez"/>
    <s v="En Físico"/>
    <s v="Calle Guacara Nro. 90-35"/>
    <s v="Cancelación Vigilancia, mes de Enero/2018"/>
    <x v="0"/>
    <m/>
    <s v="00790"/>
    <s v="22 de enero de 2018"/>
    <x v="14"/>
    <s v="80.000,00"/>
    <s v="Ochenta Mil Bolívares con 00/100"/>
  </r>
  <r>
    <n v="791"/>
    <m/>
    <s v="ü"/>
    <d v="2018-01-22T00:00:00"/>
    <n v="80000"/>
    <s v="Familia Milanés Carmona"/>
    <s v="yndira11m@gmail.com"/>
    <s v="Calle Güigüe Nro. 89-65"/>
    <s v="Cancelación Vigilancia, mes de Enero/2018"/>
    <x v="0"/>
    <m/>
    <s v="00791"/>
    <s v="22 de enero de 2018"/>
    <x v="14"/>
    <s v="80.000,00"/>
    <s v="Ochenta Mil Bolívares con 00/100"/>
  </r>
  <r>
    <n v="792"/>
    <m/>
    <s v="ü"/>
    <d v="2018-01-22T00:00:00"/>
    <n v="150000"/>
    <s v="Familia Durvelle Serrano"/>
    <s v="sdurvelle@hotmail.com"/>
    <s v="Calle Guacara Nro. 89-60"/>
    <s v="Cancelación Vigilancia, saldo mes de Enero, Febrero/2018 y colaboración adicional"/>
    <x v="0"/>
    <m/>
    <s v="00792"/>
    <s v="22 de enero de 2018"/>
    <x v="14"/>
    <s v="150.000,00"/>
    <s v="Ciento Cincuenta Mil Bolívares con 00/100"/>
  </r>
  <r>
    <n v="793"/>
    <m/>
    <s v="ü"/>
    <d v="2018-01-15T00:00:00"/>
    <n v="50000"/>
    <s v="Familia Zavarce Pérez"/>
    <s v="En Físico"/>
    <s v="Calle Guacara Nro. 90-35"/>
    <s v="Cancelación Vigilancia, mes de Diciembre/2017"/>
    <x v="0"/>
    <m/>
    <s v="00793"/>
    <s v="15 de enero de 2018"/>
    <x v="14"/>
    <s v="50.000,00"/>
    <s v="Cincuenta Mil Bolívares con 00/100"/>
  </r>
  <r>
    <n v="794"/>
    <m/>
    <s v="ü"/>
    <d v="2018-01-23T00:00:00"/>
    <n v="86400"/>
    <s v="La Casita Encantada"/>
    <s v="En Físico"/>
    <s v="Av. &quot;M&quot; Nro. 146-30"/>
    <s v="Cancelación Vigilancia, mes de Enero/2018"/>
    <x v="0"/>
    <m/>
    <s v="00794"/>
    <s v="23 de enero de 2018"/>
    <x v="14"/>
    <s v="86.400,00"/>
    <s v="Ochenta y Seis Mil Cuatrocientos Bolívares con 00/100"/>
  </r>
  <r>
    <n v="795"/>
    <m/>
    <s v="ü"/>
    <d v="2018-01-23T00:00:00"/>
    <n v="80000"/>
    <s v="Familia Navarro Assing"/>
    <s v="liliaassing@gmail.com"/>
    <s v="Calle Güigüe Nro. 88-54"/>
    <s v="Cancelación Vigilancia, mes de Enero/2018"/>
    <x v="0"/>
    <m/>
    <s v="00795"/>
    <s v="23 de enero de 2018"/>
    <x v="14"/>
    <s v="80.000,00"/>
    <s v="Ochenta Mil Bolívares con 00/100"/>
  </r>
  <r>
    <n v="796"/>
    <m/>
    <s v="ü"/>
    <d v="2018-01-24T00:00:00"/>
    <n v="50000"/>
    <s v="Familia Barreto Pérez"/>
    <s v="bbetsa19@hotmail.com"/>
    <s v="Av. &quot;M&quot; Nro. 146-15"/>
    <s v="Cancelación Vigilancia, mes de Diciembre/2017"/>
    <x v="0"/>
    <m/>
    <s v="00796"/>
    <s v="24 de enero de 2018"/>
    <x v="14"/>
    <s v="50.000,00"/>
    <s v="Cincuenta Mil Bolívares con 00/100"/>
  </r>
  <r>
    <n v="797"/>
    <m/>
    <s v="ü"/>
    <d v="2017-12-14T00:00:00"/>
    <n v="50000"/>
    <s v="Ana de González"/>
    <s v="mikelnowak25@gmail.com"/>
    <s v="Av. &quot;O&quot; Nro. 146-17"/>
    <s v="Cancelación Vigilancia, mes de Diciembre/2017"/>
    <x v="0"/>
    <m/>
    <s v="00797"/>
    <s v="14 de diciembre de 2017"/>
    <x v="13"/>
    <s v="50.000,00"/>
    <s v="Cincuenta Mil Bolívares con 00/100"/>
  </r>
  <r>
    <n v="798"/>
    <m/>
    <s v="ü"/>
    <d v="2018-01-23T00:00:00"/>
    <n v="80000"/>
    <s v="Ana de González"/>
    <s v="mikelnowak25@gmail.com"/>
    <s v="Av. &quot;O&quot; Nro. 146-17"/>
    <s v="Cancelación Vigilancia, mes de Enero/2018"/>
    <x v="0"/>
    <m/>
    <s v="00798"/>
    <s v="23 de enero de 2018"/>
    <x v="14"/>
    <s v="80.000,00"/>
    <s v="Ochenta Mil Bolívares con 00/100"/>
  </r>
  <r>
    <n v="799"/>
    <m/>
    <s v="ü"/>
    <d v="2018-01-24T00:00:00"/>
    <n v="130000"/>
    <s v="Familia Montilla García"/>
    <s v="dairy252525@hotmail.com"/>
    <s v="Calle Güigüe Nro. 89-90"/>
    <s v="Cancelación Vigilancia, meses de Diciembre/2017 y Enero/2018"/>
    <x v="0"/>
    <m/>
    <s v="00799"/>
    <s v="24 de enero de 2018"/>
    <x v="14"/>
    <s v="130.000,00"/>
    <s v="Ciento Treinta Mil Bolívares con 00/100"/>
  </r>
  <r>
    <n v="800"/>
    <m/>
    <s v="ü"/>
    <d v="2018-01-24T00:00:00"/>
    <n v="113600"/>
    <s v="Colegio El Trigal"/>
    <s v="En Físico"/>
    <s v="Calle Güigüe Nros. 88-71 y 88-81"/>
    <s v="Cancelación Vigilancia, mes de Enero/2018"/>
    <x v="0"/>
    <m/>
    <s v="00800"/>
    <s v="24 de enero de 2018"/>
    <x v="14"/>
    <s v="113.600,00"/>
    <s v="Ciento Trece Mil Seiscientos Bolívares con 00/100"/>
  </r>
  <r>
    <n v="801"/>
    <m/>
    <s v="ü"/>
    <d v="2018-01-24T00:00:00"/>
    <n v="160000"/>
    <s v="Familia Puerta Burguillos"/>
    <s v="namaricakes@gmail.com"/>
    <s v="Calle Guacara Nro. 87-100"/>
    <s v="Cancelación Vigilancia, meses de Enero y Febrero/2018"/>
    <x v="0"/>
    <m/>
    <s v="00801"/>
    <s v="24 de enero de 2018"/>
    <x v="14"/>
    <s v="160.000,00"/>
    <s v="Ciento Sesenta Mil Bolívares con 00/100"/>
  </r>
  <r>
    <n v="802"/>
    <m/>
    <s v="ü"/>
    <d v="2018-01-24T00:00:00"/>
    <n v="100000"/>
    <s v="Familia Matta Palomino"/>
    <s v="En Físico"/>
    <s v="Calle Güigüe Nro. 88-90"/>
    <s v="Cancelación Vigilancia, meses de Noviembre y Diciembre/2017"/>
    <x v="0"/>
    <m/>
    <s v="00802"/>
    <s v="24 de enero de 2018"/>
    <x v="14"/>
    <s v="100.000,00"/>
    <s v="Cien Mil Bolívares con 00/100"/>
  </r>
  <r>
    <n v="803"/>
    <m/>
    <s v="ü"/>
    <d v="2018-01-24T00:00:00"/>
    <n v="20000"/>
    <s v="Familia Santos Carrillo"/>
    <s v="briceidamp@hotmail.com"/>
    <s v="Calle Guacara Nro. 90-93"/>
    <s v="Colaboración Vigilancia, mes de Enero/2018"/>
    <x v="0"/>
    <m/>
    <s v="00803"/>
    <s v="24 de enero de 2018"/>
    <x v="14"/>
    <s v="20.000,00"/>
    <s v="Veinte Mil Bolívares con 00/100"/>
  </r>
  <r>
    <n v="804"/>
    <m/>
    <s v="ü"/>
    <d v="2018-01-24T00:00:00"/>
    <n v="50000"/>
    <s v="Familia Méndez Parra"/>
    <s v="briceidamp@hotmail.com"/>
    <s v="Calle Guacara Nro. 88-19"/>
    <s v="Colaboración Vigilancia, mes de Enero/2018"/>
    <x v="0"/>
    <m/>
    <s v="00804"/>
    <s v="24 de enero de 2018"/>
    <x v="14"/>
    <s v="50.000,00"/>
    <s v="Cincuenta Mil Bolívares con 00/100"/>
  </r>
  <r>
    <n v="805"/>
    <m/>
    <s v="ü"/>
    <d v="2018-01-23T00:00:00"/>
    <n v="30000"/>
    <s v="Familia Ferrer Bahri"/>
    <s v="bahrimariela@hotmail.com"/>
    <s v="Calle Güigüe Nro. 89-83"/>
    <s v="Cancelación saldo Vigilancia, mes de Enero/2018"/>
    <x v="0"/>
    <m/>
    <s v="00805"/>
    <s v="23 de enero de 2018"/>
    <x v="14"/>
    <s v="30.000,00"/>
    <s v="Treinta Mil Bolívares con 00/100"/>
  </r>
  <r>
    <n v="806"/>
    <m/>
    <s v="ü"/>
    <d v="2018-01-26T00:00:00"/>
    <n v="100000"/>
    <s v="Familia Hurtado"/>
    <s v="En Físico"/>
    <s v="Av. &quot;O&quot; Nro. 146-11"/>
    <s v="Cancelación Vigilancia, saldo mes de Enero y anticipo mes de Febrero/2018"/>
    <x v="0"/>
    <m/>
    <s v="00806"/>
    <s v="26 de enero de 2018"/>
    <x v="14"/>
    <s v="100.000,00"/>
    <s v="Cien Mil Bolívares con 00/100"/>
  </r>
  <r>
    <n v="807"/>
    <m/>
    <s v="ü"/>
    <d v="2018-01-27T00:00:00"/>
    <n v="80000"/>
    <s v="Amarilis Guerra"/>
    <s v="amarilisguerra1@yahoo.com"/>
    <s v="Calle Güigüe Nro. 89-96"/>
    <s v="Cancelación Vigilancia, mes de Enero/2018"/>
    <x v="0"/>
    <m/>
    <s v="00807"/>
    <s v="27 de enero de 2018"/>
    <x v="14"/>
    <s v="80.000,00"/>
    <s v="Ochenta Mil Bolívares con 00/100"/>
  </r>
  <r>
    <n v="808"/>
    <m/>
    <s v="ü"/>
    <d v="2018-01-29T00:00:00"/>
    <n v="110000"/>
    <s v="Familia Loponte Arteaga"/>
    <s v="nancyloponte@hotmail.com"/>
    <s v="Calle Güigüe Nro. 88-120"/>
    <s v="Cancelación Vigilancia, saldo mes de Enero y Febrero/2018"/>
    <x v="0"/>
    <m/>
    <s v="00808"/>
    <s v="29 de enero de 2018"/>
    <x v="14"/>
    <s v="110.000,00"/>
    <s v="Ciento Diez Mil Bolívares con 00/100"/>
  </r>
  <r>
    <n v="809"/>
    <m/>
    <s v="ü"/>
    <d v="2018-01-29T00:00:00"/>
    <n v="80000"/>
    <s v="Familia Castillo Mena"/>
    <s v="emmecas@hotmail.com"/>
    <s v="Calle Güigüe Nro. 88-101"/>
    <s v="Cancelación Vigilancia, mes de Enero/2018"/>
    <x v="0"/>
    <m/>
    <s v="00809"/>
    <s v="29 de enero de 2018"/>
    <x v="14"/>
    <s v="80.000,00"/>
    <s v="Ochenta Mil Bolívares con 00/100"/>
  </r>
  <r>
    <n v="810"/>
    <m/>
    <s v="ü"/>
    <d v="2018-01-30T00:00:00"/>
    <n v="20000"/>
    <s v="Familia Chávez Hernández"/>
    <s v="mercedesch23@hotmail.com"/>
    <s v="Calle Güigüe Nro. 88-20"/>
    <s v="Colaboración Vigilancia, meses de Enero y Febrero/2018"/>
    <x v="0"/>
    <m/>
    <s v="00810"/>
    <s v="30 de enero de 2018"/>
    <x v="14"/>
    <s v="20.000,00"/>
    <s v="Veinte Mil Bolívares con 00/100"/>
  </r>
  <r>
    <n v="811"/>
    <m/>
    <s v="ü"/>
    <d v="2018-01-28T00:00:00"/>
    <n v="40000"/>
    <s v="Familia Rodríguez Aular"/>
    <s v="mvaular@hotmail.com"/>
    <s v="Calle Güigüe Nro. 88-58"/>
    <s v="Colaboración Vigilancia, mes de Diciembre/2017"/>
    <x v="0"/>
    <m/>
    <s v="00811"/>
    <s v="28 de enero de 2018"/>
    <x v="14"/>
    <s v="40.000,00"/>
    <s v="Cuarenta Mil Bolívares con 00/100"/>
  </r>
  <r>
    <n v="812"/>
    <m/>
    <s v="ü"/>
    <d v="2018-02-01T00:00:00"/>
    <n v="210000"/>
    <s v="Familia Il Grande Franceschi"/>
    <s v="arcifran75@hotmail.com"/>
    <s v="Av. &quot;I&quot; Nro. 146-40"/>
    <s v="Cancelación Vigilancia, saldo Diciembre/2017 y meses de Enero y Febrero/2018"/>
    <x v="0"/>
    <m/>
    <s v="00812"/>
    <s v="01 de febrero de 2018"/>
    <x v="15"/>
    <s v="210.000,00"/>
    <s v="Doscientos Diez Mil Bolívares con 00/100"/>
  </r>
  <r>
    <n v="813"/>
    <m/>
    <s v="ü"/>
    <d v="2018-02-01T00:00:00"/>
    <n v="30000"/>
    <s v="Familia Rivero"/>
    <s v="En Físico"/>
    <s v="Calle Güigüe Nro. 88-40"/>
    <s v="Colaboración Vigilancia, mes de Diciembre/2017"/>
    <x v="0"/>
    <m/>
    <s v="00813"/>
    <s v="01 de febrero de 2018"/>
    <x v="15"/>
    <s v="30.000,00"/>
    <s v="Treinta Mil Bolívares con 00/100"/>
  </r>
  <r>
    <n v="814"/>
    <m/>
    <s v="ü"/>
    <d v="2018-02-01T00:00:00"/>
    <n v="270000"/>
    <s v="Familia Guerra Miret"/>
    <s v="antoniojguerrag@hotmail.com"/>
    <s v="Calle Güigüe Nro. 89-40"/>
    <s v="Cancelación Vigilancia, saldo Enero/2018 y meses de Febrero, Marzo y Abril/2018"/>
    <x v="0"/>
    <m/>
    <s v="00814"/>
    <s v="01 de febrero de 2018"/>
    <x v="15"/>
    <s v="270.000,00"/>
    <s v="Doscientos Setenta Mil Bolívares con 00/100"/>
  </r>
  <r>
    <n v="815"/>
    <m/>
    <s v="ü"/>
    <d v="2018-02-01T00:00:00"/>
    <n v="320000"/>
    <s v="Familia Cegarra Villamizar"/>
    <s v="jesus.villamizar.ra@gmail.com"/>
    <s v="Calle Guacara Nro. 88-35"/>
    <s v="Cancelación Vigilancia, meses de Enero, Febrero, Marzo y Abril/2018"/>
    <x v="0"/>
    <m/>
    <s v="00815"/>
    <s v="01 de febrero de 2018"/>
    <x v="15"/>
    <s v="320.000,00"/>
    <s v="Trescientos Veinte Mil Bolívares con 00/100"/>
  </r>
  <r>
    <n v="816"/>
    <m/>
    <s v="ü"/>
    <d v="2018-02-01T00:00:00"/>
    <n v="50000"/>
    <s v="Victoria Francischiello"/>
    <s v="victoriafrancischiello@hotmail.com"/>
    <s v="Calle Guacara Nro. 88-25"/>
    <s v="Colaboración Vigilancia, mes de Enero/2018"/>
    <x v="0"/>
    <m/>
    <s v="00816"/>
    <s v="01 de febrero de 2018"/>
    <x v="15"/>
    <s v="50.000,00"/>
    <s v="Cincuenta Mil Bolívares con 00/100"/>
  </r>
  <r>
    <n v="817"/>
    <m/>
    <s v="ü"/>
    <d v="2018-02-02T00:00:00"/>
    <n v="160000"/>
    <s v="Familia Castro Jiménez"/>
    <s v="0426-543.4303"/>
    <s v="Calle Guacara Nro. 90-51"/>
    <s v="Cancelación Vigilancia, meses de Enero y Febrero/2018"/>
    <x v="0"/>
    <m/>
    <s v="00817"/>
    <s v="02 de febrero de 2018"/>
    <x v="15"/>
    <s v="160.000,00"/>
    <s v="Ciento Sesenta Mil Bolívares con 00/100"/>
  </r>
  <r>
    <n v="818"/>
    <m/>
    <s v="ü"/>
    <d v="2018-02-02T00:00:00"/>
    <n v="160000"/>
    <s v="Familia Scabuzzo Gómez"/>
    <s v="sfscabuzzo@msn.com"/>
    <s v="Av. &quot;I&quot; Nro. 146-20"/>
    <s v="Cancelación Vigilancia, meses de Enero y Febrero/2018"/>
    <x v="0"/>
    <m/>
    <s v="00818"/>
    <s v="02 de febrero de 2018"/>
    <x v="15"/>
    <s v="160.000,00"/>
    <s v="Ciento Sesenta Mil Bolívares con 00/100"/>
  </r>
  <r>
    <n v="819"/>
    <m/>
    <s v="ü"/>
    <d v="2018-02-05T00:00:00"/>
    <n v="80000"/>
    <s v="Familia Ferrer Bahri"/>
    <s v="bahrimariela@hotmail.com"/>
    <s v="Calle Güigüe Nro. 89-83"/>
    <s v="Cancelación Vigilancia, mes de Febrero/2018"/>
    <x v="0"/>
    <m/>
    <s v="00819"/>
    <s v="05 de febrero de 2018"/>
    <x v="15"/>
    <s v="80.000,00"/>
    <s v="Ochenta Mil Bolívares con 00/100"/>
  </r>
  <r>
    <n v="820"/>
    <m/>
    <s v="ü"/>
    <d v="2018-02-05T00:00:00"/>
    <n v="80000"/>
    <s v="Familia Colosso Delgado"/>
    <s v="mcolosso@gmail.com"/>
    <s v="Calle Güigüe Nro. 88-44"/>
    <s v="Cancelación Vigilancia, mes de Febrero/2018"/>
    <x v="0"/>
    <m/>
    <s v="00820"/>
    <s v="05 de febrero de 2018"/>
    <x v="15"/>
    <s v="80.000,00"/>
    <s v="Ochenta Mil Bolívares con 00/100"/>
  </r>
  <r>
    <n v="821"/>
    <m/>
    <s v="ü"/>
    <d v="2018-02-05T00:00:00"/>
    <n v="80000"/>
    <s v="Familia Del Negro Palermo"/>
    <s v="vdelnegro@gmail.com"/>
    <s v="Calle Guacara Nro. 88-45"/>
    <s v="Cancelación Vigilancia, mes de Febrero/2018 (saldo a favor: Bs. 800.000)"/>
    <x v="0"/>
    <m/>
    <s v="00821"/>
    <s v="05 de febrero de 2018"/>
    <x v="15"/>
    <s v="80.000,00"/>
    <s v="Ochenta Mil Bolívares con 00/100"/>
  </r>
  <r>
    <n v="822"/>
    <m/>
    <s v="ü"/>
    <d v="2018-02-05T00:00:00"/>
    <n v="80000"/>
    <s v="Ely Saúl Rivero Gómez, C.I 18.448.557"/>
    <s v="hhs.admon@gmail.com"/>
    <s v="Av. &quot;Ñ&quot; Nro. 145-25"/>
    <s v="Cancelación Vigilancia, mes de Febrero/2018 (saldo a favor: Bs. 865.000)"/>
    <x v="0"/>
    <m/>
    <s v="00822"/>
    <s v="05 de febrero de 2018"/>
    <x v="15"/>
    <s v="80.000,00"/>
    <s v="Ochenta Mil Bolívares con 00/100"/>
  </r>
  <r>
    <n v="823"/>
    <m/>
    <s v="ü"/>
    <d v="2018-02-06T00:00:00"/>
    <n v="80000"/>
    <s v="Familia Fermín Rivas"/>
    <s v="angelferminb@gmail.com"/>
    <s v="Calle Güigüe Nro. 89-55"/>
    <s v="Cancelación Vigilancia, mes de Febrero/2018"/>
    <x v="0"/>
    <m/>
    <s v="00823"/>
    <s v="06 de febrero de 2018"/>
    <x v="15"/>
    <s v="80.000,00"/>
    <s v="Ochenta Mil Bolívares con 00/100"/>
  </r>
  <r>
    <n v="824"/>
    <m/>
    <s v="ü"/>
    <d v="2018-02-06T00:00:00"/>
    <n v="160000"/>
    <s v="Familia Jiménez Salvatierra"/>
    <s v="En Físico"/>
    <s v="Calle Güigüe Nro. 89-45"/>
    <s v="Cancelación Vigilancia, saldo mes de Febrero, mes de Marzo y anticipo mes de Abril/2018"/>
    <x v="0"/>
    <m/>
    <s v="00824"/>
    <s v="06 de febrero de 2018"/>
    <x v="15"/>
    <s v="160.000,00"/>
    <s v="Ciento Sesenta Mil Bolívares con 00/100"/>
  </r>
  <r>
    <n v="825"/>
    <m/>
    <s v="ü"/>
    <d v="2018-02-08T00:00:00"/>
    <n v="80000"/>
    <s v="Familia Montilla García"/>
    <s v="dairy252525@hotmail.com"/>
    <s v="Calle Güigüe Nro. 89-90"/>
    <s v="Cancelación Vigilancia, mes de Febrero/2018"/>
    <x v="0"/>
    <m/>
    <s v="00825"/>
    <s v="08 de febrero de 2018"/>
    <x v="15"/>
    <s v="80.000,00"/>
    <s v="Ochenta Mil Bolívares con 00/100"/>
  </r>
  <r>
    <n v="826"/>
    <m/>
    <s v="ü"/>
    <d v="2018-02-09T00:00:00"/>
    <n v="40000"/>
    <s v="Familia Morales Sesar"/>
    <s v="moralesesar@gmail.com"/>
    <s v="Calle Güigüe Nro. 89-120"/>
    <s v="Colaboración Vigilancia, mes de Febrero/2018"/>
    <x v="0"/>
    <m/>
    <s v="00826"/>
    <s v="09 de febrero de 2018"/>
    <x v="15"/>
    <s v="40.000,00"/>
    <s v="Cuarenta Mil Bolívares con 00/100"/>
  </r>
  <r>
    <n v="827"/>
    <m/>
    <s v="ü"/>
    <d v="2018-01-30T00:00:00"/>
    <n v="80000"/>
    <s v="Familia Acosta"/>
    <s v="pablo962@hotmail.com"/>
    <s v="Calle Güigüe Nro. 89-10"/>
    <s v="Cancelación Vigilancia, mes de Enero/2018"/>
    <x v="0"/>
    <m/>
    <s v="00827"/>
    <s v="30 de enero de 2018"/>
    <x v="14"/>
    <s v="80.000,00"/>
    <s v="Ochenta Mil Bolívares con 00/100"/>
  </r>
  <r>
    <n v="828"/>
    <m/>
    <s v="ü"/>
    <d v="2018-01-29T00:00:00"/>
    <n v="80000"/>
    <s v="Familia Gascón Domínguez"/>
    <s v="vrgascon@gmail.com"/>
    <s v="Calle Güigüe Nro. 88-70"/>
    <s v="Cancelación Vigilancia, mes de Enero/2018"/>
    <x v="0"/>
    <m/>
    <s v="00828"/>
    <s v="29 de enero de 2018"/>
    <x v="14"/>
    <s v="80.000,00"/>
    <s v="Ochenta Mil Bolívares con 00/100"/>
  </r>
  <r>
    <n v="829"/>
    <m/>
    <s v="ü"/>
    <d v="2018-02-08T00:00:00"/>
    <n v="80000"/>
    <s v="Familia Arcia Polanco"/>
    <s v="misipo29@gmail.com"/>
    <s v="Calle Guacara Nro. 89-20"/>
    <s v="Cancelación saldo Vigilancia, mes de Febrero/2018"/>
    <x v="0"/>
    <m/>
    <s v="00829"/>
    <s v="08 de febrero de 2018"/>
    <x v="15"/>
    <s v="80.000,00"/>
    <s v="Ochenta Mil Bolívares con 00/100"/>
  </r>
  <r>
    <n v="830"/>
    <m/>
    <s v="ü"/>
    <d v="2018-02-09T00:00:00"/>
    <n v="80000"/>
    <s v="Familia Lomeña Agudo"/>
    <s v="claudialomena@hotmail.com"/>
    <s v="Calle Guacara Nro. 89-30"/>
    <s v="Cancelación Vigilancia, mes de Febrero/2018"/>
    <x v="0"/>
    <m/>
    <s v="00830"/>
    <s v="09 de febrero de 2018"/>
    <x v="15"/>
    <s v="80.000,00"/>
    <s v="Ochenta Mil Bolívares con 00/100"/>
  </r>
  <r>
    <n v="831"/>
    <m/>
    <s v="ü"/>
    <d v="2018-02-09T00:00:00"/>
    <n v="280000"/>
    <s v="Familia Machado Stoppa"/>
    <s v="machadoru@hotmail.com"/>
    <s v="Calle Guacara Nro. 88-85"/>
    <s v="Colaboración Vigilancia, meses de Enero, Febrero, Marzo y Abril/2018"/>
    <x v="0"/>
    <m/>
    <s v="00831"/>
    <s v="09 de febrero de 2018"/>
    <x v="15"/>
    <s v="280.000,00"/>
    <s v="Doscientos Ochenta Mil Bolívares con 00/100"/>
  </r>
  <r>
    <n v="832"/>
    <m/>
    <s v="ü"/>
    <d v="2018-02-10T00:00:00"/>
    <n v="160000"/>
    <s v="Anahiz Seijas"/>
    <s v="anahiz_2@hotmail.es"/>
    <s v="Calle Güigüe Nro. 89-106"/>
    <s v="Cancelación Vigilancia, meses de Enero y Febrero/2018"/>
    <x v="0"/>
    <m/>
    <s v="00832"/>
    <s v="10 de febrero de 2018"/>
    <x v="15"/>
    <s v="160.000,00"/>
    <s v="Ciento Sesenta Mil Bolívares con 00/100"/>
  </r>
  <r>
    <n v="833"/>
    <m/>
    <s v="ü"/>
    <d v="2018-01-12T00:00:00"/>
    <n v="100000"/>
    <s v="Gloria Molina"/>
    <s v="glomola2@yahoo.es"/>
    <s v="Calle Güigüe Nro. 89-71"/>
    <s v="Colaboración Vigilancia, meses de Enero y Febrero/2018"/>
    <x v="0"/>
    <m/>
    <s v="00833"/>
    <s v="12 de enero de 2018"/>
    <x v="14"/>
    <s v="100.000,00"/>
    <s v="Cien Mil Bolívares con 00/100"/>
  </r>
  <r>
    <n v="834"/>
    <m/>
    <s v="ü"/>
    <d v="2018-01-14T00:00:00"/>
    <n v="80000"/>
    <s v="Familia Nava Gordon"/>
    <s v="maru_19_66@hotmail.com"/>
    <s v="Calle Guacara Nro. 89-78"/>
    <s v="Cancelación Vigilancia, mes de Febrero/2018"/>
    <x v="0"/>
    <m/>
    <s v="00834"/>
    <s v="14 de enero de 2018"/>
    <x v="14"/>
    <s v="80.000,00"/>
    <s v="Ochenta Mil Bolívares con 00/100"/>
  </r>
  <r>
    <n v="835"/>
    <m/>
    <s v="ü"/>
    <d v="2018-01-14T00:00:00"/>
    <n v="86400"/>
    <s v="La Casita Encantada"/>
    <s v="En Físico"/>
    <s v="Av. &quot;M&quot; Nro. 146-30"/>
    <s v="Cancelación Vigilancia, mes de Febrero/2018"/>
    <x v="0"/>
    <m/>
    <s v="00835"/>
    <s v="14 de enero de 2018"/>
    <x v="14"/>
    <s v="86.400,00"/>
    <s v="Ochenta y Seis Mil Cuatrocientos Bolívares con 00/100"/>
  </r>
  <r>
    <n v="836"/>
    <m/>
    <s v="ü"/>
    <d v="2018-02-15T00:00:00"/>
    <n v="113600"/>
    <s v="Colegio El Trigal"/>
    <s v="En Físico"/>
    <s v="Calle Güigüe Nros. 88-71 y 88-81"/>
    <s v="Cancelación Vigilancia, mes de Febrero/2018"/>
    <x v="0"/>
    <m/>
    <s v="00836"/>
    <s v="15 de febrero de 2018"/>
    <x v="15"/>
    <s v="113.600,00"/>
    <s v="Ciento Trece Mil Seiscientos Bolívares con 00/100"/>
  </r>
  <r>
    <n v="837"/>
    <m/>
    <s v="ü"/>
    <d v="2018-02-15T00:00:00"/>
    <n v="80000"/>
    <s v="Familia Narváez Caldera"/>
    <s v="jeannette_nc@yahoo.com"/>
    <s v="Calle Güigüe Nro. 87-A-11"/>
    <s v="Cancelación Vigilancia, mes de Febrero/2018"/>
    <x v="0"/>
    <m/>
    <s v="00837"/>
    <s v="15 de febrero de 2018"/>
    <x v="15"/>
    <s v="80.000,00"/>
    <s v="Ochenta Mil Bolívares con 00/100"/>
  </r>
  <r>
    <n v="838"/>
    <m/>
    <s v="ü"/>
    <d v="2018-02-15T00:00:00"/>
    <n v="80000"/>
    <s v="Familia Sayago Peñaranda"/>
    <s v="alexissayago@gmail.com"/>
    <s v="Calle Güigüe Nro. 89-04"/>
    <s v="Cancelación Vigilancia, mes de Febrero/2018"/>
    <x v="0"/>
    <m/>
    <s v="00838"/>
    <s v="15 de febrero de 2018"/>
    <x v="15"/>
    <s v="80.000,00"/>
    <s v="Ochenta Mil Bolívares con 00/100"/>
  </r>
  <r>
    <n v="839"/>
    <m/>
    <s v="ü"/>
    <d v="2018-02-16T00:00:00"/>
    <n v="80000"/>
    <s v="Beatriz Lara"/>
    <s v="valentina.gutierrez@hotmail.com"/>
    <s v="Calle Guacara Nro. 89-130"/>
    <s v="Cancelación Vigilancia, mes de Febrero/2018"/>
    <x v="0"/>
    <m/>
    <s v="00839"/>
    <s v="16 de febrero de 2018"/>
    <x v="15"/>
    <s v="80.000,00"/>
    <s v="Ochenta Mil Bolívares con 00/100"/>
  </r>
  <r>
    <n v="840"/>
    <m/>
    <s v="ü"/>
    <d v="2018-02-19T00:00:00"/>
    <n v="80000"/>
    <s v="Familia Acosta"/>
    <s v="pablo962@hotmail.com"/>
    <s v="Calle Güigüe Nro. 89-10"/>
    <s v="Cancelación Vigilancia, mes de Febrero/2018"/>
    <x v="0"/>
    <m/>
    <s v="00840"/>
    <s v="19 de febrero de 2018"/>
    <x v="15"/>
    <s v="80.000,00"/>
    <s v="Ochenta Mil Bolívares con 00/100"/>
  </r>
  <r>
    <n v="841"/>
    <m/>
    <s v="ü"/>
    <d v="2018-02-20T00:00:00"/>
    <n v="40000"/>
    <s v="Manuel Rodríguez"/>
    <s v="mrl58@hotmail.com"/>
    <s v="Calle Güigüe Nro. 89-29"/>
    <s v="Colaboración Vigilancia, mes de Febrero/2018"/>
    <x v="0"/>
    <m/>
    <s v="00841"/>
    <s v="20 de febrero de 2018"/>
    <x v="15"/>
    <s v="40.000,00"/>
    <s v="Cuarenta Mil Bolívares con 00/100"/>
  </r>
  <r>
    <n v="842"/>
    <m/>
    <s v="ü"/>
    <d v="2018-02-20T00:00:00"/>
    <n v="80000"/>
    <s v="Familia Díaz González"/>
    <s v="luisrdt57@gmail.com"/>
    <s v="Calle Güigüe Nro. 88-116"/>
    <s v="Cancelación Vigilancia, mes de Febrero/2018"/>
    <x v="0"/>
    <m/>
    <s v="00842"/>
    <s v="20 de febrero de 2018"/>
    <x v="15"/>
    <s v="80.000,00"/>
    <s v="Ochenta Mil Bolívares con 00/100"/>
  </r>
  <r>
    <n v="843"/>
    <m/>
    <s v="ü"/>
    <d v="2018-02-20T00:00:00"/>
    <n v="80000"/>
    <s v="Familia Navarro Assing"/>
    <s v="liliaassing@gmail.com"/>
    <s v="Calle Güigüe Nro. 88-54"/>
    <s v="Cancelación Vigilancia, mes de Febrero/2018"/>
    <x v="0"/>
    <m/>
    <s v="00843"/>
    <s v="20 de febrero de 2018"/>
    <x v="15"/>
    <s v="80.000,00"/>
    <s v="Ochenta Mil Bolívares con 00/100"/>
  </r>
  <r>
    <n v="844"/>
    <m/>
    <s v="ü"/>
    <d v="2018-02-20T00:00:00"/>
    <n v="50000"/>
    <s v="Familia Méndez Parra"/>
    <s v="briceidamp@hotmail.com"/>
    <s v="Calle Guacara Nro. 88-19"/>
    <s v="Colaboración Vigilancia, mes de Febrero/2018"/>
    <x v="0"/>
    <m/>
    <s v="00844"/>
    <s v="20 de febrero de 2018"/>
    <x v="15"/>
    <s v="50.000,00"/>
    <s v="Cincuenta Mil Bolívares con 00/100"/>
  </r>
  <r>
    <n v="845"/>
    <m/>
    <s v="ü"/>
    <d v="2018-02-20T00:00:00"/>
    <n v="20000"/>
    <s v="Familia Santos Carrillo"/>
    <s v="briceidamp@hotmail.com"/>
    <s v="Calle Guacara Nro. 90-93"/>
    <s v="Colaboración Vigilancia, mes de Febrero/2018"/>
    <x v="0"/>
    <m/>
    <s v="00845"/>
    <s v="20 de febrero de 2018"/>
    <x v="15"/>
    <s v="20.000,00"/>
    <s v="Veinte Mil Bolívares con 00/100"/>
  </r>
  <r>
    <n v="846"/>
    <m/>
    <s v="ü"/>
    <d v="2018-02-21T00:00:00"/>
    <n v="80000"/>
    <s v="Familia Rodríguez Aular"/>
    <s v="mvaular@hotmail.com"/>
    <s v="Calle Güigüe Nro. 88-58"/>
    <s v="Cancelación Vigilancia, mes de Febrero/2018"/>
    <x v="0"/>
    <m/>
    <s v="00846"/>
    <s v="21 de febrero de 2018"/>
    <x v="15"/>
    <s v="80.000,00"/>
    <s v="Ochenta Mil Bolívares con 00/100"/>
  </r>
  <r>
    <n v="847"/>
    <m/>
    <s v="ü"/>
    <d v="2018-02-22T00:00:00"/>
    <n v="150000"/>
    <s v="Familia Martínez Boada"/>
    <s v="florcitakmz@gmail.com"/>
    <s v="Calle Güigüe Nro. 88-62"/>
    <s v="Colaboración Vigilancia, meses de Enero y Febrero/2018"/>
    <x v="0"/>
    <m/>
    <s v="00847"/>
    <s v="22 de febrero de 2018"/>
    <x v="15"/>
    <s v="150.000,00"/>
    <s v="Ciento Cincuenta Mil Bolívares con 00/100"/>
  </r>
  <r>
    <n v="848"/>
    <m/>
    <s v="ü"/>
    <d v="2018-02-23T00:00:00"/>
    <n v="115000"/>
    <s v="Familia Fernández Parés"/>
    <s v="vultecca@gmail.com"/>
    <s v="Calle Guacara Nro. 88-75"/>
    <s v="Cancelación Vigilancia, mes de Febrero/2018"/>
    <x v="0"/>
    <m/>
    <s v="00848"/>
    <s v="23 de febrero de 2018"/>
    <x v="15"/>
    <s v="115.000,00"/>
    <s v="Ciento Quince Mil Bolívares con 00/100"/>
  </r>
  <r>
    <n v="849"/>
    <m/>
    <s v="ü"/>
    <d v="2018-02-24T00:00:00"/>
    <n v="240000"/>
    <s v="Familia Hatem Medina"/>
    <s v="hhatem1@hotmail.com"/>
    <s v="Calle Guacara Nro. 88-51"/>
    <s v="Cancelación Vigilancia, meses de Marzo, Abril y Mayo/2018 (saldo a favor: Bs. 5.850)"/>
    <x v="0"/>
    <m/>
    <s v="00849"/>
    <s v="24 de febrero de 2018"/>
    <x v="15"/>
    <s v="240.000,00"/>
    <s v="Doscientos Cuarenta Mil Bolívares con 00/100"/>
  </r>
  <r>
    <n v="850"/>
    <m/>
    <s v="ü"/>
    <d v="2018-02-24T00:00:00"/>
    <n v="80000"/>
    <s v="Familia López Hermoso"/>
    <s v="lopez.humberto14@yahoo.com.ve"/>
    <s v="Calle Güigüe Nro. 89-79"/>
    <s v="Cancelación Vigilancia, mes de Febrero/2018"/>
    <x v="0"/>
    <m/>
    <s v="00850"/>
    <s v="24 de febrero de 2018"/>
    <x v="15"/>
    <s v="80.000,00"/>
    <s v="Ochenta Mil Bolívares con 00/100"/>
  </r>
  <r>
    <n v="851"/>
    <m/>
    <s v="ü"/>
    <d v="2018-02-25T00:00:00"/>
    <n v="80000"/>
    <s v="Familia Jiménez Navarro"/>
    <s v="joyasonline2012@gmail.com"/>
    <s v="Calle Güigüe Nro. 88-50"/>
    <s v="Cancelación Vigilancia, mes de Febrero/2018"/>
    <x v="0"/>
    <m/>
    <s v="00851"/>
    <s v="25 de febrero de 2018"/>
    <x v="15"/>
    <s v="80.000,00"/>
    <s v="Ochenta Mil Bolívares con 00/100"/>
  </r>
  <r>
    <n v="852"/>
    <m/>
    <s v="ü"/>
    <d v="2018-02-25T00:00:00"/>
    <n v="80000"/>
    <s v="Familia Puerta Burguillos"/>
    <s v="namaricakes@gmail.com"/>
    <s v="Calle Guacara Nro. 87-100"/>
    <s v="Cancelación Vigilancia, mes de Marzo/2018"/>
    <x v="0"/>
    <m/>
    <s v="00852"/>
    <s v="25 de febrero de 2018"/>
    <x v="15"/>
    <s v="80.000,00"/>
    <s v="Ochenta Mil Bolívares con 00/100"/>
  </r>
  <r>
    <n v="853"/>
    <m/>
    <s v="ü"/>
    <d v="2018-02-26T00:00:00"/>
    <n v="80000"/>
    <s v="Familia Barreto Pérez"/>
    <s v="bbetsa19@hotmail.com"/>
    <s v="Av. &quot;M&quot; Nro. 146-15"/>
    <s v="Cancelación Vigilancia, mes de Enero/2018"/>
    <x v="0"/>
    <m/>
    <s v="00853"/>
    <s v="26 de febrero de 2018"/>
    <x v="15"/>
    <s v="80.000,00"/>
    <s v="Ochenta Mil Bolívares con 00/100"/>
  </r>
  <r>
    <n v="854"/>
    <m/>
    <s v="ü"/>
    <d v="2018-02-26T00:00:00"/>
    <n v="80000"/>
    <s v="Familia Kabblan"/>
    <s v="norisjsb56@hotmail.com"/>
    <s v="Calle Güigüe Nro. 89-80"/>
    <s v="Cancelación Vigilancia, mes de Febrero/2018"/>
    <x v="0"/>
    <m/>
    <s v="00854"/>
    <s v="26 de febrero de 2018"/>
    <x v="15"/>
    <s v="80.000,00"/>
    <s v="Ochenta Mil Bolívares con 00/100"/>
  </r>
  <r>
    <n v="855"/>
    <m/>
    <s v="ü"/>
    <d v="2018-02-26T00:00:00"/>
    <n v="260000"/>
    <s v="Familia Kattar"/>
    <s v="jagiak123@yahoo.es"/>
    <s v="Calle Güigüe Nro. 89-95"/>
    <s v="Cancelación Vigilancia, meses de Diciembre/2017, Enero, Febrero y anticipo de Marzo/2018"/>
    <x v="0"/>
    <m/>
    <s v="00855"/>
    <s v="26 de febrero de 2018"/>
    <x v="15"/>
    <s v="260.000,00"/>
    <s v="Doscientos Sesenta Mil Bolívares con 00/100"/>
  </r>
  <r>
    <n v="856"/>
    <m/>
    <s v="ü"/>
    <d v="2018-02-24T00:00:00"/>
    <n v="50000"/>
    <s v="Familia Romero"/>
    <s v="autoescuela21@gmail.com"/>
    <s v="Calle Guacara Nro. 89-50"/>
    <s v="Colaboración Vigilancia, mes de Marzo/2018"/>
    <x v="0"/>
    <m/>
    <s v="00856"/>
    <s v="24 de febrero de 2018"/>
    <x v="15"/>
    <s v="50.000,00"/>
    <s v="Cincuenta Mil Bolívares con 00/100"/>
  </r>
  <r>
    <n v="857"/>
    <m/>
    <s v="ü"/>
    <d v="2018-02-25T00:00:00"/>
    <n v="80000"/>
    <s v="Familia Costermani Terrer"/>
    <s v="claudiacostermani@hotmail.com"/>
    <s v="Calle Güigüe Nro. 88-11"/>
    <s v="Cancelación Vigilancia, mes de Febrero/2018"/>
    <x v="0"/>
    <m/>
    <s v="00857"/>
    <s v="25 de febrero de 2018"/>
    <x v="15"/>
    <s v="80.000,00"/>
    <s v="Ochenta Mil Bolívares con 00/100"/>
  </r>
  <r>
    <n v="858"/>
    <m/>
    <s v="ü"/>
    <d v="2018-02-26T00:00:00"/>
    <n v="100000"/>
    <s v="Wu Hung Fung"/>
    <s v="carolinahung24@gmail.com"/>
    <s v="Calle Guacara Nro. 90-81"/>
    <s v="Cancelación Vigilancia, mes de Febrero/2018"/>
    <x v="0"/>
    <m/>
    <s v="00858"/>
    <s v="26 de febrero de 2018"/>
    <x v="15"/>
    <s v="100.000,00"/>
    <s v="Cien Mil Bolívares con 00/100"/>
  </r>
  <r>
    <n v="859"/>
    <m/>
    <s v="ü"/>
    <d v="2018-01-22T00:00:00"/>
    <n v="12450"/>
    <s v="Familia Piñero Padilla"/>
    <s v="achepaul2005@hotmail.com"/>
    <s v="Calle Güigüe Nro. 89-21"/>
    <s v="Anticipo Vigilancia, mes de Enero/2018 (anticipo al Sr. Francisco en su primer día de trabajo)"/>
    <x v="0"/>
    <m/>
    <s v="00859"/>
    <s v="22 de enero de 2018"/>
    <x v="14"/>
    <s v="12.450,00"/>
    <s v="Doce Mil Cuatrocientos Cincuenta Bolívares con 00/100"/>
  </r>
  <r>
    <n v="860"/>
    <m/>
    <s v="ü"/>
    <d v="2018-02-26T00:00:00"/>
    <n v="100000"/>
    <s v="Familia Piñero Padilla"/>
    <s v="achepaul2005@hotmail.com"/>
    <s v="Calle Güigüe Nro. 89-21"/>
    <s v="Cancelación Vigilancia, saldo mes de Enero, Febrero y anticipo Marzo/2018"/>
    <x v="0"/>
    <m/>
    <s v="00860"/>
    <s v="26 de febrero de 2018"/>
    <x v="15"/>
    <s v="100.000,00"/>
    <s v="Cien Mil Bolívares con 00/100"/>
  </r>
  <r>
    <n v="861"/>
    <m/>
    <s v="ü"/>
    <d v="2018-02-27T00:00:00"/>
    <n v="160000"/>
    <s v="Familia Leung"/>
    <s v="En Físico"/>
    <s v="Calle Guacara Nro. 88-55"/>
    <s v="Cancelación Vigilancia, meses de Enero y Febrero/2018"/>
    <x v="0"/>
    <m/>
    <s v="00861"/>
    <s v="27 de febrero de 2018"/>
    <x v="15"/>
    <s v="160.000,00"/>
    <s v="Ciento Sesenta Mil Bolívares con 00/100"/>
  </r>
  <r>
    <n v="862"/>
    <m/>
    <s v="ü"/>
    <d v="2018-02-27T00:00:00"/>
    <n v="30000"/>
    <s v="Ma. de Jesus Alonso"/>
    <s v="marjoriealonsoh@hotmail.com"/>
    <s v="Calle Güigüe Nro. 88-30"/>
    <s v="Colaboración Vigilancia, meses de Diciembre/2017, Enero y Febrero/2018"/>
    <x v="0"/>
    <m/>
    <s v="00862"/>
    <s v="27 de febrero de 2018"/>
    <x v="15"/>
    <s v="30.000,00"/>
    <s v="Treinta Mil Bolívares con 00/100"/>
  </r>
  <r>
    <n v="863"/>
    <m/>
    <s v="ü"/>
    <d v="2018-02-27T00:00:00"/>
    <n v="80000"/>
    <s v="Familia Castillo Mena"/>
    <s v="emmecas@hotmail.com"/>
    <s v="Calle Güigüe Nro. 88-101"/>
    <s v="Cancelación Vigilancia, mes de Febrero/2018"/>
    <x v="0"/>
    <m/>
    <s v="00863"/>
    <s v="27 de febrero de 2018"/>
    <x v="15"/>
    <s v="80.000,00"/>
    <s v="Ochenta Mil Bolívares con 00/100"/>
  </r>
  <r>
    <n v="864"/>
    <m/>
    <s v="ü"/>
    <d v="2018-02-27T00:00:00"/>
    <n v="80000"/>
    <s v="Familia Gascón Domínguez"/>
    <s v="vrgascon@gmail.com"/>
    <s v="Calle Güigüe Nro. 88-70"/>
    <s v="Cancelación Vigilancia, mes de Febrero/2018"/>
    <x v="0"/>
    <m/>
    <s v="00864"/>
    <s v="27 de febrero de 2018"/>
    <x v="15"/>
    <s v="80.000,00"/>
    <s v="Ochenta Mil Bolívares con 00/100"/>
  </r>
  <r>
    <n v="865"/>
    <m/>
    <s v="ü"/>
    <d v="2018-02-28T00:00:00"/>
    <n v="200000"/>
    <s v="Familia Durvelle Serrano"/>
    <s v="sdurvelle@hotmail.com"/>
    <s v="Calle Guacara Nro. 89-60"/>
    <s v="Cancelación Vigilancia, mes de Marzo/2018 y aporte adicional"/>
    <x v="0"/>
    <m/>
    <s v="00865"/>
    <s v="28 de febrero de 2018"/>
    <x v="15"/>
    <s v="200.000,00"/>
    <s v="Doscientos Mil Bolívares con 00/100"/>
  </r>
  <r>
    <n v="866"/>
    <m/>
    <s v="ü"/>
    <d v="2018-02-28T00:00:00"/>
    <n v="80000"/>
    <s v="Amarilis Guerra"/>
    <s v="amarilisguerra1@yahoo.com"/>
    <s v="Calle Güigüe Nro. 89-96"/>
    <s v="Cancelación Vigilancia, mes de Febrero/2018"/>
    <x v="0"/>
    <m/>
    <s v="00866"/>
    <s v="28 de febrero de 2018"/>
    <x v="15"/>
    <s v="80.000,00"/>
    <s v="Ochenta Mil Bolívares con 00/100"/>
  </r>
  <r>
    <n v="867"/>
    <m/>
    <s v="ü"/>
    <d v="2018-02-28T00:00:00"/>
    <n v="180000"/>
    <s v="Familia Manrique Riera"/>
    <s v="patriciamanrique@gmail.com"/>
    <s v="Calle Guacara Nro. 89-40"/>
    <s v="Cancelación Vigilancia, meses de Enero y Febrero/2018"/>
    <x v="0"/>
    <m/>
    <s v="00867"/>
    <s v="28 de febrero de 2018"/>
    <x v="15"/>
    <s v="180.000,00"/>
    <s v="Ciento Ochenta Mil Bolívares con 00/100"/>
  </r>
  <r>
    <n v="868"/>
    <m/>
    <s v="ü"/>
    <d v="2018-02-28T00:00:00"/>
    <n v="160000"/>
    <s v="Familia Milanés Carmona"/>
    <s v="yndira11m@gmail.com"/>
    <s v="Calle Güigüe Nro. 89-65"/>
    <s v="Cancelación Vigilancia, meses de Febrero y Marzo/2018"/>
    <x v="0"/>
    <m/>
    <s v="00868"/>
    <s v="28 de febrero de 2018"/>
    <x v="15"/>
    <s v="160.000,00"/>
    <s v="Ciento Sesenta Mil Bolívares con 00/100"/>
  </r>
  <r>
    <n v="869"/>
    <m/>
    <s v="ü"/>
    <d v="2018-03-01T00:00:00"/>
    <n v="130000"/>
    <s v="Familia Lomeña Agudo"/>
    <s v="claudialomena@hotmail.com"/>
    <s v="Calle Guacara Nro. 89-30"/>
    <s v="Cancelación Vigilancia, anticipo mes de Marzo/2018"/>
    <x v="0"/>
    <m/>
    <s v="00869"/>
    <s v="01 de marzo de 2018"/>
    <x v="16"/>
    <s v="130.000,00"/>
    <s v="Ciento Treinta Mil Bolívares con 00/100"/>
  </r>
  <r>
    <n v="870"/>
    <m/>
    <s v="ü"/>
    <d v="2018-03-01T00:00:00"/>
    <n v="140000"/>
    <s v="Familia Alonso Rojas"/>
    <s v="redjc01@gmail.com"/>
    <s v="Calle Güigüe Nro. 89-54"/>
    <s v="Cancelación Vigilancia, mes de Marzo/2018"/>
    <x v="0"/>
    <m/>
    <s v="00870"/>
    <s v="01 de marzo de 2018"/>
    <x v="16"/>
    <s v="140.000,00"/>
    <s v="Ciento Cuarenta Mil Bolívares con 00/100"/>
  </r>
  <r>
    <n v="871"/>
    <m/>
    <s v="ü"/>
    <d v="2018-03-02T00:00:00"/>
    <n v="10000"/>
    <s v="Familia Lomeña Agudo"/>
    <s v="claudialomena@hotmail.com"/>
    <s v="Calle Guacara Nro. 89-30"/>
    <s v="Cancelación Vigilancia, saldo mes de Marzo/2018"/>
    <x v="0"/>
    <m/>
    <s v="00871"/>
    <s v="02 de marzo de 2018"/>
    <x v="16"/>
    <s v="10.000,00"/>
    <s v="Diez Mil Bolívares con 00/100"/>
  </r>
  <r>
    <n v="872"/>
    <m/>
    <s v="ü"/>
    <d v="2018-03-02T00:00:00"/>
    <n v="140000"/>
    <s v="Familia Ferrer Bahri"/>
    <s v="bahrimariela@hotmail.com"/>
    <s v="Calle Güigüe Nro. 89-83"/>
    <s v="Cancelación Vigilancia, mes de Marzo/2018"/>
    <x v="0"/>
    <m/>
    <s v="00872"/>
    <s v="02 de marzo de 2018"/>
    <x v="16"/>
    <s v="140.000,00"/>
    <s v="Ciento Cuarenta Mil Bolívares con 00/100"/>
  </r>
  <r>
    <n v="873"/>
    <m/>
    <s v="ü"/>
    <d v="2018-03-02T00:00:00"/>
    <n v="180000"/>
    <s v="Familia Jiménez Salvatierra"/>
    <s v="En Físico"/>
    <s v="Calle Güigüe Nro. 89-45"/>
    <s v="Cancelación Vigilancia, saldo meses de Marzo y Abril/2018 (saldo a favor: Bs. 393.000)"/>
    <x v="0"/>
    <m/>
    <s v="00873"/>
    <s v="02 de marzo de 2018"/>
    <x v="16"/>
    <s v="180.000,00"/>
    <s v="Ciento Ochenta Mil Bolívares con 00/100"/>
  </r>
  <r>
    <n v="874"/>
    <m/>
    <s v="ü"/>
    <d v="2018-03-02T00:00:00"/>
    <n v="170000"/>
    <s v="Familia Hurtado"/>
    <s v="En Físico"/>
    <s v="Av. &quot;O&quot; Nro. 146-11"/>
    <s v="Cancelación Vigilancia, saldo mes de Febrero y cancelación mes de Marzo/2018"/>
    <x v="0"/>
    <m/>
    <s v="00874"/>
    <s v="02 de marzo de 2018"/>
    <x v="16"/>
    <s v="170.000,00"/>
    <s v="Ciento Setenta Mil Bolívares con 00/100"/>
  </r>
  <r>
    <n v="875"/>
    <m/>
    <s v="ü"/>
    <d v="2018-03-02T00:00:00"/>
    <n v="80000"/>
    <s v="Familia Delgado Hidalgo"/>
    <s v="ardh@hotmail.com"/>
    <s v="Calle Güigüe Nro. 88-10"/>
    <s v="Cancelación Vigilancia, mes de Febrero/2018"/>
    <x v="0"/>
    <m/>
    <s v="00875"/>
    <s v="02 de marzo de 2018"/>
    <x v="16"/>
    <s v="80.000,00"/>
    <s v="Ochenta Mil Bolívares con 00/100"/>
  </r>
  <r>
    <n v="876"/>
    <m/>
    <s v="ü"/>
    <d v="2018-03-02T00:00:00"/>
    <n v="100000"/>
    <s v="Héctor Hernández"/>
    <s v="eof64@hotmail.com"/>
    <s v="Calle Guacara Nro. 89-94"/>
    <s v="Colaboración Vigilancia, meses de Febrero y Marzo/2018"/>
    <x v="0"/>
    <m/>
    <s v="00876"/>
    <s v="02 de marzo de 2018"/>
    <x v="16"/>
    <s v="100.000,00"/>
    <s v="Cien Mil Bolívares con 00/100"/>
  </r>
  <r>
    <n v="877"/>
    <m/>
    <s v="ü"/>
    <d v="2018-03-02T00:00:00"/>
    <n v="140000"/>
    <s v="Familia Del Negro Palermo"/>
    <s v="vdelnegro@gmail.com"/>
    <s v="Calle Guacara Nro. 88-45"/>
    <s v="Cancelación Vigilancia, mes de Marzo/2018 (saldo a favor: Bs. 660.000)"/>
    <x v="0"/>
    <m/>
    <s v="00877"/>
    <s v="02 de marzo de 2018"/>
    <x v="16"/>
    <s v="140.000,00"/>
    <s v="Ciento Cuarenta Mil Bolívares con 00/100"/>
  </r>
  <r>
    <n v="878"/>
    <m/>
    <s v="ü"/>
    <d v="2018-03-05T00:00:00"/>
    <n v="200000"/>
    <s v="Chin Chun Ya (Goya)"/>
    <s v="uc2721@gmail.com"/>
    <s v="Calle Guacara Nro. 87-86"/>
    <s v="Colaboración Vigilancia, meses de Febrero y Marzo, y anticipo Abril/2018"/>
    <x v="0"/>
    <m/>
    <s v="00878"/>
    <s v="05 de marzo de 2018"/>
    <x v="16"/>
    <s v="200.000,00"/>
    <s v="Doscientos Mil Bolívares con 00/100"/>
  </r>
  <r>
    <n v="879"/>
    <m/>
    <s v="ü"/>
    <d v="2018-01-22T00:00:00"/>
    <n v="80000"/>
    <s v="Familia Zavarce Pérez"/>
    <s v="En Físico"/>
    <s v="Calle Guacara Nro. 90-35"/>
    <s v="Cancelación Vigilancia, mes de Febrero/2018"/>
    <x v="0"/>
    <m/>
    <s v="00879"/>
    <s v="22 de enero de 2018"/>
    <x v="14"/>
    <s v="80.000,00"/>
    <s v="Ochenta Mil Bolívares con 00/100"/>
  </r>
  <r>
    <n v="880"/>
    <m/>
    <s v="ü"/>
    <d v="2018-03-07T00:00:00"/>
    <n v="140000"/>
    <s v="Familia Arcia Polanco"/>
    <s v="misipo29@gmail.com"/>
    <s v="Calle Guacara Nro. 89-20"/>
    <s v="Cancelación saldo Vigilancia, mes de Marzo/2018"/>
    <x v="0"/>
    <m/>
    <s v="00880"/>
    <s v="07 de marzo de 2018"/>
    <x v="16"/>
    <s v="140.000,00"/>
    <s v="Ciento Cuarenta Mil Bolívares con 00/100"/>
  </r>
  <r>
    <n v="881"/>
    <m/>
    <s v="ü"/>
    <d v="2018-03-07T00:00:00"/>
    <n v="160000"/>
    <s v="Familia Matta Palomino"/>
    <s v="En Físico"/>
    <s v="Calle Güigüe Nro. 88-90"/>
    <s v="Cancelación Vigilancia, meses de Enero y Febrero/2018"/>
    <x v="0"/>
    <m/>
    <s v="00881"/>
    <s v="07 de marzo de 2018"/>
    <x v="16"/>
    <s v="160.000,00"/>
    <s v="Ciento Sesenta Mil Bolívares con 00/100"/>
  </r>
  <r>
    <n v="882"/>
    <m/>
    <s v="ü"/>
    <d v="2018-03-07T00:00:00"/>
    <n v="140000"/>
    <s v="Familia Colosso Delgado"/>
    <s v="mcolosso@gmail.com"/>
    <s v="Calle Güigüe Nro. 88-44"/>
    <s v="Cancelación Vigilancia, mes de Marzo/2018"/>
    <x v="0"/>
    <m/>
    <s v="00882"/>
    <s v="07 de marzo de 2018"/>
    <x v="16"/>
    <s v="140.000,00"/>
    <s v="Ciento Cuarenta Mil Bolívares con 00/100"/>
  </r>
  <r>
    <n v="883"/>
    <m/>
    <s v="ü"/>
    <d v="2018-03-09T00:00:00"/>
    <n v="140000"/>
    <s v="Familia Loponte Arteaga"/>
    <s v="nancyloponte@hotmail.com"/>
    <s v="Calle Güigüe Nro. 88-120"/>
    <s v="Cancelación Vigilancia, mes de Marzo/2018"/>
    <x v="0"/>
    <m/>
    <s v="00883"/>
    <s v="09 de marzo de 2018"/>
    <x v="16"/>
    <s v="140.000,00"/>
    <s v="Ciento Cuarenta Mil Bolívares con 00/100"/>
  </r>
  <r>
    <n v="884"/>
    <m/>
    <s v="ü"/>
    <d v="2018-03-09T00:00:00"/>
    <n v="140000"/>
    <s v="Ely Saúl Rivero Gómez, C.I 18.448.557"/>
    <s v="hhs.admon@gmail.com"/>
    <s v="Av. &quot;Ñ&quot; Nro. 145-25"/>
    <s v="Cancelación Vigilancia, mes de Marzo/2018 (saldo a favor: Bs. 725.000)"/>
    <x v="0"/>
    <m/>
    <s v="00884"/>
    <s v="09 de marzo de 2018"/>
    <x v="16"/>
    <s v="140.000,00"/>
    <s v="Ciento Cuarenta Mil Bolívares con 00/100"/>
  </r>
  <r>
    <n v="885"/>
    <m/>
    <s v="ü"/>
    <d v="2018-03-12T00:00:00"/>
    <n v="140000"/>
    <s v="Familia Kabblan"/>
    <s v="norisjsb56@hotmail.com"/>
    <s v="Calle Güigüe Nro. 89-80"/>
    <s v="Cancelación Vigilancia, mes de Marzo/2018"/>
    <x v="0"/>
    <m/>
    <s v="00885"/>
    <s v="12 de marzo de 2018"/>
    <x v="16"/>
    <s v="140.000,00"/>
    <s v="Ciento Cuarenta Mil Bolívares con 00/100"/>
  </r>
  <r>
    <n v="886"/>
    <m/>
    <s v="ü"/>
    <d v="2018-03-12T00:00:00"/>
    <n v="80000"/>
    <s v="Victoria Francischiello"/>
    <s v="victoriafrancischiello@hotmail.com"/>
    <s v="Calle Guacara Nro. 88-25"/>
    <s v="Cancelación Vigilancia, mes de Febrero/2018"/>
    <x v="0"/>
    <m/>
    <s v="00886"/>
    <s v="12 de marzo de 2018"/>
    <x v="16"/>
    <s v="80.000,00"/>
    <s v="Ochenta Mil Bolívares con 00/100"/>
  </r>
  <r>
    <n v="887"/>
    <m/>
    <s v="ü"/>
    <d v="2018-03-12T00:00:00"/>
    <n v="220000"/>
    <s v="Ana de González"/>
    <s v="mikelnowak25@gmail.com"/>
    <s v="Av. &quot;O&quot; Nro. 146-17"/>
    <s v="Cancelación Vigilancia, meses de Febrero y Marzo/2018"/>
    <x v="0"/>
    <m/>
    <s v="00887"/>
    <s v="12 de marzo de 2018"/>
    <x v="16"/>
    <s v="220.000,00"/>
    <s v="Doscientos Veinte Mil Bolívares con 00/100"/>
  </r>
  <r>
    <n v="888"/>
    <m/>
    <s v="ü"/>
    <d v="2018-02-22T00:00:00"/>
    <n v="30000"/>
    <s v="Familia Rivero"/>
    <s v="En Físico"/>
    <s v="Calle Güigüe Nro. 88-40"/>
    <s v="Colaboración Vigilancia, mes de Enero/2018"/>
    <x v="0"/>
    <m/>
    <s v="00888"/>
    <s v="22 de febrero de 2018"/>
    <x v="15"/>
    <s v="30.000,00"/>
    <s v="Treinta Mil Bolívares con 00/100"/>
  </r>
  <r>
    <n v="889"/>
    <m/>
    <s v="ü"/>
    <d v="2018-03-02T00:00:00"/>
    <n v="140000"/>
    <s v="Beatriz Lara"/>
    <s v="valentina.gutierrez@hotmail.com"/>
    <s v="Calle Guacara Nro. 89-130"/>
    <s v="Cancelación Vigilancia, mes de Marzo/2018"/>
    <x v="0"/>
    <m/>
    <s v="00889"/>
    <s v="02 de marzo de 2018"/>
    <x v="16"/>
    <s v="140.000,00"/>
    <s v="Ciento Cuarenta Mil Bolívares con 00/100"/>
  </r>
  <r>
    <n v="890"/>
    <m/>
    <s v="ü"/>
    <d v="2018-03-13T00:00:00"/>
    <n v="450000"/>
    <s v="Franco Gómez"/>
    <s v="eof64@hotmail.com"/>
    <s v="Calle Guacara Nro. 87-07"/>
    <s v="Cancelación Vigilancia, meses de Enero, Febrero, Marzo y Abril, y anticipo Mayo/2018"/>
    <x v="0"/>
    <m/>
    <s v="00890"/>
    <s v="13 de marzo de 2018"/>
    <x v="16"/>
    <s v="450.000,00"/>
    <s v="Cuatrocientos Cincuenta Mil Bolívares con 00/100"/>
  </r>
  <r>
    <n v="891"/>
    <m/>
    <s v="ü"/>
    <d v="2018-03-14T00:00:00"/>
    <n v="140000"/>
    <s v="Familia Nava Gordon"/>
    <s v="maru_19_66@hotmail.com"/>
    <s v="Calle Guacara Nro. 89-78"/>
    <s v="Cancelación Vigilancia, mes de Marzo/2018"/>
    <x v="0"/>
    <m/>
    <s v="00891"/>
    <s v="14 de marzo de 2018"/>
    <x v="16"/>
    <s v="140.000,00"/>
    <s v="Ciento Cuarenta Mil Bolívares con 00/100"/>
  </r>
  <r>
    <n v="892"/>
    <m/>
    <s v="ü"/>
    <d v="2018-03-14T00:00:00"/>
    <n v="140000"/>
    <s v="Familia Navarro Assing"/>
    <s v="liliaassing@gmail.com"/>
    <s v="Calle Güigüe Nro. 88-54"/>
    <s v="Cancelación Vigilancia, mes de Marzo/2018"/>
    <x v="0"/>
    <m/>
    <s v="00892"/>
    <s v="14 de marzo de 2018"/>
    <x v="16"/>
    <s v="140.000,00"/>
    <s v="Ciento Cuarenta Mil Bolívares con 00/100"/>
  </r>
  <r>
    <n v="893"/>
    <m/>
    <s v="ü"/>
    <d v="2018-03-14T00:00:00"/>
    <n v="300000"/>
    <s v="Familia Navarro Assing"/>
    <s v="liliaassing@gmail.com"/>
    <s v="Calle Güigüe Nro. 88-54"/>
    <s v="Venta de tubería "/>
    <x v="6"/>
    <m/>
    <s v="00893"/>
    <s v="14 de marzo de 2018"/>
    <x v="16"/>
    <s v="300.000,00"/>
    <s v="Trescientos Mil Bolívares con 00/100"/>
  </r>
  <r>
    <n v="894"/>
    <m/>
    <s v="ü"/>
    <d v="2018-03-14T00:00:00"/>
    <n v="140000"/>
    <s v="Familia Sayago Peñaranda"/>
    <s v="alexissayago@gmail.com"/>
    <s v="Calle Güigüe Nro. 89-04"/>
    <s v="Cancelación Vigilancia, mes de Marzo/2018"/>
    <x v="0"/>
    <m/>
    <s v="00894"/>
    <s v="14 de marzo de 2018"/>
    <x v="16"/>
    <s v="140.000,00"/>
    <s v="Ciento Cuarenta Mil Bolívares con 00/100"/>
  </r>
  <r>
    <n v="895"/>
    <m/>
    <s v="ü"/>
    <d v="2018-03-14T00:00:00"/>
    <n v="40000"/>
    <s v="Familia Hatem Medina"/>
    <s v="hhatem1@hotmail.com"/>
    <s v="Calle Guacara Nro. 88-51"/>
    <s v="Cancelación ajuste de Vigilancia, meses de Marzo y Abril/2018 (saldo a favor: Bs. 5.850)"/>
    <x v="0"/>
    <m/>
    <s v="00895"/>
    <s v="14 de marzo de 2018"/>
    <x v="16"/>
    <s v="40.000,00"/>
    <s v="Cuarenta Mil Bolívares con 00/100"/>
  </r>
  <r>
    <n v="896"/>
    <m/>
    <s v="ü"/>
    <d v="2018-03-16T00:00:00"/>
    <n v="140000"/>
    <s v="Familia Fermín Rivas"/>
    <s v="angelferminb@gmail.com"/>
    <s v="Calle Güigüe Nro. 89-55"/>
    <s v="Cancelación Vigilancia, mes de Marzo/2018"/>
    <x v="0"/>
    <m/>
    <s v="00896"/>
    <s v="16 de marzo de 2018"/>
    <x v="16"/>
    <s v="140.000,00"/>
    <s v="Ciento Cuarenta Mil Bolívares con 00/100"/>
  </r>
  <r>
    <n v="897"/>
    <m/>
    <s v="ü"/>
    <d v="2018-03-16T00:00:00"/>
    <n v="155000"/>
    <s v="La Casita Encantada"/>
    <s v="En Físico"/>
    <s v="Av. &quot;M&quot; Nro. 146-30"/>
    <s v="Cancelación Vigilancia, mes de Marzo/2018"/>
    <x v="0"/>
    <m/>
    <s v="00897"/>
    <s v="16 de marzo de 2018"/>
    <x v="16"/>
    <s v="155.000,00"/>
    <s v="Ciento Cincuenta y Cinco Mil Bolívares con 00/100"/>
  </r>
  <r>
    <n v="898"/>
    <m/>
    <s v="ü"/>
    <d v="2018-03-19T00:00:00"/>
    <n v="80000"/>
    <s v="Manuel Rodríguez"/>
    <s v="mrl58@hotmail.com"/>
    <s v="Calle Güigüe Nro. 89-29"/>
    <s v="Colaboración Vigilancia, mes de Marzo/2018"/>
    <x v="0"/>
    <m/>
    <s v="00898"/>
    <s v="19 de marzo de 2018"/>
    <x v="16"/>
    <s v="80.000,00"/>
    <s v="Ochenta Mil Bolívares con 00/100"/>
  </r>
  <r>
    <n v="899"/>
    <m/>
    <s v="ü"/>
    <d v="2018-03-20T00:00:00"/>
    <n v="470000"/>
    <s v="Sra. Reina Meléndez"/>
    <s v="olgajipe@gmail.com"/>
    <s v="Av. &quot;M&quot; Nro. 145-10"/>
    <s v="Cancelación Vigilancia, meses de Septiembre a Diciembre/2017 y Enero a Marzo/2018"/>
    <x v="0"/>
    <m/>
    <s v="00899"/>
    <s v="20 de marzo de 2018"/>
    <x v="16"/>
    <s v="470.000,00"/>
    <s v="Cuatrocientos Setenta Mil Bolívares con 00/100"/>
  </r>
  <r>
    <n v="900"/>
    <m/>
    <s v="ü"/>
    <d v="2018-03-20T00:00:00"/>
    <n v="140000"/>
    <s v="Familia Narváez Caldera"/>
    <s v="jeannette_nc@yahoo.com"/>
    <s v="Calle Güigüe Nro. 87-A-11"/>
    <s v="Cancelación Vigilancia, mes de Marzo/2018"/>
    <x v="0"/>
    <m/>
    <s v="00900"/>
    <s v="20 de marzo de 2018"/>
    <x v="16"/>
    <s v="140.000,00"/>
    <s v="Ciento Cuarenta Mil Bolívares con 00/100"/>
  </r>
  <r>
    <n v="901"/>
    <m/>
    <s v="ü"/>
    <d v="2018-02-28T00:00:00"/>
    <n v="80000"/>
    <s v="Familia Barreto Pérez"/>
    <s v="bbetsa19@hotmail.com"/>
    <s v="Av. &quot;M&quot; Nro. 146-15"/>
    <s v="Cancelación Vigilancia, mes de Febrero/2018"/>
    <x v="0"/>
    <m/>
    <s v="00901"/>
    <s v="28 de febrero de 2018"/>
    <x v="15"/>
    <s v="80.000,00"/>
    <s v="Ochenta Mil Bolívares con 00/100"/>
  </r>
  <r>
    <n v="902"/>
    <m/>
    <s v="ü"/>
    <d v="2018-03-21T00:00:00"/>
    <n v="200000"/>
    <s v="Colegio El Trigal"/>
    <s v="En Físico"/>
    <s v="Calle Güigüe Nros. 88-71 y 88-81"/>
    <s v="Cancelación Vigilancia, mes de Marzo/2018"/>
    <x v="0"/>
    <m/>
    <s v="00902"/>
    <s v="21 de marzo de 2018"/>
    <x v="16"/>
    <s v="200.000,00"/>
    <s v="Doscientos Mil Bolívares con 00/100"/>
  </r>
  <r>
    <n v="903"/>
    <m/>
    <s v="ü"/>
    <d v="2018-03-21T00:00:00"/>
    <n v="300000"/>
    <s v="Familia Ochoa Mendoza"/>
    <s v="marisoljudithm@hotmail.com"/>
    <s v="Calle Güigüe Nro. 89-105"/>
    <s v="Cancelación Vigilancia, meses de Enero, Febrero y Marzo/2018"/>
    <x v="0"/>
    <m/>
    <s v="00903"/>
    <s v="21 de marzo de 2018"/>
    <x v="16"/>
    <s v="300.000,00"/>
    <s v="Trescientos Mil Bolívares con 00/100"/>
  </r>
  <r>
    <n v="904"/>
    <m/>
    <s v="ü"/>
    <d v="2018-03-21T00:00:00"/>
    <n v="220000"/>
    <s v="Familia Flores Montagne"/>
    <s v="martaflores@gmail.com"/>
    <s v="Av. &quot;M&quot; Nro. 146-20"/>
    <s v="Cancelación Vigilancia, meses de Febrero y Marzo/2018"/>
    <x v="0"/>
    <m/>
    <s v="00904"/>
    <s v="21 de marzo de 2018"/>
    <x v="16"/>
    <s v="220.000,00"/>
    <s v="Doscientos Veinte Mil Bolívares con 00/100"/>
  </r>
  <r>
    <n v="905"/>
    <m/>
    <s v="ü"/>
    <d v="2018-03-21T00:00:00"/>
    <n v="250000"/>
    <s v="Familia Kattar"/>
    <s v="jagiak123@yahoo.es"/>
    <s v="Calle Güigüe Nro. 89-95"/>
    <s v="Cancelación Vigilancia, saldo mes de Marzo, y anticipo meses de Abril y Mayo/2018"/>
    <x v="0"/>
    <m/>
    <s v="00905"/>
    <s v="21 de marzo de 2018"/>
    <x v="16"/>
    <s v="250.000,00"/>
    <s v="Doscientos Cincuenta Mil Bolívares con 00/100"/>
  </r>
  <r>
    <n v="906"/>
    <m/>
    <s v="ü"/>
    <d v="2018-03-23T00:00:00"/>
    <n v="180000"/>
    <s v="Familia Zavarce Pérez"/>
    <s v="En Físico"/>
    <s v="Calle Guacara Nro. 90-35"/>
    <s v="Cancelación Vigilancia, mes de Marzo y anticipo Abril/2018"/>
    <x v="0"/>
    <m/>
    <s v="00906"/>
    <s v="23 de marzo de 2018"/>
    <x v="16"/>
    <s v="180.000,00"/>
    <s v="Ciento Ochenta Mil Bolívares con 00/100"/>
  </r>
  <r>
    <n v="907"/>
    <m/>
    <s v="ü"/>
    <d v="2018-03-23T00:00:00"/>
    <n v="140000"/>
    <s v="Familia Díaz González"/>
    <s v="luisrdt57@gmail.com"/>
    <s v="Calle Güigüe Nro. 88-116"/>
    <s v="Cancelación Vigilancia, mes de Marzo/2018"/>
    <x v="0"/>
    <m/>
    <s v="00907"/>
    <s v="23 de marzo de 2018"/>
    <x v="16"/>
    <s v="140.000,00"/>
    <s v="Ciento Cuarenta Mil Bolívares con 00/100"/>
  </r>
  <r>
    <n v="908"/>
    <m/>
    <s v="ü"/>
    <d v="2018-03-26T00:00:00"/>
    <n v="120000"/>
    <s v="Familia Guerra Miret"/>
    <s v="antoniojguerrag@hotmail.com"/>
    <s v="Calle Güigüe Nro. 89-40"/>
    <s v="Cancelación saldo Vigilancia, meses de Marzo y Abril/2018"/>
    <x v="0"/>
    <m/>
    <s v="00908"/>
    <s v="26 de marzo de 2018"/>
    <x v="16"/>
    <s v="120.000,00"/>
    <s v="Ciento Veinte Mil Bolívares con 00/100"/>
  </r>
  <r>
    <n v="909"/>
    <m/>
    <s v="ü"/>
    <d v="2018-03-26T00:00:00"/>
    <n v="140000"/>
    <s v="Amarilis Guerra"/>
    <s v="amarilisguerra1@yahoo.com"/>
    <s v="Calle Güigüe Nro. 89-96"/>
    <s v="Cancelación Vigilancia, mes de Marzo/2018"/>
    <x v="0"/>
    <m/>
    <s v="00909"/>
    <s v="26 de marzo de 2018"/>
    <x v="16"/>
    <s v="140.000,00"/>
    <s v="Ciento Cuarenta Mil Bolívares con 00/100"/>
  </r>
  <r>
    <n v="910"/>
    <m/>
    <s v="ü"/>
    <d v="2018-03-26T00:00:00"/>
    <n v="300000"/>
    <s v="Zoraida Khair"/>
    <s v="zorakhair@hotmail.com"/>
    <s v="Calle Güigüe Nro. 88-80"/>
    <s v="Colaboración Vigilancia, meses de Enero, Febrero y Marzo/2017"/>
    <x v="0"/>
    <m/>
    <s v="00910"/>
    <s v="26 de marzo de 2018"/>
    <x v="16"/>
    <s v="300.000,00"/>
    <s v="Trescientos Mil Bolívares con 00/100"/>
  </r>
  <r>
    <n v="911"/>
    <m/>
    <s v="ü"/>
    <d v="2018-03-26T00:00:00"/>
    <n v="280000"/>
    <s v="Anahiz Seijas"/>
    <s v="anahiz_2@hotmail.es"/>
    <s v="Calle Güigüe Nro. 89-106"/>
    <s v="Cancelación Vigilancia, meses de Marzo y Abril/2018"/>
    <x v="0"/>
    <m/>
    <s v="00911"/>
    <s v="26 de marzo de 2018"/>
    <x v="16"/>
    <s v="280.000,00"/>
    <s v="Doscientos Ochenta Mil Bolívares con 00/100"/>
  </r>
  <r>
    <n v="912"/>
    <m/>
    <s v="ü"/>
    <d v="2018-03-26T00:00:00"/>
    <n v="300000"/>
    <s v="Ma. de Jesus Alonso"/>
    <s v="alonsojg@gmail.com"/>
    <s v="Calle Güigüe Nro. 88-30"/>
    <s v="Colaboración Vigilancia, meses de Marzo, Abril y Mayo/2018"/>
    <x v="0"/>
    <m/>
    <s v="00912"/>
    <s v="26 de marzo de 2018"/>
    <x v="16"/>
    <s v="300.000,00"/>
    <s v="Trescientos Mil Bolívares con 00/100"/>
  </r>
  <r>
    <n v="913"/>
    <m/>
    <s v="ü"/>
    <d v="2018-03-26T00:00:00"/>
    <n v="140000"/>
    <s v="Familia Acosta"/>
    <s v="pablo962@hotmail.com"/>
    <s v="Calle Güigüe Nro. 89-10"/>
    <s v="Cancelación Vigilancia, mes de Marzo/2018"/>
    <x v="0"/>
    <m/>
    <s v="00913"/>
    <s v="26 de marzo de 2018"/>
    <x v="16"/>
    <s v="140.000,00"/>
    <s v="Ciento Cuarenta Mil Bolívares con 00/100"/>
  </r>
  <r>
    <n v="914"/>
    <m/>
    <s v="ü"/>
    <d v="2018-03-28T00:00:00"/>
    <n v="140000"/>
    <s v="Familia Jiménez Navarro"/>
    <s v="joyasonline2012@gmail.com"/>
    <s v="Calle Güigüe Nro. 88-50"/>
    <s v="Cancelación Vigilancia, mes de Marzo/2018"/>
    <x v="0"/>
    <m/>
    <s v="00914"/>
    <s v="28 de marzo de 2018"/>
    <x v="16"/>
    <s v="140.000,00"/>
    <s v="Ciento Cuarenta Mil Bolívares con 00/100"/>
  </r>
  <r>
    <n v="915"/>
    <m/>
    <s v="ü"/>
    <d v="2018-03-28T00:00:00"/>
    <n v="400000"/>
    <s v="Familia Navarrete Medina"/>
    <s v="juanin1919@yahoo.com"/>
    <s v="Calle Güigüe Nro. 89-22"/>
    <s v="Cancelación Vigilancia, meses de Noviembre y Diciembre/2017 y de Enero a Marzo/2018"/>
    <x v="0"/>
    <m/>
    <s v="00915"/>
    <s v="28 de marzo de 2018"/>
    <x v="16"/>
    <s v="400.000,00"/>
    <s v="Cuatrocientos Mil Bolívares con 00/100"/>
  </r>
  <r>
    <n v="916"/>
    <m/>
    <s v="ü"/>
    <d v="2018-03-28T00:00:00"/>
    <n v="277550"/>
    <s v="Familia Piñero Padilla"/>
    <s v="achepaul2005@hotmail.com"/>
    <s v="Calle Güigüe Nro. 89-21"/>
    <s v="Cancelación Vigilancia, saldo mes de Marzo y mes de Abril/2018"/>
    <x v="0"/>
    <m/>
    <s v="00916"/>
    <s v="28 de marzo de 2018"/>
    <x v="16"/>
    <s v="277.550,00"/>
    <s v="Doscientos Setenta y Siete Mil Quinientos Cincuenta Bolívares con 00/100"/>
  </r>
  <r>
    <n v="917"/>
    <m/>
    <s v="ü"/>
    <d v="2018-03-28T00:00:00"/>
    <n v="140000"/>
    <s v="Familia Gascón Domínguez"/>
    <s v="vrgascon@gmail.com"/>
    <s v="Calle Güigüe Nro. 88-70"/>
    <s v="Cancelación Vigilancia, mes de Marzo/2018"/>
    <x v="0"/>
    <m/>
    <s v="00917"/>
    <s v="28 de marzo de 2018"/>
    <x v="16"/>
    <s v="140.000,00"/>
    <s v="Ciento Cuarenta Mil Bolívares con 00/100"/>
  </r>
  <r>
    <n v="918"/>
    <m/>
    <s v="ü"/>
    <d v="2018-03-30T00:00:00"/>
    <n v="140000"/>
    <s v="Familia López Hermoso"/>
    <s v="lopez.humberto14@yahoo.com.ve"/>
    <s v="Calle Güigüe Nro. 89-79"/>
    <s v="Cancelación Vigilancia, mes de Marzo/2018 (saldo a favor: Bs. 700.000)"/>
    <x v="0"/>
    <m/>
    <s v="00918"/>
    <s v="30 de marzo de 2018"/>
    <x v="16"/>
    <s v="140.000,00"/>
    <s v="Ciento Cuarenta Mil Bolívares con 00/100"/>
  </r>
  <r>
    <n v="919"/>
    <m/>
    <s v="ü"/>
    <d v="2018-03-30T00:00:00"/>
    <n v="50000"/>
    <s v="Familia Méndez Parra"/>
    <s v="briceidamp@hotmail.com"/>
    <s v="Calle Guacara Nro. 88-19"/>
    <s v="Colaboración Vigilancia, mes de Marzo/2018"/>
    <x v="0"/>
    <m/>
    <s v="00919"/>
    <s v="30 de marzo de 2018"/>
    <x v="16"/>
    <s v="50.000,00"/>
    <s v="Cincuenta Mil Bolívares con 00/100"/>
  </r>
  <r>
    <n v="920"/>
    <m/>
    <s v="ü"/>
    <d v="2018-03-30T00:00:00"/>
    <n v="420000"/>
    <s v="Familia González Arévalo"/>
    <s v="feryenis@hotmail.com"/>
    <s v="Calle Guacara Nro. 89-86"/>
    <s v="Cancelación Vigilancia, meses de Marzo, Abril y Mayo/2018"/>
    <x v="0"/>
    <m/>
    <s v="00920"/>
    <s v="30 de marzo de 2018"/>
    <x v="16"/>
    <s v="420.000,00"/>
    <s v="Cuatrocientos Veinte Mil Bolívares con 00/100"/>
  </r>
  <r>
    <n v="921"/>
    <m/>
    <s v="ü"/>
    <d v="2018-04-02T00:00:00"/>
    <n v="50000"/>
    <s v="Familia Méndez Parra"/>
    <s v="briceidamp@hotmail.com"/>
    <s v="Calle Guacara Nro. 88-19"/>
    <s v="Colaboración Vigilancia, complemento mes de Marzo/2018"/>
    <x v="0"/>
    <m/>
    <s v="00921"/>
    <s v="02 de abril de 2018"/>
    <x v="17"/>
    <s v="50.000,00"/>
    <s v="Cincuenta Mil Bolívares con 00/100"/>
  </r>
  <r>
    <n v="922"/>
    <m/>
    <s v="ü"/>
    <d v="2018-04-04T00:00:00"/>
    <n v="200000"/>
    <s v="Familia Puerta Burguillos"/>
    <s v="namaricakes@gmail.com"/>
    <s v="Calle Guacara Nro. 87-100"/>
    <s v="Vigilancia, saldo mes de Marzo y cancelación mes de Abril/2018"/>
    <x v="0"/>
    <m/>
    <s v="00922"/>
    <s v="04 de abril de 2018"/>
    <x v="17"/>
    <s v="200.000,00"/>
    <s v="Doscientos Mil Bolívares con 00/100"/>
  </r>
  <r>
    <n v="923"/>
    <m/>
    <s v="ü"/>
    <d v="2018-04-03T00:00:00"/>
    <n v="280000"/>
    <s v="Familia Montilla García"/>
    <s v="dairy252525@hotmail.com"/>
    <s v="Calle Güigüe Nro. 89-90"/>
    <s v="Cancelación Vigilancia, meses de Marzo y Abril/2018"/>
    <x v="0"/>
    <m/>
    <s v="00923"/>
    <s v="03 de abril de 2018"/>
    <x v="17"/>
    <s v="280.000,00"/>
    <s v="Doscientos Ochenta Mil Bolívares con 00/100"/>
  </r>
  <r>
    <n v="924"/>
    <m/>
    <s v="ü"/>
    <d v="2018-04-04T00:00:00"/>
    <n v="140000"/>
    <s v="Familia Colosso Delgado"/>
    <s v="mcolosso@gmail.com"/>
    <s v="Calle Güigüe Nro. 88-44"/>
    <s v="Cancelación Vigilancia, mes de Abril/2018"/>
    <x v="0"/>
    <m/>
    <s v="00924"/>
    <s v="04 de abril de 2018"/>
    <x v="17"/>
    <s v="140.000,00"/>
    <s v="Ciento Cuarenta Mil Bolívares con 00/100"/>
  </r>
  <r>
    <n v="925"/>
    <m/>
    <s v="ü"/>
    <d v="2018-04-04T00:00:00"/>
    <n v="50000"/>
    <s v="Familia Romero"/>
    <s v="autoescuela21@gmail.com"/>
    <s v="Calle Guacara Nro. 89-50"/>
    <s v="Colaboración Vigilancia, mes de Abril/2018"/>
    <x v="0"/>
    <m/>
    <s v="00925"/>
    <s v="04 de abril de 2018"/>
    <x v="17"/>
    <s v="50.000,00"/>
    <s v="Cincuenta Mil Bolívares con 00/100"/>
  </r>
  <r>
    <n v="926"/>
    <m/>
    <s v="ü"/>
    <d v="2018-04-04T00:00:00"/>
    <n v="140000"/>
    <s v="Familia Lomeña Agudo"/>
    <s v="claudialomena@hotmail.com"/>
    <s v="Calle Guacara Nro. 89-30"/>
    <s v="Cancelación Vigilancia, mes de Abril/2018"/>
    <x v="0"/>
    <m/>
    <s v="00926"/>
    <s v="04 de abril de 2018"/>
    <x v="17"/>
    <s v="140.000,00"/>
    <s v="Ciento Cuarenta Mil Bolívares con 00/100"/>
  </r>
  <r>
    <n v="927"/>
    <m/>
    <s v="ü"/>
    <d v="2018-04-04T00:00:00"/>
    <n v="60000"/>
    <s v="Familia Lomeña Agudo"/>
    <s v="claudialomena@hotmail.com"/>
    <s v="Calle Guacara Nro. 89-30"/>
    <s v="Anticipo Vigilancia, mes de Junio/2018"/>
    <x v="0"/>
    <m/>
    <s v="00927"/>
    <s v="04 de abril de 2018"/>
    <x v="17"/>
    <s v="60.000,00"/>
    <s v="Sesenta Mil Bolívares con 00/100"/>
  </r>
  <r>
    <n v="928"/>
    <m/>
    <s v="ü"/>
    <d v="2018-04-04T00:00:00"/>
    <n v="250000"/>
    <s v="Familia Durvelle Serrano"/>
    <s v="sdurvelle@hotmail.com"/>
    <s v="Calle Guacara Nro. 89-60"/>
    <s v="Cancelación Vigilancia, mes de Abril/2018 y aporte adicional - SUSTITUYE AL ANTERIOR"/>
    <x v="0"/>
    <m/>
    <s v="00928"/>
    <s v="04 de abril de 2018"/>
    <x v="17"/>
    <s v="250.000,00"/>
    <s v="Doscientos Cincuenta Mil Bolívares con 00/100"/>
  </r>
  <r>
    <n v="929"/>
    <m/>
    <s v="ü"/>
    <d v="2018-04-04T00:00:00"/>
    <n v="140000"/>
    <s v="Familia Alonso Rojas"/>
    <s v="redjc01@gmail.com"/>
    <s v="Calle Güigüe Nro. 89-54"/>
    <s v="Cancelación Vigilancia, mes de Abril/2018"/>
    <x v="0"/>
    <m/>
    <s v="00929"/>
    <s v="04 de abril de 2018"/>
    <x v="17"/>
    <s v="140.000,00"/>
    <s v="Ciento Cuarenta Mil Bolívares con 00/100"/>
  </r>
  <r>
    <n v="930"/>
    <m/>
    <s v="ü"/>
    <d v="2018-04-04T00:00:00"/>
    <n v="280000"/>
    <s v="Wu Hung Fung"/>
    <s v="carolinahung24@gmail.com"/>
    <s v="Calle Guacara Nro. 90-81"/>
    <s v="Cancelación Vigilancia, meses de Marzo y Abril/2018"/>
    <x v="0"/>
    <m/>
    <s v="00930"/>
    <s v="04 de abril de 2018"/>
    <x v="17"/>
    <s v="280.000,00"/>
    <s v="Doscientos Ochenta Mil Bolívares con 00/100"/>
  </r>
  <r>
    <n v="931"/>
    <m/>
    <s v="ü"/>
    <d v="2018-04-04T00:00:00"/>
    <n v="120000"/>
    <s v="Wu Hung Fung"/>
    <s v="carolinahung24@gmail.com"/>
    <s v="Calle Guacara Nro. 90-81"/>
    <s v="Colaboración mantenimiento Caseta de Vigilancia"/>
    <x v="7"/>
    <m/>
    <s v="00931"/>
    <s v="04 de abril de 2018"/>
    <x v="17"/>
    <s v="120.000,00"/>
    <s v="Ciento Veinte Mil Bolívares con 00/100"/>
  </r>
  <r>
    <n v="932"/>
    <m/>
    <s v="ü"/>
    <d v="2018-04-05T00:00:00"/>
    <n v="140000"/>
    <s v="Familia Del Negro Palermo"/>
    <s v="vdelnegro@gmail.com"/>
    <s v="Calle Guacara Nro. 88-45"/>
    <s v="Cancelación Vigilancia, mes de Abril/2018 (saldo a favor: Bs. 520.000)"/>
    <x v="0"/>
    <m/>
    <s v="00932"/>
    <s v="05 de abril de 2018"/>
    <x v="17"/>
    <s v="140.000,00"/>
    <s v="Ciento Cuarenta Mil Bolívares con 00/100"/>
  </r>
  <r>
    <n v="933"/>
    <m/>
    <s v="ü"/>
    <d v="2018-04-05T00:00:00"/>
    <n v="140000"/>
    <s v="Ely Saúl Rivero Gómez, C.I 18.448.557"/>
    <s v="hhs.admon@gmail.com"/>
    <s v="Av. &quot;Ñ&quot; Nro. 145-25"/>
    <s v="Cancelación Vigilancia, mes de Abril/2018 (saldo a favor: Bs. 585.000)"/>
    <x v="0"/>
    <m/>
    <s v="00933"/>
    <s v="05 de abril de 2018"/>
    <x v="17"/>
    <s v="140.000,00"/>
    <s v="Ciento Cuarenta Mil Bolívares con 00/100"/>
  </r>
  <r>
    <n v="934"/>
    <m/>
    <s v="ü"/>
    <d v="2018-04-05T00:00:00"/>
    <n v="140000"/>
    <s v="Familia López Hermoso"/>
    <s v="lopez.humberto14@yahoo.com.ve"/>
    <s v="Calle Güigüe Nro. 89-79"/>
    <s v="Cancelación Vigilancia, mes de Abril/2018 (saldo a favor: Bs. 560.000)"/>
    <x v="0"/>
    <m/>
    <s v="00934"/>
    <s v="05 de abril de 2018"/>
    <x v="17"/>
    <s v="140.000,00"/>
    <s v="Ciento Cuarenta Mil Bolívares con 00/100"/>
  </r>
  <r>
    <n v="935"/>
    <m/>
    <s v="ü"/>
    <d v="2018-04-05T00:00:00"/>
    <n v="300000"/>
    <s v="Familia Castro Jiménez"/>
    <s v="aurycastrojimenez@gmail.com"/>
    <s v="Calle Guacara Nro. 90-51"/>
    <s v="Cancelación Vigilancia, meses de Marzo y Abril/2018 y aporte adicional"/>
    <x v="0"/>
    <m/>
    <s v="00935"/>
    <s v="05 de abril de 2018"/>
    <x v="17"/>
    <s v="300.000,00"/>
    <s v="Trescientos Mil Bolívares con 00/100"/>
  </r>
  <r>
    <n v="936"/>
    <m/>
    <s v="ü"/>
    <d v="2018-04-05T00:00:00"/>
    <n v="140000"/>
    <s v="Familia Arcia Polanco"/>
    <s v="misipo29@gmail.com"/>
    <s v="Calle Guacara Nro. 89-20"/>
    <s v="Cancelación Vigilancia, mes de Abril/2018"/>
    <x v="0"/>
    <m/>
    <s v="00936"/>
    <s v="05 de abril de 2018"/>
    <x v="17"/>
    <s v="140.000,00"/>
    <s v="Ciento Cuarenta Mil Bolívares con 00/100"/>
  </r>
  <r>
    <n v="937"/>
    <m/>
    <s v="ü"/>
    <d v="2018-04-05T00:00:00"/>
    <n v="140000"/>
    <s v="Familia Manrique Riera"/>
    <s v="patriciamanrique@gmail.com"/>
    <s v="Calle Guacara Nro. 89-40"/>
    <s v="Colaboración Vigilancia, mes de Marzo/2018"/>
    <x v="0"/>
    <m/>
    <s v="00937"/>
    <s v="05 de abril de 2018"/>
    <x v="17"/>
    <s v="140.000,00"/>
    <s v="Ciento Cuarenta Mil Bolívares con 00/100"/>
  </r>
  <r>
    <n v="938"/>
    <m/>
    <s v="ü"/>
    <d v="2018-04-05T00:00:00"/>
    <n v="280000"/>
    <s v="Familia Costermani Terrer"/>
    <s v="claudiacostermani@hotmail.com"/>
    <s v="Calle Güigüe Nro. 88-11"/>
    <s v="Cancelación Vigilancia, meses de Marzo y Abril/2018"/>
    <x v="0"/>
    <m/>
    <s v="00938"/>
    <s v="05 de abril de 2018"/>
    <x v="17"/>
    <s v="280.000,00"/>
    <s v="Doscientos Ochenta Mil Bolívares con 00/100"/>
  </r>
  <r>
    <n v="939"/>
    <m/>
    <s v="ü"/>
    <d v="2018-04-05T00:00:00"/>
    <n v="80000"/>
    <s v="Héctor Hernández"/>
    <s v="eof64@hotmail.com"/>
    <s v="Calle Guacara Nro. 89-94"/>
    <s v="Colaboración Vigilancia, mes de Abril/2018"/>
    <x v="0"/>
    <m/>
    <s v="00939"/>
    <s v="05 de abril de 2018"/>
    <x v="17"/>
    <s v="80.000,00"/>
    <s v="Ochenta Mil Bolívares con 00/100"/>
  </r>
  <r>
    <n v="940"/>
    <m/>
    <s v="ü"/>
    <d v="2018-04-05T00:00:00"/>
    <n v="140000"/>
    <s v="Familia Loponte Arteaga"/>
    <s v="nancyloponte@hotmail.com"/>
    <s v="Calle Güigüe Nro. 88-120"/>
    <s v="Cancelación Vigilancia, mes de Abril/2018"/>
    <x v="0"/>
    <m/>
    <s v="00940"/>
    <s v="05 de abril de 2018"/>
    <x v="17"/>
    <s v="140.000,00"/>
    <s v="Ciento Cuarenta Mil Bolívares con 00/100"/>
  </r>
  <r>
    <n v="941"/>
    <m/>
    <s v="ü"/>
    <d v="2018-04-05T00:00:00"/>
    <n v="60000"/>
    <s v="Familia Loponte Arteaga"/>
    <s v="nancyloponte@hotmail.com"/>
    <s v="Calle Güigüe Nro. 88-120"/>
    <s v="Colaboración mantenimiento Caseta de Vigilancia"/>
    <x v="7"/>
    <m/>
    <s v="00941"/>
    <s v="05 de abril de 2018"/>
    <x v="17"/>
    <s v="60.000,00"/>
    <s v="Sesenta Mil Bolívares con 00/100"/>
  </r>
  <r>
    <n v="942"/>
    <m/>
    <s v="ü"/>
    <d v="2017-12-09T00:00:00"/>
    <n v="50000"/>
    <s v="Amarilis Guerra"/>
    <s v="amarilisguerra1@yahoo.com"/>
    <s v="Calle Güigüe Nro. 89-96"/>
    <s v="Cancelación Vigilancia, mes de Diciembre/2017"/>
    <x v="0"/>
    <m/>
    <s v="00942"/>
    <s v="09 de diciembre de 2017"/>
    <x v="13"/>
    <s v="50.000,00"/>
    <s v="Cincuenta Mil Bolívares con 00/100"/>
  </r>
  <r>
    <n v="943"/>
    <m/>
    <s v="ü"/>
    <d v="2018-04-06T00:00:00"/>
    <n v="140000"/>
    <s v="Familia Barreto Pérez"/>
    <s v="bbetsa19@hotmail.com"/>
    <s v="Av. &quot;M&quot; Nro. 146-15"/>
    <s v="Cancelación Vigilancia, mes de Marzo/2018"/>
    <x v="0"/>
    <m/>
    <s v="00943"/>
    <s v="06 de abril de 2018"/>
    <x v="17"/>
    <s v="140.000,00"/>
    <s v="Ciento Cuarenta Mil Bolívares con 00/100"/>
  </r>
  <r>
    <n v="944"/>
    <m/>
    <s v="ü"/>
    <d v="2018-04-06T00:00:00"/>
    <n v="260000"/>
    <s v="Familia Il Grande Franceschi"/>
    <s v="arcifran75@hotmail.com"/>
    <s v="Av. &quot;I&quot; Nro. 146-40"/>
    <s v="Cancelación Vigilancia, meses de Marzo y Abril/2018"/>
    <x v="0"/>
    <m/>
    <s v="00944"/>
    <s v="06 de abril de 2018"/>
    <x v="17"/>
    <s v="260.000,00"/>
    <s v="Doscientos Sesenta Mil Bolívares con 00/100"/>
  </r>
  <r>
    <n v="945"/>
    <m/>
    <s v="ü"/>
    <d v="2018-04-07T00:00:00"/>
    <n v="80000"/>
    <s v="Chin Chun Ya (Goya)"/>
    <s v="uc2721@gmail.com"/>
    <s v="Calle Guacara Nro. 87-86"/>
    <s v="Colaboración Vigilancia, saldo mes de Abril/2018"/>
    <x v="0"/>
    <m/>
    <s v="00945"/>
    <s v="07 de abril de 2018"/>
    <x v="17"/>
    <s v="80.000,00"/>
    <s v="Ochenta Mil Bolívares con 00/100"/>
  </r>
  <r>
    <n v="946"/>
    <m/>
    <s v="ü"/>
    <d v="2018-04-08T00:00:00"/>
    <n v="200000"/>
    <s v="Victoria Francischiello"/>
    <s v="victoriafrancischiello@hotmail.com"/>
    <s v="Calle Guacara Nro. 88-25"/>
    <s v="Colaboración Vigilancia, meses de Marzo y Abril/2018"/>
    <x v="0"/>
    <m/>
    <s v="00946"/>
    <s v="08 de abril de 2018"/>
    <x v="17"/>
    <s v="200.000,00"/>
    <s v="Doscientos Mil Bolívares con 00/100"/>
  </r>
  <r>
    <n v="947"/>
    <m/>
    <s v="ü"/>
    <d v="2018-04-08T00:00:00"/>
    <n v="140000"/>
    <s v="Familia Hurtado"/>
    <s v="En Físico"/>
    <s v="Av. &quot;O&quot; Nro. 146-11"/>
    <s v="Cancelación Vigilancia, mes de Abril/2018"/>
    <x v="0"/>
    <m/>
    <s v="00947"/>
    <s v="08 de abril de 2018"/>
    <x v="17"/>
    <s v="140.000,00"/>
    <s v="Ciento Cuarenta Mil Bolívares con 00/100"/>
  </r>
  <r>
    <n v="948"/>
    <m/>
    <s v="ü"/>
    <d v="2018-04-10T00:00:00"/>
    <n v="280000"/>
    <s v="Familia Delgado Hidalgo"/>
    <s v="ardh@hotmail.com"/>
    <s v="Calle Güigüe Nro. 88-10"/>
    <s v="Cancelación Vigilancia, meses de Marzo y Abril/2018"/>
    <x v="0"/>
    <m/>
    <s v="00948"/>
    <s v="10 de abril de 2018"/>
    <x v="17"/>
    <s v="280.000,00"/>
    <s v="Doscientos Ochenta Mil Bolívares con 00/100"/>
  </r>
  <r>
    <n v="949"/>
    <m/>
    <s v="ü"/>
    <d v="2018-04-10T00:00:00"/>
    <n v="200000"/>
    <s v="Familia Milanés Carmona"/>
    <s v="yndira11m@gmail.com"/>
    <s v="Calle Güigüe Nro. 89-65"/>
    <s v="Cancelación Vigilancia, saldo mes de Marzo y cancelación mes de Abril/2018"/>
    <x v="0"/>
    <m/>
    <s v="00949"/>
    <s v="10 de abril de 2018"/>
    <x v="17"/>
    <s v="200.000,00"/>
    <s v="Doscientos Mil Bolívares con 00/100"/>
  </r>
  <r>
    <n v="950"/>
    <m/>
    <s v="ü"/>
    <d v="2018-04-11T00:00:00"/>
    <n v="200000"/>
    <s v="Colegio El Trigal"/>
    <s v="En Físico"/>
    <s v="Calle Güigüe Nros. 88-71 y 88-81"/>
    <s v="Cancelación Vigilancia, mes de Abril/2018"/>
    <x v="0"/>
    <m/>
    <s v="00950"/>
    <s v="11 de abril de 2018"/>
    <x v="17"/>
    <s v="200.000,00"/>
    <s v="Doscientos Mil Bolívares con 00/100"/>
  </r>
  <r>
    <n v="951"/>
    <m/>
    <s v="ü"/>
    <d v="2018-04-11T00:00:00"/>
    <n v="140000"/>
    <s v="Familia Sayago Peñaranda"/>
    <s v="alexissayago@gmail.com"/>
    <s v="Calle Güigüe Nro. 89-04"/>
    <s v="Cancelación Vigilancia, mes de Abril/2018"/>
    <x v="0"/>
    <m/>
    <s v="00951"/>
    <s v="11 de abril de 2018"/>
    <x v="17"/>
    <s v="140.000,00"/>
    <s v="Ciento Cuarenta Mil Bolívares con 00/100"/>
  </r>
  <r>
    <n v="952"/>
    <m/>
    <s v="ü"/>
    <d v="2018-04-11T00:00:00"/>
    <n v="140000"/>
    <s v="Familia Lomeña Agudo"/>
    <s v="claudialomena@hotmail.com"/>
    <s v="Calle Guacara Nro. 89-30"/>
    <s v="Anticipo Vigilancia, mes de Junio/2018"/>
    <x v="0"/>
    <m/>
    <s v="00952"/>
    <s v="11 de abril de 2018"/>
    <x v="17"/>
    <s v="140.000,00"/>
    <s v="Ciento Cuarenta Mil Bolívares con 00/100"/>
  </r>
  <r>
    <n v="953"/>
    <m/>
    <s v="ü"/>
    <d v="2018-04-13T00:00:00"/>
    <n v="140000"/>
    <s v="Familia Nava Gordon"/>
    <s v="maru_19_66@hotmail.com"/>
    <s v="Calle Guacara Nro. 89-78"/>
    <s v="Cancelación Vigilancia, mes de Abril/2018"/>
    <x v="0"/>
    <m/>
    <s v="00953"/>
    <s v="13 de abril de 2018"/>
    <x v="17"/>
    <s v="140.000,00"/>
    <s v="Ciento Cuarenta Mil Bolívares con 00/100"/>
  </r>
  <r>
    <n v="954"/>
    <m/>
    <s v="ü"/>
    <d v="2018-04-13T00:00:00"/>
    <n v="60000"/>
    <s v="Familia Nava Gordon"/>
    <s v="maru_19_66@hotmail.com"/>
    <s v="Calle Guacara Nro. 89-78"/>
    <s v="Colaboración mantenimiento Caseta de Vigilancia"/>
    <x v="7"/>
    <m/>
    <s v="00954"/>
    <s v="13 de abril de 2018"/>
    <x v="17"/>
    <s v="60.000,00"/>
    <s v="Sesenta Mil Bolívares con 00/100"/>
  </r>
  <r>
    <n v="955"/>
    <m/>
    <s v="ü"/>
    <d v="2018-04-13T00:00:00"/>
    <n v="140000"/>
    <s v="Familia Narváez Caldera"/>
    <s v="jeannette_nc@yahoo.com"/>
    <s v="Calle Güigüe Nro. 87-A-11"/>
    <s v="Cancelación Vigilancia, mes de Abril/2018"/>
    <x v="0"/>
    <m/>
    <s v="00955"/>
    <s v="13 de abril de 2018"/>
    <x v="17"/>
    <s v="140.000,00"/>
    <s v="Ciento Cuarenta Mil Bolívares con 00/100"/>
  </r>
  <r>
    <n v="956"/>
    <m/>
    <s v="ü"/>
    <d v="2018-04-13T00:00:00"/>
    <n v="60000"/>
    <s v="Familia Narváez Caldera"/>
    <s v="jeannette_nc@yahoo.com"/>
    <s v="Calle Güigüe Nro. 87-A-11"/>
    <s v="Colaboración mantenimiento Caseta de Vigilancia"/>
    <x v="7"/>
    <m/>
    <s v="00956"/>
    <s v="13 de abril de 2018"/>
    <x v="17"/>
    <s v="60.000,00"/>
    <s v="Sesenta Mil Bolívares con 00/100"/>
  </r>
  <r>
    <n v="957"/>
    <m/>
    <s v="ü"/>
    <d v="2018-04-13T00:00:00"/>
    <n v="140000"/>
    <s v="Familia Castillo Mena"/>
    <s v="emmecas@hotmail.com"/>
    <s v="Calle Güigüe Nro. 88-101"/>
    <s v="Cancelación Vigilancia, mes de Marzo/2018"/>
    <x v="0"/>
    <m/>
    <s v="00957"/>
    <s v="13 de abril de 2018"/>
    <x v="17"/>
    <s v="140.000,00"/>
    <s v="Ciento Cuarenta Mil Bolívares con 00/100"/>
  </r>
  <r>
    <n v="958"/>
    <m/>
    <s v="ü"/>
    <d v="2018-04-13T00:00:00"/>
    <n v="140000"/>
    <s v="Familia Kabblan"/>
    <s v="norisjsb56@hotmail.com"/>
    <s v="Calle Güigüe Nro. 89-80"/>
    <s v="Cancelación Vigilancia, mes de Abril/2018"/>
    <x v="0"/>
    <m/>
    <s v="00958"/>
    <s v="13 de abril de 2018"/>
    <x v="17"/>
    <s v="140.000,00"/>
    <s v="Ciento Cuarenta Mil Bolívares con 00/100"/>
  </r>
  <r>
    <n v="959"/>
    <m/>
    <s v="ü"/>
    <d v="2018-04-16T00:00:00"/>
    <n v="140000"/>
    <s v="Amarilis Guerra"/>
    <s v="amarilisguerra1@yahoo.com"/>
    <s v="Calle Güigüe Nro. 89-96"/>
    <s v="Cancelación Vigilancia, mes de Abril/2018"/>
    <x v="0"/>
    <m/>
    <s v="00959"/>
    <s v="16 de abril de 2018"/>
    <x v="17"/>
    <s v="140.000,00"/>
    <s v="Ciento Cuarenta Mil Bolívares con 00/100"/>
  </r>
  <r>
    <n v="960"/>
    <m/>
    <s v="ü"/>
    <d v="2018-04-17T00:00:00"/>
    <n v="80000"/>
    <s v="Manuel Rodríguez"/>
    <s v="mrl58@hotmail.com"/>
    <s v="Calle Güigüe Nro. 89-29"/>
    <s v="Colaboración Vigilancia, mes de Abril/2018"/>
    <x v="0"/>
    <m/>
    <s v="00960"/>
    <s v="17 de abril de 2018"/>
    <x v="17"/>
    <s v="80.000,00"/>
    <s v="Ochenta Mil Bolívares con 00/100"/>
  </r>
  <r>
    <n v="961"/>
    <m/>
    <s v="ü"/>
    <d v="2018-04-17T00:00:00"/>
    <n v="140000"/>
    <s v="Beatriz Lara"/>
    <s v="valentina.gutierrez@hotmail.com"/>
    <s v="Calle Guacara Nro. 89-130"/>
    <s v="Cancelación Vigilancia, mes de Abril/2018"/>
    <x v="0"/>
    <m/>
    <s v="00961"/>
    <s v="17 de abril de 2018"/>
    <x v="17"/>
    <s v="140.000,00"/>
    <s v="Ciento Cuarenta Mil Bolívares con 00/100"/>
  </r>
  <r>
    <n v="962"/>
    <m/>
    <s v="ü"/>
    <d v="2018-04-19T00:00:00"/>
    <n v="140000"/>
    <s v="Familia Díaz González"/>
    <s v="luisrdt57@gmail.com"/>
    <s v="Calle Güigüe Nro. 88-116"/>
    <s v="Cancelación Vigilancia, mes de Abril/2018"/>
    <x v="0"/>
    <m/>
    <s v="00962"/>
    <s v="19 de abril de 2018"/>
    <x v="17"/>
    <s v="140.000,00"/>
    <s v="Ciento Cuarenta Mil Bolívares con 00/100"/>
  </r>
  <r>
    <n v="963"/>
    <m/>
    <s v="ü"/>
    <d v="2018-04-16T00:00:00"/>
    <n v="140000"/>
    <s v="Familia Fermín Rivas"/>
    <s v="angelferminb@gmail.com"/>
    <s v="Calle Güigüe Nro. 89-55"/>
    <s v="Cancelación Vigilancia, mes de Abril/2018"/>
    <x v="0"/>
    <m/>
    <s v="00963"/>
    <s v="16 de abril de 2018"/>
    <x v="17"/>
    <s v="140.000,00"/>
    <s v="Ciento Cuarenta Mil Bolívares con 00/100"/>
  </r>
  <r>
    <n v="964"/>
    <m/>
    <s v="ü"/>
    <d v="2018-04-20T00:00:00"/>
    <n v="280000"/>
    <s v="Familia Santos Carrillo"/>
    <s v="josesantos071073@gmail.com"/>
    <s v="Calle Guacara Nro. 90-93"/>
    <s v="Cancelación Vigilancia, meses de Marzo y Abril/2018"/>
    <x v="0"/>
    <m/>
    <s v="00964"/>
    <s v="20 de abril de 2018"/>
    <x v="17"/>
    <s v="280.000,00"/>
    <s v="Doscientos Ochenta Mil Bolívares con 00/100"/>
  </r>
  <r>
    <n v="965"/>
    <m/>
    <s v="ü"/>
    <d v="2018-04-20T00:00:00"/>
    <n v="500000"/>
    <s v="Familia Hatem Medina"/>
    <s v="hhatem1@hotmail.com"/>
    <s v="Calle Guacara Nro. 88-51"/>
    <s v="Colaboración mantenimiento Caseta de Vigilancia"/>
    <x v="7"/>
    <m/>
    <s v="00965"/>
    <s v="20 de abril de 2018"/>
    <x v="17"/>
    <s v="500.000,00"/>
    <s v="Quinientos Mil Bolívares con 00/100"/>
  </r>
  <r>
    <n v="966"/>
    <m/>
    <s v="ü"/>
    <d v="2018-04-21T00:00:00"/>
    <n v="200000"/>
    <s v="Gloria Molina"/>
    <s v="glomola2@yahoo.es"/>
    <s v="Calle Güigüe Nro. 89-71"/>
    <s v="Colaboración Vigilancia, meses de Marzo y Abril/2018"/>
    <x v="0"/>
    <m/>
    <s v="00966"/>
    <s v="21 de abril de 2018"/>
    <x v="17"/>
    <s v="200.000,00"/>
    <s v="Doscientos Mil Bolívares con 00/100"/>
  </r>
  <r>
    <n v="967"/>
    <m/>
    <s v="ü"/>
    <d v="2018-04-21T00:00:00"/>
    <n v="100000"/>
    <s v="Familia Zavarce Pérez"/>
    <s v="En Físico"/>
    <s v="Calle Guacara Nro. 90-35"/>
    <s v="Cancelación Vigilancia, saldo mes de Abril/2018"/>
    <x v="0"/>
    <m/>
    <s v="00967"/>
    <s v="21 de abril de 2018"/>
    <x v="17"/>
    <s v="100.000,00"/>
    <s v="Cien Mil Bolívares con 00/100"/>
  </r>
  <r>
    <n v="968"/>
    <m/>
    <s v="ü"/>
    <d v="2018-04-22T00:00:00"/>
    <n v="140000"/>
    <s v="Familia Navarro Assing"/>
    <s v="liliaassing@gmail.com"/>
    <s v="Calle Güigüe Nro. 88-54"/>
    <s v="Cancelación Vigilancia, mes de Abril/2018"/>
    <x v="0"/>
    <m/>
    <s v="00968"/>
    <s v="22 de abril de 2018"/>
    <x v="17"/>
    <s v="140.000,00"/>
    <s v="Ciento Cuarenta Mil Bolívares con 00/100"/>
  </r>
  <r>
    <n v="969"/>
    <m/>
    <s v="ü"/>
    <d v="2018-04-22T00:00:00"/>
    <n v="100000"/>
    <s v="Familia Navarro Assing"/>
    <s v="liliaassing@gmail.com"/>
    <s v="Calle Güigüe Nro. 88-54"/>
    <s v="Colaboración mantenimiento Caseta de Vigilancia"/>
    <x v="7"/>
    <m/>
    <s v="00969"/>
    <s v="22 de abril de 2018"/>
    <x v="17"/>
    <s v="100.000,00"/>
    <s v="Cien Mil Bolívares con 00/100"/>
  </r>
  <r>
    <n v="970"/>
    <m/>
    <s v="ü"/>
    <d v="2018-04-23T00:00:00"/>
    <n v="140000"/>
    <s v="Familia Alonso Rojas"/>
    <s v="redjc01@gmail.com"/>
    <s v="Calle Güigüe Nro. 89-54"/>
    <s v="Cancelación Vigilancia, mes de Mayo/2018"/>
    <x v="0"/>
    <m/>
    <s v="00970"/>
    <s v="23 de abril de 2018"/>
    <x v="17"/>
    <s v="140.000,00"/>
    <s v="Ciento Cuarenta Mil Bolívares con 00/100"/>
  </r>
  <r>
    <n v="971"/>
    <m/>
    <s v="ü"/>
    <d v="2018-04-23T00:00:00"/>
    <n v="60000"/>
    <s v="Familia Alonso Rojas"/>
    <s v="redjc01@gmail.com"/>
    <s v="Calle Güigüe Nro. 89-54"/>
    <s v="Colaboración mantenimiento Caseta de Vigilancia"/>
    <x v="7"/>
    <m/>
    <s v="00971"/>
    <s v="23 de abril de 2018"/>
    <x v="17"/>
    <s v="60.000,00"/>
    <s v="Sesenta Mil Bolívares con 00/100"/>
  </r>
  <r>
    <n v="972"/>
    <m/>
    <s v="ü"/>
    <d v="2018-04-24T00:00:00"/>
    <n v="60000"/>
    <s v="Familia Chávez Hernández"/>
    <s v="mercedesch23@hotmail.com"/>
    <s v="Calle Güigüe Nro. 88-20"/>
    <s v="Colaboración Vigilancia, meses de Marzo y Abril/2018"/>
    <x v="0"/>
    <m/>
    <s v="00972"/>
    <s v="24 de abril de 2018"/>
    <x v="17"/>
    <s v="60.000,00"/>
    <s v="Sesenta Mil Bolívares con 00/100"/>
  </r>
  <r>
    <n v="973"/>
    <m/>
    <s v="ü"/>
    <d v="2018-04-25T00:00:00"/>
    <n v="140000"/>
    <s v="Familia Acosta"/>
    <s v="pablo962@hotmail.com"/>
    <s v="Calle Güigüe Nro. 89-10"/>
    <s v="Cancelación Vigilancia, mes de Abril/2018"/>
    <x v="0"/>
    <m/>
    <s v="00973"/>
    <s v="25 de abril de 2018"/>
    <x v="17"/>
    <s v="140.000,00"/>
    <s v="Ciento Cuarenta Mil Bolívares con 00/100"/>
  </r>
  <r>
    <n v="974"/>
    <m/>
    <s v="ü"/>
    <d v="2018-04-26T00:00:00"/>
    <n v="300000"/>
    <s v="Familia Durvelle Serrano"/>
    <s v="sdurvelle@hotmail.com"/>
    <s v="Calle Guacara Nro. 89-60"/>
    <s v="Cancelación Vigilancia, mes de Mayo/2018 y aporte adicional"/>
    <x v="0"/>
    <m/>
    <s v="00974"/>
    <s v="26 de abril de 2018"/>
    <x v="17"/>
    <s v="300.000,00"/>
    <s v="Trescientos Mil Bolívares con 00/100"/>
  </r>
  <r>
    <n v="975"/>
    <m/>
    <s v="ü"/>
    <d v="2018-04-26T00:00:00"/>
    <n v="300000"/>
    <s v="Familia Durvelle Serrano"/>
    <s v="sdurvelle@hotmail.com"/>
    <s v="Calle Guacara Nro. 89-60"/>
    <s v="Anticipo Vigilancia, mes de Junio/2018"/>
    <x v="0"/>
    <m/>
    <s v="00975"/>
    <s v="26 de abril de 2018"/>
    <x v="17"/>
    <s v="300.000,00"/>
    <s v="Trescientos Mil Bolívares con 00/100"/>
  </r>
  <r>
    <n v="976"/>
    <m/>
    <s v="ü"/>
    <d v="2018-04-26T00:00:00"/>
    <n v="250000"/>
    <s v="Familia Puerta Burguillos"/>
    <s v="namaricakes@gmail.com"/>
    <s v="Calle Guacara Nro. 87-100"/>
    <s v="Cancelación Vigilancia, mes de Mayo/2018"/>
    <x v="0"/>
    <m/>
    <s v="00976"/>
    <s v="26 de abril de 2018"/>
    <x v="17"/>
    <s v="250.000,00"/>
    <s v="Doscientos Cincuenta Mil Bolívares con 00/100"/>
  </r>
  <r>
    <n v="977"/>
    <m/>
    <s v="ü"/>
    <d v="2018-04-26T00:00:00"/>
    <n v="250000"/>
    <s v="Familia Puerta Burguillos"/>
    <s v="namaricakes@gmail.com"/>
    <s v="Calle Guacara Nro. 87-100"/>
    <s v="Colaboración mantenimiento Caseta de Vigilancia"/>
    <x v="7"/>
    <m/>
    <s v="00977"/>
    <s v="26 de abril de 2018"/>
    <x v="17"/>
    <s v="250.000,00"/>
    <s v="Doscientos Cincuenta Mil Bolívares con 00/100"/>
  </r>
  <r>
    <n v="978"/>
    <m/>
    <s v="ü"/>
    <d v="2018-04-26T00:00:00"/>
    <n v="300000"/>
    <s v="Familia Jiménez Navarro"/>
    <s v="joyasonline2012@gmail.com"/>
    <s v="Calle Güigüe Nro. 88-50"/>
    <s v="Cancelación Vigilancia, mes de Abril/2018"/>
    <x v="0"/>
    <m/>
    <s v="00978"/>
    <s v="26 de abril de 2018"/>
    <x v="17"/>
    <s v="300.000,00"/>
    <s v="Trescientos Mil Bolívares con 00/100"/>
  </r>
  <r>
    <n v="979"/>
    <m/>
    <s v="û"/>
    <d v="2018-04-26T00:00:00"/>
    <n v="160000"/>
    <s v="Familia Jiménez Navarro"/>
    <s v="joyasonline2012@gmail.com"/>
    <s v="Calle Güigüe Nro. 88-50"/>
    <s v="ANULADO: Colaboración mantenimiento Caseta de Vigilancia"/>
    <x v="3"/>
    <m/>
    <s v="00979"/>
    <s v="26 de abril de 2018"/>
    <x v="17"/>
    <s v="160.000,00"/>
    <s v="Ciento Sesenta Mil Bolívares con 00/100"/>
  </r>
  <r>
    <n v="980"/>
    <m/>
    <s v="ü"/>
    <d v="2018-04-26T00:00:00"/>
    <n v="280000"/>
    <s v="Familia Scabuzzo Gómez"/>
    <s v="sfscabuzzo@msn.com"/>
    <s v="Av. &quot;I&quot; Nro. 146-20"/>
    <s v="Cancelación Vigilancia, meses de Marzo y Abril/2018"/>
    <x v="0"/>
    <m/>
    <s v="00980"/>
    <s v="26 de abril de 2018"/>
    <x v="17"/>
    <s v="280.000,00"/>
    <s v="Doscientos Ochenta Mil Bolívares con 00/100"/>
  </r>
  <r>
    <n v="981"/>
    <m/>
    <s v="ü"/>
    <d v="2018-04-26T00:00:00"/>
    <n v="280000"/>
    <s v="Familia Ozar Rivero"/>
    <s v="vanessarivero81@hotmail.com"/>
    <s v="Calle Güigüe Nro. 88-06"/>
    <s v="Cancelación Vigilancia, meses de Marzo y Abril/2018"/>
    <x v="0"/>
    <m/>
    <s v="00981"/>
    <s v="26 de abril de 2018"/>
    <x v="17"/>
    <s v="280.000,00"/>
    <s v="Doscientos Ochenta Mil Bolívares con 00/100"/>
  </r>
  <r>
    <n v="982"/>
    <m/>
    <s v="ü"/>
    <d v="2018-04-30T00:00:00"/>
    <n v="140000"/>
    <s v="Familia Castillo Mena"/>
    <s v="emmecas@hotmail.com"/>
    <s v="Calle Güigüe Nro. 88-101"/>
    <s v="Cancelación Vigilancia, mes de Abril/2018"/>
    <x v="0"/>
    <m/>
    <s v="00982"/>
    <s v="30 de abril de 2018"/>
    <x v="17"/>
    <s v="140.000,00"/>
    <s v="Ciento Cuarenta Mil Bolívares con 00/100"/>
  </r>
  <r>
    <n v="983"/>
    <m/>
    <s v="ü"/>
    <d v="2018-05-03T00:00:00"/>
    <n v="500000"/>
    <s v="Familia Zavarce Barón"/>
    <s v="alexanderzavarce@gmail.com"/>
    <s v="Calle Guacara Nro. 88-91"/>
    <s v="Colaboración Vigilancia, meses de Enero, Febrero, Marzo, Abril y anticipo mes de Mayo/2018"/>
    <x v="0"/>
    <m/>
    <s v="00983"/>
    <s v="03 de mayo de 2018"/>
    <x v="18"/>
    <s v="500.000,00"/>
    <s v="Quinientos Mil Bolívares con 00/100"/>
  </r>
  <r>
    <n v="984"/>
    <m/>
    <s v="ü"/>
    <d v="2018-05-03T00:00:00"/>
    <n v="400000"/>
    <s v="Familia Fermín Rivas"/>
    <s v="angelferminb@gmail.com"/>
    <s v="Calle Güigüe Nro. 89-55"/>
    <s v="Cancelación Vigilancia, mes de Mayo/2018 (saldo a favor: Bs. 360.000)"/>
    <x v="0"/>
    <m/>
    <s v="00984"/>
    <s v="03 de mayo de 2018"/>
    <x v="18"/>
    <s v="400.000,00"/>
    <s v="Cuatrocientos Mil Bolívares con 00/100"/>
  </r>
  <r>
    <n v="985"/>
    <m/>
    <s v="ü"/>
    <d v="2018-05-03T00:00:00"/>
    <n v="400000"/>
    <s v="Familia Jiménez Salvatierra"/>
    <s v="En Físico"/>
    <s v="Calle Güigüe Nro. 89-45"/>
    <s v="Cancelación Vigilancia, mes de Mayo/2018 (saldo a favor: Bs. 1.393.000)"/>
    <x v="0"/>
    <m/>
    <s v="00985"/>
    <s v="03 de mayo de 2018"/>
    <x v="18"/>
    <s v="400.000,00"/>
    <s v="Cuatrocientos Mil Bolívares con 00/100"/>
  </r>
  <r>
    <n v="986"/>
    <m/>
    <s v="ü"/>
    <d v="2018-05-03T00:00:00"/>
    <n v="400000"/>
    <s v="Ely Saúl Rivero Gómez, C.I 18.448.557"/>
    <s v="hhs.admon@gmail.com"/>
    <s v="Av. &quot;Ñ&quot; Nro. 145-25"/>
    <s v="Cancelación Vigilancia, mes de Mayo/2018 (saldo a favor: Bs. 185.000)"/>
    <x v="0"/>
    <m/>
    <s v="00986"/>
    <s v="03 de mayo de 2018"/>
    <x v="18"/>
    <s v="400.000,00"/>
    <s v="Cuatrocientos Mil Bolívares con 00/100"/>
  </r>
  <r>
    <n v="987"/>
    <m/>
    <s v="ü"/>
    <d v="2018-05-03T00:00:00"/>
    <n v="400000"/>
    <s v="Familia Del Negro Palermo"/>
    <s v="vdelnegro@gmail.com"/>
    <s v="Calle Guacara Nro. 88-45"/>
    <s v="Cancelación Vigilancia, mes de Mayo/2018 (saldo a favor: Bs. 120.000)"/>
    <x v="0"/>
    <m/>
    <s v="00987"/>
    <s v="03 de mayo de 2018"/>
    <x v="18"/>
    <s v="400.000,00"/>
    <s v="Cuatrocientos Mil Bolívares con 00/100"/>
  </r>
  <r>
    <n v="988"/>
    <m/>
    <s v="ü"/>
    <d v="2018-05-03T00:00:00"/>
    <n v="400000"/>
    <s v="Familia López Hermoso"/>
    <s v="lopez.humberto14@yahoo.com.ve"/>
    <s v="Calle Güigüe Nro. 89-79"/>
    <s v="Cancelación Vigilancia, mes de Mayo/2018 (saldo a favor: Bs. 160.000)"/>
    <x v="0"/>
    <m/>
    <s v="00988"/>
    <s v="03 de mayo de 2018"/>
    <x v="18"/>
    <s v="400.000,00"/>
    <s v="Cuatrocientos Mil Bolívares con 00/100"/>
  </r>
  <r>
    <n v="989"/>
    <m/>
    <s v="ü"/>
    <d v="2018-05-03T00:00:00"/>
    <n v="140000"/>
    <s v="Familia Triana"/>
    <s v="En Físico"/>
    <s v="Calle Guacara Nro. 90-61"/>
    <s v="Cancelación Vigilancia, mes de Abril/2018"/>
    <x v="0"/>
    <m/>
    <s v="00989"/>
    <s v="03 de mayo de 2018"/>
    <x v="18"/>
    <s v="140.000,00"/>
    <s v="Ciento Cuarenta Mil Bolívares con 00/100"/>
  </r>
  <r>
    <n v="990"/>
    <m/>
    <s v="ü"/>
    <d v="2018-05-03T00:00:00"/>
    <n v="520000"/>
    <s v="Familia Cegarra Villamizar"/>
    <s v="jesus.villamizar.ra@gmail.com"/>
    <s v="Calle Guacara Nro. 88-35"/>
    <s v="Cancelación Vigilancia, saldo meses de Marzo y Abril y cancelación mes de Mayo/2018"/>
    <x v="0"/>
    <m/>
    <s v="00990"/>
    <s v="03 de mayo de 2018"/>
    <x v="18"/>
    <s v="520.000,00"/>
    <s v="Quinientos Veinte Mil Bolívares con 00/100"/>
  </r>
  <r>
    <n v="991"/>
    <m/>
    <s v="ü"/>
    <d v="2018-05-03T00:00:00"/>
    <n v="400000"/>
    <s v="Familia Milanés Carmona"/>
    <s v="yndira11m@gmail.com"/>
    <s v="Calle Güigüe Nro. 89-65"/>
    <s v="Cancelación Vigilancia, mes de Mayo/2018"/>
    <x v="0"/>
    <m/>
    <s v="00991"/>
    <s v="03 de mayo de 2018"/>
    <x v="18"/>
    <s v="400.000,00"/>
    <s v="Cuatrocientos Mil Bolívares con 00/100"/>
  </r>
  <r>
    <n v="992"/>
    <m/>
    <s v="ü"/>
    <d v="2018-05-04T00:00:00"/>
    <n v="400000"/>
    <s v="Familia Lomeña Agudo"/>
    <s v="claudialomena@hotmail.com"/>
    <s v="Calle Guacara Nro. 89-30"/>
    <s v="Cancelación Vigilancia, mes de Mayo/2018"/>
    <x v="0"/>
    <m/>
    <s v="00992"/>
    <s v="04 de mayo de 2018"/>
    <x v="18"/>
    <s v="400.000,00"/>
    <s v="Cuatrocientos Mil Bolívares con 00/100"/>
  </r>
  <r>
    <n v="993"/>
    <m/>
    <s v="ü"/>
    <d v="2018-05-04T00:00:00"/>
    <n v="550000"/>
    <s v="Familia Ochoa Mendoza"/>
    <s v="marisoljudithm@hotmail.com"/>
    <s v="Calle Güigüe Nro. 89-105"/>
    <s v="Cancelación Vigilancia, meses de Abril y Mayo/2018"/>
    <x v="0"/>
    <m/>
    <s v="00993"/>
    <s v="04 de mayo de 2018"/>
    <x v="18"/>
    <s v="550.000,00"/>
    <s v="Quinientos Cincuenta Mil Bolívares con 00/100"/>
  </r>
  <r>
    <n v="994"/>
    <m/>
    <s v="ü"/>
    <d v="2018-05-04T00:00:00"/>
    <n v="400000"/>
    <s v="Familia Arcia Polanco"/>
    <s v="misipo29@gmail.com"/>
    <s v="Calle Guacara Nro. 89-20"/>
    <s v="Cancelación Vigilancia, mes de Mayo/2018"/>
    <x v="0"/>
    <m/>
    <s v="00994"/>
    <s v="04 de mayo de 2018"/>
    <x v="18"/>
    <s v="400.000,00"/>
    <s v="Cuatrocientos Mil Bolívares con 00/100"/>
  </r>
  <r>
    <n v="995"/>
    <m/>
    <s v="ü"/>
    <d v="2018-05-04T00:00:00"/>
    <n v="400000"/>
    <s v="Familia Loponte Arteaga"/>
    <s v="nancyloponte@hotmail.com"/>
    <s v="Calle Güigüe Nro. 88-120"/>
    <s v="Cancelación Vigilancia, mes de Mayo/2018"/>
    <x v="0"/>
    <m/>
    <s v="00995"/>
    <s v="04 de mayo de 2018"/>
    <x v="18"/>
    <s v="400.000,00"/>
    <s v="Cuatrocientos Mil Bolívares con 00/100"/>
  </r>
  <r>
    <n v="996"/>
    <m/>
    <s v="ü"/>
    <d v="2018-05-04T00:00:00"/>
    <n v="400000"/>
    <s v="Familia Durvelle Serrano"/>
    <s v="sdurvelle@hotmail.com"/>
    <s v="Calle Guacara Nro. 89-60"/>
    <s v="Cancelación Vigilancia, saldo mes de Mayo y anticipo Junio/2018"/>
    <x v="0"/>
    <m/>
    <s v="00996"/>
    <s v="04 de mayo de 2018"/>
    <x v="18"/>
    <s v="400.000,00"/>
    <s v="Cuatrocientos Mil Bolívares con 00/100"/>
  </r>
  <r>
    <n v="997"/>
    <m/>
    <s v="ü"/>
    <d v="2018-05-06T00:00:00"/>
    <n v="260000"/>
    <s v="Familia Alonso Rojas"/>
    <s v="redjc01@gmail.com"/>
    <s v="Calle Güigüe Nro. 89-54"/>
    <s v="Cancelación Vigilancia, saldo mes de Mayo/2018"/>
    <x v="0"/>
    <m/>
    <s v="00997"/>
    <s v="06 de mayo de 2018"/>
    <x v="18"/>
    <s v="260.000,00"/>
    <s v="Doscientos Sesenta Mil Bolívares con 00/100"/>
  </r>
  <r>
    <n v="998"/>
    <m/>
    <s v="ü"/>
    <d v="2018-05-07T00:00:00"/>
    <n v="400000"/>
    <s v="Wu Hung Fung"/>
    <s v="carolinahung24@gmail.com"/>
    <s v="Calle Guacara Nro. 90-81"/>
    <s v="Cancelación Vigilancia, mes de Mayo/2018"/>
    <x v="0"/>
    <m/>
    <s v="00998"/>
    <s v="07 de mayo de 2018"/>
    <x v="18"/>
    <s v="400.000,00"/>
    <s v="Cuatrocientos Mil Bolívares con 00/100"/>
  </r>
  <r>
    <n v="999"/>
    <m/>
    <s v="ü"/>
    <d v="2018-05-07T00:00:00"/>
    <n v="100000"/>
    <s v="Wu Hung Fung"/>
    <s v="carolinahung24@gmail.com"/>
    <s v="Calle Guacara Nro. 90-81"/>
    <s v="Colaboración mantenimiento Caseta de Vigilancia"/>
    <x v="7"/>
    <m/>
    <s v="00999"/>
    <s v="07 de mayo de 2018"/>
    <x v="18"/>
    <s v="100.000,00"/>
    <s v="Cien Mil Bolívares con 00/100"/>
  </r>
  <r>
    <n v="1000"/>
    <m/>
    <s v="ü"/>
    <d v="2018-05-07T00:00:00"/>
    <n v="400000"/>
    <s v="Familia Colosso Delgado"/>
    <s v="mcolosso@gmail.com"/>
    <s v="Calle Güigüe Nro. 88-44"/>
    <s v="Cancelación Vigilancia, mes de Mayo/2018"/>
    <x v="0"/>
    <m/>
    <s v="01000"/>
    <s v="07 de mayo de 2018"/>
    <x v="18"/>
    <s v="400.000,00"/>
    <s v="Cuatrocientos Mil Bolívares con 00/100"/>
  </r>
  <r>
    <n v="1001"/>
    <m/>
    <s v="ü"/>
    <d v="2018-04-06T00:00:00"/>
    <n v="140000"/>
    <s v="Familia Ferrer Bahri"/>
    <s v="bahrimariela@hotmail.com"/>
    <s v="Calle Güigüe Nro. 89-83"/>
    <s v="Cancelación Vigilancia, mes de Abril/2018"/>
    <x v="0"/>
    <m/>
    <s v="01001"/>
    <s v="06 de abril de 2018"/>
    <x v="17"/>
    <s v="140.000,00"/>
    <s v="Ciento Cuarenta Mil Bolívares con 00/100"/>
  </r>
  <r>
    <n v="1002"/>
    <m/>
    <s v="ü"/>
    <d v="2018-04-06T00:00:00"/>
    <n v="60000"/>
    <s v="Familia Ferrer Bahri"/>
    <s v="bahrimariela@hotmail.com"/>
    <s v="Calle Güigüe Nro. 89-83"/>
    <s v="Colaboración mantenimiento Caseta de Vigilancia"/>
    <x v="7"/>
    <m/>
    <s v="01002"/>
    <s v="06 de abril de 2018"/>
    <x v="17"/>
    <s v="60.000,00"/>
    <s v="Sesenta Mil Bolívares con 00/100"/>
  </r>
  <r>
    <n v="1003"/>
    <m/>
    <s v="ü"/>
    <d v="2018-05-07T00:00:00"/>
    <n v="400000"/>
    <s v="Familia Ferrer Bahri"/>
    <s v="bahrimariela@hotmail.com"/>
    <s v="Calle Güigüe Nro. 89-83"/>
    <s v="Cancelación Vigilancia, mes de Mayo/2018"/>
    <x v="0"/>
    <m/>
    <s v="01003"/>
    <s v="07 de mayo de 2018"/>
    <x v="18"/>
    <s v="400.000,00"/>
    <s v="Cuatrocientos Mil Bolívares con 00/100"/>
  </r>
  <r>
    <n v="1004"/>
    <m/>
    <s v="ü"/>
    <d v="2018-05-07T00:00:00"/>
    <n v="540000"/>
    <s v="Familia Flores Montagne"/>
    <s v="martaflores@gmail.com"/>
    <s v="Av. &quot;M&quot; Nro. 146-20"/>
    <s v="Cancelación Vigilancia, meses de Abril y Mayo/2018"/>
    <x v="0"/>
    <m/>
    <s v="01004"/>
    <s v="07 de mayo de 2018"/>
    <x v="18"/>
    <s v="540.000,00"/>
    <s v="Quinientos Cuarenta Mil Bolívares con 00/100"/>
  </r>
  <r>
    <n v="1005"/>
    <m/>
    <s v="ü"/>
    <d v="2018-05-04T00:00:00"/>
    <n v="140000"/>
    <s v="Familia Gascón Domínguez"/>
    <s v="vrgascon@gmail.com"/>
    <s v="Calle Güigüe Nro. 88-70"/>
    <s v="Cancelación Vigilancia, mes de Abril/2018"/>
    <x v="0"/>
    <m/>
    <s v="01005"/>
    <s v="04 de mayo de 2018"/>
    <x v="18"/>
    <s v="140.000,00"/>
    <s v="Ciento Cuarenta Mil Bolívares con 00/100"/>
  </r>
  <r>
    <n v="1006"/>
    <m/>
    <s v="ü"/>
    <d v="2018-05-07T00:00:00"/>
    <n v="440000"/>
    <s v="Familia Astor Zamora"/>
    <s v="imzastor@gmail.com"/>
    <s v="Calle Güigüe Nro. 88-111"/>
    <s v="Cancelación Vigilancia, meses de Enero, Febrero, Marzo y Abril/2018"/>
    <x v="0"/>
    <m/>
    <s v="01006"/>
    <s v="07 de mayo de 2018"/>
    <x v="18"/>
    <s v="440.000,00"/>
    <s v="Cuatrocientos Cuarenta Mil Bolívares con 00/100"/>
  </r>
  <r>
    <n v="1007"/>
    <m/>
    <s v="ü"/>
    <d v="2018-05-08T00:00:00"/>
    <n v="100000"/>
    <s v="Familia Méndez Parra"/>
    <s v="briceidamp@hotmail.com"/>
    <s v="Calle Guacara Nro. 88-19"/>
    <s v="Colaboración Vigilancia, mes de Abril/2018"/>
    <x v="0"/>
    <m/>
    <s v="01007"/>
    <s v="08 de mayo de 2018"/>
    <x v="18"/>
    <s v="100.000,00"/>
    <s v="Cien Mil Bolívares con 00/100"/>
  </r>
  <r>
    <n v="1008"/>
    <m/>
    <s v="ü"/>
    <d v="2018-05-08T00:00:00"/>
    <n v="680000"/>
    <s v="Familia Matta Palomino"/>
    <s v="En Físico"/>
    <s v="Calle Güigüe Nro. 88-90"/>
    <s v="Cancelación Vigilancia, meses de Marzo, Abril y Mayo/2018"/>
    <x v="0"/>
    <m/>
    <s v="01008"/>
    <s v="08 de mayo de 2018"/>
    <x v="18"/>
    <s v="680.000,00"/>
    <s v="Seiscientos Ochenta Mil Bolívares con 00/100"/>
  </r>
  <r>
    <n v="1009"/>
    <m/>
    <s v="ü"/>
    <d v="2018-05-08T00:00:00"/>
    <n v="140000"/>
    <s v="Ana de González"/>
    <s v="mikelnowak25@gmail.com"/>
    <s v="Av. &quot;O&quot; Nro. 146-17"/>
    <s v="Colaboración Vigilancia, mes de Abril/2018"/>
    <x v="0"/>
    <m/>
    <s v="01009"/>
    <s v="08 de mayo de 2018"/>
    <x v="18"/>
    <s v="140.000,00"/>
    <s v="Ciento Cuarenta Mil Bolívares con 00/100"/>
  </r>
  <r>
    <n v="1010"/>
    <m/>
    <s v="ü"/>
    <d v="2018-05-08T00:00:00"/>
    <n v="400000"/>
    <s v="Isbeth Palacios"/>
    <s v="ispalparcpc@gmail.com"/>
    <s v="Calle Guacara Nro. 88-75"/>
    <s v="Cancelación Vigilancia, mes de Mayo/2018"/>
    <x v="0"/>
    <m/>
    <s v="01010"/>
    <s v="08 de mayo de 2018"/>
    <x v="18"/>
    <s v="400.000,00"/>
    <s v="Cuatrocientos Mil Bolívares con 00/100"/>
  </r>
  <r>
    <n v="1011"/>
    <m/>
    <s v="ü"/>
    <d v="2018-05-08T00:00:00"/>
    <n v="555000"/>
    <s v="La Casita Encantada"/>
    <s v="En Físico"/>
    <s v="Av. &quot;M&quot; Nro. 146-30"/>
    <s v="Cancelación Vigilancia, meses de Abril y Mayo/2018"/>
    <x v="0"/>
    <m/>
    <s v="01011"/>
    <s v="08 de mayo de 2018"/>
    <x v="18"/>
    <s v="555.000,00"/>
    <s v="Quinientos Cincuenta y Cinco Mil Bolívares con 00/100"/>
  </r>
  <r>
    <n v="1012"/>
    <m/>
    <s v="ü"/>
    <d v="2018-05-09T00:00:00"/>
    <n v="400000"/>
    <s v="Familia Costermani Terrer"/>
    <s v="claudiacostermani@hotmail.com"/>
    <s v="Calle Güigüe Nro. 88-11"/>
    <s v="Cancelación Vigilancia, mes de Mayo/2018"/>
    <x v="0"/>
    <m/>
    <s v="01012"/>
    <s v="09 de mayo de 2018"/>
    <x v="18"/>
    <s v="400.000,00"/>
    <s v="Cuatrocientos Mil Bolívares con 00/100"/>
  </r>
  <r>
    <n v="1013"/>
    <m/>
    <s v="ü"/>
    <d v="2018-05-10T00:00:00"/>
    <n v="2000000"/>
    <s v="Familia Kattar"/>
    <s v="jagiak123@yahoo.es"/>
    <s v="Calle Güigüe Nro. 89-95"/>
    <s v="Cancelación Vigilancia, saldo mes de Mayo, y anticipo meses de Junio, Julio, Agosto, Septiembre y Octubre/2018"/>
    <x v="0"/>
    <m/>
    <s v="01013"/>
    <s v="10 de mayo de 2018"/>
    <x v="18"/>
    <s v="2.000.000,00"/>
    <s v="Dos Millones Bolívares con 00/100"/>
  </r>
  <r>
    <n v="1014"/>
    <m/>
    <s v="ü"/>
    <d v="2018-05-10T00:00:00"/>
    <n v="400000"/>
    <s v="Familia Navarro Assing"/>
    <s v="liliaassing@gmail.com"/>
    <s v="Calle Güigüe Nro. 88-54"/>
    <s v="Cancelación Vigilancia, mes de Mayo/2018"/>
    <x v="0"/>
    <m/>
    <s v="01014"/>
    <s v="10 de mayo de 2018"/>
    <x v="18"/>
    <s v="400.000,00"/>
    <s v="Cuatrocientos Mil Bolívares con 00/100"/>
  </r>
  <r>
    <n v="1015"/>
    <m/>
    <s v="ü"/>
    <d v="2018-05-11T00:00:00"/>
    <n v="400000"/>
    <s v="Familia Delgado Hidalgo"/>
    <s v="ardh@hotmail.com"/>
    <s v="Calle Güigüe Nro. 88-10"/>
    <s v="Cancelación Vigilancia, mes de Mayo/2018"/>
    <x v="0"/>
    <m/>
    <s v="01015"/>
    <s v="11 de mayo de 2018"/>
    <x v="18"/>
    <s v="400.000,00"/>
    <s v="Cuatrocientos Mil Bolívares con 00/100"/>
  </r>
  <r>
    <n v="1016"/>
    <m/>
    <s v="ü"/>
    <d v="2018-05-11T00:00:00"/>
    <n v="280000"/>
    <s v="Sra. Reina Meléndez"/>
    <s v="olgajipe@gmail.com"/>
    <s v="Av. &quot;M&quot; Nro. 145-10"/>
    <s v="Cancelación Vigilancia, mes de Abril y anticipo Mayo/2018"/>
    <x v="0"/>
    <m/>
    <s v="01016"/>
    <s v="11 de mayo de 2018"/>
    <x v="18"/>
    <s v="280.000,00"/>
    <s v="Doscientos Ochenta Mil Bolívares con 00/100"/>
  </r>
  <r>
    <n v="1017"/>
    <m/>
    <s v="ü"/>
    <d v="2018-05-13T00:00:00"/>
    <n v="100000"/>
    <s v="Familia Morales Sesar"/>
    <s v="moralesesar@gmail.com"/>
    <s v="Calle Güigüe Nro. 89-120"/>
    <s v="Colaboración Vigilancia, meses de Marzo y Abril/2018"/>
    <x v="0"/>
    <m/>
    <s v="01017"/>
    <s v="13 de mayo de 2018"/>
    <x v="18"/>
    <s v="100.000,00"/>
    <s v="Cien Mil Bolívares con 00/100"/>
  </r>
  <r>
    <n v="1018"/>
    <m/>
    <s v="ü"/>
    <d v="2018-05-13T00:00:00"/>
    <n v="580000"/>
    <s v="Colegio El Trigal"/>
    <s v="En Físico"/>
    <s v="Calle Güigüe Nros. 88-71 y 88-81"/>
    <s v="Cancelación Vigilancia, mes de Mayo/2018"/>
    <x v="0"/>
    <m/>
    <s v="01018"/>
    <s v="13 de mayo de 2018"/>
    <x v="18"/>
    <s v="580.000,00"/>
    <s v="Quinientos Ochenta Mil Bolívares con 00/100"/>
  </r>
  <r>
    <n v="1019"/>
    <m/>
    <s v="ü"/>
    <d v="2018-05-14T00:00:00"/>
    <n v="300000"/>
    <s v="Familia Martínez Boada"/>
    <s v="florcitakmz@gmail.com"/>
    <s v="Calle Güigüe Nro. 88-62"/>
    <s v="Colaboración Vigilancia, meses de Marzo, Abril y Mayo/2018"/>
    <x v="0"/>
    <m/>
    <s v="01019"/>
    <s v="14 de mayo de 2018"/>
    <x v="18"/>
    <s v="300.000,00"/>
    <s v="Trescientos Mil Bolívares con 00/100"/>
  </r>
  <r>
    <n v="1020"/>
    <m/>
    <s v="ü"/>
    <d v="2018-05-15T00:00:00"/>
    <n v="400000"/>
    <s v="Familia Nava Gordon"/>
    <s v="maru_19_66@hotmail.com"/>
    <s v="Calle Guacara Nro. 89-78"/>
    <s v="Cancelación Vigilancia, mes de Mayo/2018"/>
    <x v="0"/>
    <m/>
    <s v="01020"/>
    <s v="15 de mayo de 2018"/>
    <x v="18"/>
    <s v="400.000,00"/>
    <s v="Cuatrocientos Mil Bolívares con 00/100"/>
  </r>
  <r>
    <n v="1021"/>
    <m/>
    <s v="ü"/>
    <d v="2018-05-15T00:00:00"/>
    <n v="400000"/>
    <s v="Familia Hurtado"/>
    <s v="En Físico"/>
    <s v="Av. &quot;O&quot; Nro. 146-11"/>
    <s v="Cancelación Vigilancia, mes de Mayo/2018"/>
    <x v="0"/>
    <m/>
    <s v="01021"/>
    <s v="15 de mayo de 2018"/>
    <x v="18"/>
    <s v="400.000,00"/>
    <s v="Cuatrocientos Mil Bolívares con 00/100"/>
  </r>
  <r>
    <n v="1022"/>
    <m/>
    <s v="ü"/>
    <d v="2018-05-15T00:00:00"/>
    <n v="400000"/>
    <s v="Familia Kabblan"/>
    <s v="norisjsb56@hotmail.com"/>
    <s v="Calle Güigüe Nro. 89-80"/>
    <s v="Cancelación Vigilancia, mes de Mayo/2018"/>
    <x v="0"/>
    <m/>
    <s v="01022"/>
    <s v="15 de mayo de 2018"/>
    <x v="18"/>
    <s v="400.000,00"/>
    <s v="Cuatrocientos Mil Bolívares con 00/100"/>
  </r>
  <r>
    <n v="1023"/>
    <m/>
    <s v="ü"/>
    <d v="2018-05-15T00:00:00"/>
    <n v="200000"/>
    <s v="Manuel Rodríguez"/>
    <s v="mrl58@hotmail.com"/>
    <s v="Calle Güigüe Nro. 89-29"/>
    <s v="Colaboración Vigilancia, mes de Mayo/2018"/>
    <x v="0"/>
    <m/>
    <s v="01023"/>
    <s v="15 de mayo de 2018"/>
    <x v="18"/>
    <s v="200.000,00"/>
    <s v="Doscientos Mil Bolívares con 00/100"/>
  </r>
  <r>
    <n v="1024"/>
    <m/>
    <s v="ü"/>
    <d v="2018-05-15T00:00:00"/>
    <n v="300000"/>
    <s v="Dra. Lilia Magallanes"/>
    <s v="liliamagallanes2010@gmail.com"/>
    <s v="Calle Güigüe Nro. 88-51"/>
    <s v="Cancelación Vigilancia, meses de Noviembre y Diciembre/2017, Enero y Febrero/2018, y anticipo Marzo/2018"/>
    <x v="0"/>
    <m/>
    <s v="01024"/>
    <s v="15 de mayo de 2018"/>
    <x v="18"/>
    <s v="300.000,00"/>
    <s v="Trescientos Mil Bolívares con 00/100"/>
  </r>
  <r>
    <n v="1025"/>
    <m/>
    <s v="ü"/>
    <d v="2018-05-17T00:00:00"/>
    <n v="400000"/>
    <s v="Beatriz Lara"/>
    <s v="valentina.gutierrez@hotmail.com"/>
    <s v="Calle Guacara Nro. 89-130"/>
    <s v="Cancelación Vigilancia, mes de Mayo/2018"/>
    <x v="0"/>
    <m/>
    <s v="01025"/>
    <s v="17 de mayo de 2018"/>
    <x v="18"/>
    <s v="400.000,00"/>
    <s v="Cuatrocientos Mil Bolívares con 00/100"/>
  </r>
  <r>
    <n v="1026"/>
    <m/>
    <s v="ü"/>
    <d v="2018-05-18T00:00:00"/>
    <n v="1600000"/>
    <s v="Familia Machado Stoppa"/>
    <s v="machadoru@hotmail.com"/>
    <s v="Calle Guacara Nro. 88-85"/>
    <s v="Cancelación Vigilancia, meses de Mayo, Junio, Julio y Agosto/2018"/>
    <x v="0"/>
    <m/>
    <s v="01026"/>
    <s v="18 de mayo de 2018"/>
    <x v="18"/>
    <s v="1.600.000,00"/>
    <s v="Un Millón Seiscientos Mil Bolívares con 00/100"/>
  </r>
  <r>
    <n v="1027"/>
    <m/>
    <s v="ü"/>
    <d v="2018-05-18T00:00:00"/>
    <n v="250000"/>
    <s v="Victoria Francischiello"/>
    <s v="victoriafrancischiello@hotmail.com"/>
    <s v="Calle Guacara Nro. 88-25"/>
    <s v="Colaboración Vigilancia, mes de Mayo/2018"/>
    <x v="0"/>
    <m/>
    <s v="01027"/>
    <s v="18 de mayo de 2018"/>
    <x v="18"/>
    <s v="250.000,00"/>
    <s v="Doscientos Cincuenta Mil Bolívares con 00/100"/>
  </r>
  <r>
    <n v="1028"/>
    <m/>
    <s v="ü"/>
    <d v="2018-05-18T00:00:00"/>
    <n v="140000"/>
    <s v="Familia Barreto Pérez"/>
    <s v="bbetsa19@hotmail.com"/>
    <s v="Av. &quot;M&quot; Nro. 146-15"/>
    <s v="Cancelación Vigilancia, mes de Abril/2018"/>
    <x v="0"/>
    <m/>
    <s v="01028"/>
    <s v="18 de mayo de 2018"/>
    <x v="18"/>
    <s v="140.000,00"/>
    <s v="Ciento Cuarenta Mil Bolívares con 00/100"/>
  </r>
  <r>
    <n v="1029"/>
    <m/>
    <s v="ü"/>
    <d v="2018-05-18T00:00:00"/>
    <n v="400000"/>
    <s v="Familia Castillo Mena"/>
    <s v="emmecas@hotmail.com"/>
    <s v="Calle Güigüe Nro. 88-101"/>
    <s v="Cancelación Vigilancia, mes de Mayo/2018"/>
    <x v="0"/>
    <m/>
    <s v="01029"/>
    <s v="18 de mayo de 2018"/>
    <x v="18"/>
    <s v="400.000,00"/>
    <s v="Cuatrocientos Mil Bolívares con 00/100"/>
  </r>
  <r>
    <n v="1030"/>
    <m/>
    <s v="ü"/>
    <d v="2018-05-19T00:00:00"/>
    <n v="400000"/>
    <s v="Amarilis Guerra"/>
    <s v="amarilisguerra1@yahoo.com"/>
    <s v="Calle Güigüe Nro. 89-96"/>
    <s v="Cancelación Vigilancia, mes de Mayo/2018"/>
    <x v="0"/>
    <m/>
    <s v="01030"/>
    <s v="19 de mayo de 2018"/>
    <x v="18"/>
    <s v="400.000,00"/>
    <s v="Cuatrocientos Mil Bolívares con 00/100"/>
  </r>
  <r>
    <n v="1031"/>
    <m/>
    <s v="ü"/>
    <d v="2018-05-20T00:00:00"/>
    <n v="120000"/>
    <s v="Familia Rivero"/>
    <s v="En Físico"/>
    <s v="Calle Güigüe Nro. 88-40"/>
    <s v="Colaboración Vigilancia, meses de Febrero, Marzo, Abril y Mayo/2018"/>
    <x v="0"/>
    <m/>
    <s v="01031"/>
    <s v="20 de mayo de 2018"/>
    <x v="18"/>
    <s v="120.000,00"/>
    <s v="Ciento Veinte Mil Bolívares con 00/100"/>
  </r>
  <r>
    <n v="1032"/>
    <m/>
    <s v="ü"/>
    <d v="2018-05-20T00:00:00"/>
    <n v="540000"/>
    <s v="Familia Navarrete Medina"/>
    <s v="juanin1919@yahoo.com"/>
    <s v="Calle Güigüe Nro. 89-22"/>
    <s v="Cancelación Vigilancia, meses de Abril y Mayo/2018"/>
    <x v="0"/>
    <m/>
    <s v="01032"/>
    <s v="20 de mayo de 2018"/>
    <x v="18"/>
    <s v="540.000,00"/>
    <s v="Quinientos Cuarenta Mil Bolívares con 00/100"/>
  </r>
  <r>
    <n v="1033"/>
    <m/>
    <s v="ü"/>
    <d v="2018-05-04T00:00:00"/>
    <n v="200000"/>
    <s v="Chin Chun Ya (Goya)"/>
    <s v="uc2721@gmail.com"/>
    <s v="Calle Guacara Nro. 87-86"/>
    <s v="Colaboración Vigilancia, mes de Mayo/2018"/>
    <x v="0"/>
    <m/>
    <s v="01033"/>
    <s v="04 de mayo de 2018"/>
    <x v="18"/>
    <s v="200.000,00"/>
    <s v="Doscientos Mil Bolívares con 00/100"/>
  </r>
  <r>
    <n v="1034"/>
    <m/>
    <s v="ü"/>
    <d v="2018-05-21T00:00:00"/>
    <n v="400000"/>
    <s v="Familia Montilla García"/>
    <s v="dairy252525@hotmail.com"/>
    <s v="Calle Güigüe Nro. 89-90"/>
    <s v="Cancelación Vigilancia, mes de Mayo/2018"/>
    <x v="0"/>
    <m/>
    <s v="01034"/>
    <s v="21 de mayo de 2018"/>
    <x v="18"/>
    <s v="400.000,00"/>
    <s v="Cuatrocientos Mil Bolívares con 00/100"/>
  </r>
  <r>
    <n v="1035"/>
    <m/>
    <s v="ü"/>
    <d v="2018-05-21T00:00:00"/>
    <n v="200000"/>
    <s v="Héctor Hernández"/>
    <s v="eof64@hotmail.com"/>
    <s v="Calle Guacara Nro. 89-94"/>
    <s v="Colaboración Vigilancia, mes de Mayo/2018"/>
    <x v="0"/>
    <m/>
    <s v="01035"/>
    <s v="21 de mayo de 2018"/>
    <x v="18"/>
    <s v="200.000,00"/>
    <s v="Doscientos Mil Bolívares con 00/100"/>
  </r>
  <r>
    <n v="1036"/>
    <m/>
    <s v="ü"/>
    <d v="2018-05-21T00:00:00"/>
    <n v="190000"/>
    <s v="Franco Gómez"/>
    <s v="eof64@hotmail.com"/>
    <s v="Calle Guacara Nro. 87-07"/>
    <s v="Cancelación Vigilancia, anticipo mes de Mayo/2018"/>
    <x v="0"/>
    <m/>
    <s v="01036"/>
    <s v="21 de mayo de 2018"/>
    <x v="18"/>
    <s v="190.000,00"/>
    <s v="Ciento Noventa Mil Bolívares con 00/100"/>
  </r>
  <r>
    <n v="1037"/>
    <m/>
    <s v="ü"/>
    <d v="2018-05-21T00:00:00"/>
    <n v="400000"/>
    <s v="Familia Narváez Caldera"/>
    <s v="jeannette_nc@yahoo.com"/>
    <s v="Calle Güigüe Nro. 87-A-11"/>
    <s v="Cancelación Vigilancia, mes de Mayo/2018"/>
    <x v="0"/>
    <m/>
    <s v="01037"/>
    <s v="21 de mayo de 2018"/>
    <x v="18"/>
    <s v="400.000,00"/>
    <s v="Cuatrocientos Mil Bolívares con 00/100"/>
  </r>
  <r>
    <n v="1038"/>
    <m/>
    <s v="ü"/>
    <d v="2018-05-21T00:00:00"/>
    <n v="100000"/>
    <s v="Familia Narváez Caldera"/>
    <s v="jeannette_nc@yahoo.com"/>
    <s v="Calle Güigüe Nro. 87-A-11"/>
    <s v="Colaboración mantenimiento Caseta de Vigilancia"/>
    <x v="7"/>
    <m/>
    <s v="01038"/>
    <s v="21 de mayo de 2018"/>
    <x v="18"/>
    <s v="100.000,00"/>
    <s v="Cien Mil Bolívares con 00/100"/>
  </r>
  <r>
    <n v="1039"/>
    <m/>
    <s v="ü"/>
    <d v="2018-05-21T00:00:00"/>
    <n v="400000"/>
    <s v="Familia Díaz González"/>
    <s v="luisrdt57@gmail.com"/>
    <s v="Calle Güigüe Nro. 88-116"/>
    <s v="Cancelación Vigilancia, mes de Mayo/2018"/>
    <x v="0"/>
    <m/>
    <s v="01039"/>
    <s v="21 de mayo de 2018"/>
    <x v="18"/>
    <s v="400.000,00"/>
    <s v="Cuatrocientos Mil Bolívares con 00/100"/>
  </r>
  <r>
    <n v="1040"/>
    <m/>
    <s v="ü"/>
    <d v="2018-05-21T00:00:00"/>
    <n v="400000"/>
    <s v="Ana de González"/>
    <s v="mikelnowak25@gmail.com"/>
    <s v="Av. &quot;O&quot; Nro. 146-17"/>
    <s v="Cancelación Vigilancia, mes de Mayo/2018"/>
    <x v="0"/>
    <m/>
    <s v="01040"/>
    <s v="21 de mayo de 2018"/>
    <x v="18"/>
    <s v="400.000,00"/>
    <s v="Cuatrocientos Mil Bolívares con 00/100"/>
  </r>
  <r>
    <n v="1041"/>
    <m/>
    <s v="ü"/>
    <d v="2018-05-21T00:00:00"/>
    <n v="400000"/>
    <s v="Familia Piñero Padilla"/>
    <s v="achepaul2005@hotmail.com"/>
    <s v="Calle Güigüe Nro. 89-21"/>
    <s v="Cancelación Vigilancia, mes de Mayo/2018"/>
    <x v="0"/>
    <m/>
    <s v="01041"/>
    <s v="21 de mayo de 2018"/>
    <x v="18"/>
    <s v="400.000,00"/>
    <s v="Cuatrocientos Mil Bolívares con 00/100"/>
  </r>
  <r>
    <n v="1042"/>
    <m/>
    <s v="ü"/>
    <d v="2018-05-21T00:00:00"/>
    <n v="350000"/>
    <s v="Familia Piñero Padilla"/>
    <s v="achepaul2005@hotmail.com"/>
    <s v="Calle Güigüe Nro. 89-21"/>
    <s v="Colaboración mantenimiento Caseta de Vigilancia"/>
    <x v="7"/>
    <m/>
    <s v="01042"/>
    <s v="21 de mayo de 2018"/>
    <x v="18"/>
    <s v="350.000,00"/>
    <s v="Trescientos Cincuenta Mil Bolívares con 00/100"/>
  </r>
  <r>
    <n v="1043"/>
    <m/>
    <s v="ü"/>
    <d v="2018-05-21T00:00:00"/>
    <n v="400000"/>
    <s v="Familia Hatem Medina"/>
    <s v="hhatem1@hotmail.com"/>
    <s v="Calle Guacara Nro. 88-51"/>
    <s v="Cancelación Vigilancia, mes de Mayo/2018"/>
    <x v="0"/>
    <m/>
    <s v="01043"/>
    <s v="21 de mayo de 2018"/>
    <x v="18"/>
    <s v="400.000,00"/>
    <s v="Cuatrocientos Mil Bolívares con 00/100"/>
  </r>
  <r>
    <n v="1044"/>
    <m/>
    <s v="ü"/>
    <d v="2018-05-21T00:00:00"/>
    <n v="400000"/>
    <s v="Familia Romero"/>
    <s v="autoescuela21@gmail.com"/>
    <s v="Calle Guacara Nro. 89-50"/>
    <s v="Cancelación Vigilancia, mes de Mayo/2018"/>
    <x v="0"/>
    <m/>
    <s v="01044"/>
    <s v="21 de mayo de 2018"/>
    <x v="18"/>
    <s v="400.000,00"/>
    <s v="Cuatrocientos Mil Bolívares con 00/100"/>
  </r>
  <r>
    <n v="1045"/>
    <m/>
    <s v="ü"/>
    <d v="2018-05-22T00:00:00"/>
    <n v="350000"/>
    <s v="Familia Colosso Delgado"/>
    <s v="mcolosso@gmail.com"/>
    <s v="Calle Güigüe Nro. 88-44"/>
    <s v="Colaboración mantenimiento Caseta de Vigilancia"/>
    <x v="7"/>
    <m/>
    <s v="01045"/>
    <s v="22 de mayo de 2018"/>
    <x v="18"/>
    <s v="350.000,00"/>
    <s v="Trescientos Cincuenta Mil Bolívares con 00/100"/>
  </r>
  <r>
    <n v="1046"/>
    <m/>
    <s v="ü"/>
    <d v="2018-05-22T00:00:00"/>
    <n v="350000"/>
    <s v="Familia Alonso Rojas"/>
    <s v="redjc01@gmail.com"/>
    <s v="Calle Güigüe Nro. 89-54"/>
    <s v="Colaboración mantenimiento Caseta de Vigilancia"/>
    <x v="7"/>
    <m/>
    <s v="01046"/>
    <s v="22 de mayo de 2018"/>
    <x v="18"/>
    <s v="350.000,00"/>
    <s v="Trescientos Cincuenta Mil Bolívares con 00/100"/>
  </r>
  <r>
    <n v="1047"/>
    <m/>
    <s v="ü"/>
    <d v="2018-05-22T00:00:00"/>
    <n v="400000"/>
    <s v="Familia Guerra Miret"/>
    <s v="antoniojguerrag@hotmail.com"/>
    <s v="Calle Güigüe Nro. 89-40"/>
    <s v="Cancelación Vigilancia, mes de Mayo/2018"/>
    <x v="0"/>
    <m/>
    <s v="01047"/>
    <s v="22 de mayo de 2018"/>
    <x v="18"/>
    <s v="400.000,00"/>
    <s v="Cuatrocientos Mil Bolívares con 00/100"/>
  </r>
  <r>
    <n v="1048"/>
    <m/>
    <s v="ü"/>
    <d v="2018-05-22T00:00:00"/>
    <n v="350000"/>
    <s v="Chin Chun Ya (Goya)"/>
    <s v="uc2721@gmail.com"/>
    <s v="Calle Guacara Nro. 87-86"/>
    <s v="Colaboración mantenimiento Caseta de Vigilancia"/>
    <x v="7"/>
    <m/>
    <s v="01048"/>
    <s v="22 de mayo de 2018"/>
    <x v="18"/>
    <s v="350.000,00"/>
    <s v="Trescientos Cincuenta Mil Bolívares con 00/100"/>
  </r>
  <r>
    <n v="1049"/>
    <m/>
    <s v="ü"/>
    <d v="2018-05-22T00:00:00"/>
    <n v="190000"/>
    <s v="Familia Narváez Caldera"/>
    <s v="jeannette_nc@yahoo.com"/>
    <s v="Calle Güigüe Nro. 87-A-11"/>
    <s v="Colaboración mantenimiento Caseta de Vigilancia"/>
    <x v="7"/>
    <m/>
    <s v="01049"/>
    <s v="22 de mayo de 2018"/>
    <x v="18"/>
    <s v="190.000,00"/>
    <s v="Ciento Noventa Mil Bolívares con 00/100"/>
  </r>
  <r>
    <n v="1050"/>
    <m/>
    <s v="ü"/>
    <d v="2018-05-22T00:00:00"/>
    <n v="400000"/>
    <s v="Familia Alonso Rojas"/>
    <s v="redjc01@gmail.com"/>
    <s v="Calle Güigüe Nro. 89-54"/>
    <s v="Cancelación Vigilancia, mes de Junio/2018"/>
    <x v="0"/>
    <m/>
    <s v="01050"/>
    <s v="22 de mayo de 2018"/>
    <x v="18"/>
    <s v="400.000,00"/>
    <s v="Cuatrocientos Mil Bolívares con 00/100"/>
  </r>
  <r>
    <n v="1051"/>
    <m/>
    <s v="ü"/>
    <d v="2018-05-22T00:00:00"/>
    <n v="350000"/>
    <s v="Familia Fermín Rivas"/>
    <s v="angelferminb@gmail.com"/>
    <s v="Calle Güigüe Nro. 89-55"/>
    <s v="Colaboración mantenimiento Caseta de Vigilancia"/>
    <x v="7"/>
    <m/>
    <s v="01051"/>
    <s v="22 de mayo de 2018"/>
    <x v="18"/>
    <s v="350.000,00"/>
    <s v="Trescientos Cincuenta Mil Bolívares con 00/100"/>
  </r>
  <r>
    <n v="1052"/>
    <m/>
    <s v="ü"/>
    <d v="2018-05-22T00:00:00"/>
    <n v="350000"/>
    <s v="Familia Ochoa Mendoza"/>
    <s v="marisoljudithm@hotmail.com"/>
    <s v="Calle Güigüe Nro. 89-105"/>
    <s v="Colaboración mantenimiento Caseta de Vigilancia"/>
    <x v="7"/>
    <m/>
    <s v="01052"/>
    <s v="22 de mayo de 2018"/>
    <x v="18"/>
    <s v="350.000,00"/>
    <s v="Trescientos Cincuenta Mil Bolívares con 00/100"/>
  </r>
  <r>
    <n v="1053"/>
    <m/>
    <s v="ü"/>
    <d v="2018-05-22T00:00:00"/>
    <n v="800000"/>
    <s v="Anahiz Seijas"/>
    <s v="anahiz_2@hotmail.es"/>
    <s v="Calle Güigüe Nro. 89-106"/>
    <s v="Cancelación Vigilancia, meses de Mayoy Junio/2018"/>
    <x v="0"/>
    <m/>
    <s v="01053"/>
    <s v="22 de mayo de 2018"/>
    <x v="18"/>
    <s v="800.000,00"/>
    <s v="Ochocientos Mil Bolívares con 00/100"/>
  </r>
  <r>
    <n v="1054"/>
    <m/>
    <s v="ü"/>
    <d v="2018-05-22T00:00:00"/>
    <n v="350000"/>
    <s v="Familia Arcia Polanco"/>
    <s v="misipo29@gmail.com"/>
    <s v="Calle Guacara Nro. 89-20"/>
    <s v="Colaboración mantenimiento Caseta de Vigilancia"/>
    <x v="7"/>
    <m/>
    <s v="01054"/>
    <s v="22 de mayo de 2018"/>
    <x v="18"/>
    <s v="350.000,00"/>
    <s v="Trescientos Cincuenta Mil Bolívares con 00/100"/>
  </r>
  <r>
    <n v="1055"/>
    <m/>
    <s v="ü"/>
    <d v="2018-05-22T00:00:00"/>
    <n v="400000"/>
    <s v="Familia Castro Jiménez"/>
    <s v="aurycastrojimenez@gmail.com"/>
    <s v="Calle Guacara Nro. 90-51"/>
    <s v="Cancelación Vigilancia, mes de Mayo/2018"/>
    <x v="0"/>
    <m/>
    <s v="01055"/>
    <s v="22 de mayo de 2018"/>
    <x v="18"/>
    <s v="400.000,00"/>
    <s v="Cuatrocientos Mil Bolívares con 00/100"/>
  </r>
  <r>
    <n v="1056"/>
    <m/>
    <s v="ü"/>
    <d v="2018-05-22T00:00:00"/>
    <n v="350000"/>
    <s v="Familia Castro Jiménez"/>
    <s v="aurycastrojimenez@gmail.com"/>
    <s v="Calle Guacara Nro. 90-51"/>
    <s v="Colaboración mantenimiento Caseta de Vigilancia"/>
    <x v="7"/>
    <m/>
    <s v="01056"/>
    <s v="22 de mayo de 2018"/>
    <x v="18"/>
    <s v="350.000,00"/>
    <s v="Trescientos Cincuenta Mil Bolívares con 00/100"/>
  </r>
  <r>
    <n v="1057"/>
    <m/>
    <s v="ü"/>
    <d v="2018-05-22T00:00:00"/>
    <n v="350000"/>
    <s v="Wu Hung Fung"/>
    <s v="carolinahung24@gmail.com"/>
    <s v="Calle Guacara Nro. 90-81"/>
    <s v="Colaboración mantenimiento Caseta de Vigilancia"/>
    <x v="7"/>
    <m/>
    <s v="01057"/>
    <s v="22 de mayo de 2018"/>
    <x v="18"/>
    <s v="350.000,00"/>
    <s v="Trescientos Cincuenta Mil Bolívares con 00/100"/>
  </r>
  <r>
    <n v="1058"/>
    <m/>
    <s v="û"/>
    <d v="2018-05-22T00:00:00"/>
    <n v="150000"/>
    <s v="Familia Lomeña Agudo"/>
    <s v="claudialomena@hotmail.com"/>
    <s v="Calle Guacara Nro. 89-30"/>
    <s v="ANULADO: Complemento colaboración mantenimiento Caseta de Vigilancia"/>
    <x v="3"/>
    <m/>
    <s v="01058"/>
    <s v="22 de mayo de 2018"/>
    <x v="18"/>
    <s v="150.000,00"/>
    <s v="Ciento Cincuenta Mil Bolívares con 00/100"/>
  </r>
  <r>
    <n v="1059"/>
    <m/>
    <s v="ü"/>
    <d v="2018-05-22T00:00:00"/>
    <n v="350000"/>
    <s v="Familia Durvelle Serrano"/>
    <s v="sdurvelle@hotmail.com"/>
    <s v="Calle Guacara Nro. 89-60"/>
    <s v="Colaboración mantenimiento Caseta de Vigilancia"/>
    <x v="7"/>
    <m/>
    <s v="01059"/>
    <s v="22 de mayo de 2018"/>
    <x v="18"/>
    <s v="350.000,00"/>
    <s v="Trescientos Cincuenta Mil Bolívares con 00/100"/>
  </r>
  <r>
    <n v="1060"/>
    <m/>
    <s v="ü"/>
    <d v="2018-05-22T00:00:00"/>
    <n v="350000"/>
    <s v="Familia González Arévalo"/>
    <s v="feryenis@hotmail.com"/>
    <s v="Calle Guacara Nro. 89-86"/>
    <s v="Colaboración mantenimiento Caseta de Vigilancia"/>
    <x v="7"/>
    <m/>
    <s v="01060"/>
    <s v="22 de mayo de 2018"/>
    <x v="18"/>
    <s v="350.000,00"/>
    <s v="Trescientos Cincuenta Mil Bolívares con 00/100"/>
  </r>
  <r>
    <n v="1061"/>
    <m/>
    <s v="ü"/>
    <d v="2018-05-22T00:00:00"/>
    <n v="400000"/>
    <s v="Familia Jiménez Navarro"/>
    <s v="joyasonline2012@gmail.com"/>
    <s v="Calle Güigüe Nro. 88-50"/>
    <s v="Cancelación Vigilancia, mes de Mayo/2018"/>
    <x v="0"/>
    <m/>
    <s v="01061"/>
    <s v="22 de mayo de 2018"/>
    <x v="18"/>
    <s v="400.000,00"/>
    <s v="Cuatrocientos Mil Bolívares con 00/100"/>
  </r>
  <r>
    <n v="1062"/>
    <m/>
    <s v="ü"/>
    <d v="2018-05-22T00:00:00"/>
    <n v="350000"/>
    <s v="Familia Jiménez Navarro"/>
    <s v="joyasonline2012@gmail.com"/>
    <s v="Calle Güigüe Nro. 88-50"/>
    <s v="Colaboración mantenimiento Caseta de Vigilancia"/>
    <x v="7"/>
    <m/>
    <s v="01062"/>
    <s v="22 de mayo de 2018"/>
    <x v="18"/>
    <s v="350.000,00"/>
    <s v="Trescientos Cincuenta Mil Bolívares con 00/100"/>
  </r>
  <r>
    <n v="1063"/>
    <m/>
    <s v="ü"/>
    <d v="2018-05-22T00:00:00"/>
    <n v="350000"/>
    <s v="Familia Jiménez Salvatierra"/>
    <s v="En Físico"/>
    <s v="Calle Güigüe Nro. 89-45"/>
    <s v="Colaboración mantenimiento Caseta de Vigilancia (saldo a favor: Bs. 1.493.000)"/>
    <x v="7"/>
    <m/>
    <s v="01063"/>
    <s v="22 de mayo de 2018"/>
    <x v="18"/>
    <s v="350.000,00"/>
    <s v="Trescientos Cincuenta Mil Bolívares con 00/100"/>
  </r>
  <r>
    <n v="1064"/>
    <m/>
    <s v="ü"/>
    <d v="2018-05-22T00:00:00"/>
    <n v="350000"/>
    <s v="La Casita Encantada"/>
    <s v="En Físico"/>
    <s v="Av. &quot;M&quot; Nro. 146-30"/>
    <s v="Colaboración mantenimiento Caseta de Vigilancia"/>
    <x v="7"/>
    <m/>
    <s v="01064"/>
    <s v="22 de mayo de 2018"/>
    <x v="18"/>
    <s v="350.000,00"/>
    <s v="Trescientos Cincuenta Mil Bolívares con 00/100"/>
  </r>
  <r>
    <n v="1065"/>
    <m/>
    <s v="ü"/>
    <d v="2018-05-22T00:00:00"/>
    <n v="660000"/>
    <s v="Familia González Arévalo"/>
    <s v="feryenis@hotmail.com"/>
    <s v="Calle Guacara Nro. 89-86"/>
    <s v="Vigilancia, saldo mes de Mayo y cancelación mes de Junio/2018"/>
    <x v="0"/>
    <m/>
    <s v="01065"/>
    <s v="22 de mayo de 2018"/>
    <x v="18"/>
    <s v="660.000,00"/>
    <s v="Seiscientos Sesenta Mil Bolívares con 00/100"/>
  </r>
  <r>
    <n v="1066"/>
    <m/>
    <s v="ü"/>
    <d v="2018-05-23T00:00:00"/>
    <n v="350000"/>
    <s v="Familia Machado Stoppa"/>
    <s v="machadoru@hotmail.com"/>
    <s v="Calle Guacara Nro. 88-85"/>
    <s v="Colaboración mantenimiento Caseta de Vigilancia"/>
    <x v="7"/>
    <m/>
    <s v="01066"/>
    <s v="23 de mayo de 2018"/>
    <x v="18"/>
    <s v="350.000,00"/>
    <s v="Trescientos Cincuenta Mil Bolívares con 00/100"/>
  </r>
  <r>
    <n v="1067"/>
    <m/>
    <s v="ü"/>
    <d v="2018-05-23T00:00:00"/>
    <n v="400000"/>
    <s v="Familia Scabuzzo Gómez"/>
    <s v="sfscabuzzo@msn.com"/>
    <s v="Av. &quot;I&quot; Nro. 146-20"/>
    <s v="Cancelación Vigilancia, mes de Mayo/2018"/>
    <x v="0"/>
    <m/>
    <s v="01067"/>
    <s v="23 de mayo de 2018"/>
    <x v="18"/>
    <s v="400.000,00"/>
    <s v="Cuatrocientos Mil Bolívares con 00/100"/>
  </r>
  <r>
    <n v="1068"/>
    <m/>
    <s v="ü"/>
    <d v="2018-05-23T00:00:00"/>
    <n v="350000"/>
    <s v="Familia Delgado Hidalgo"/>
    <s v="ardh@hotmail.com"/>
    <s v="Calle Güigüe Nro. 88-10"/>
    <s v="Colaboración mantenimiento Caseta de Vigilancia (saldo a favor: Bs. 1.493.000)"/>
    <x v="7"/>
    <m/>
    <s v="01068"/>
    <s v="23 de mayo de 2018"/>
    <x v="18"/>
    <s v="350.000,00"/>
    <s v="Trescientos Cincuenta Mil Bolívares con 00/100"/>
  </r>
  <r>
    <n v="1069"/>
    <m/>
    <s v="ü"/>
    <d v="2018-05-23T00:00:00"/>
    <n v="350000"/>
    <s v="Héctor Hernández"/>
    <s v="eof64@hotmail.com"/>
    <s v="Calle Guacara Nro. 89-94"/>
    <s v="Colaboración mantenimiento Caseta de Vigilancia (saldo a favor: Bs. 1.493.000)"/>
    <x v="7"/>
    <m/>
    <s v="01069"/>
    <s v="23 de mayo de 2018"/>
    <x v="18"/>
    <s v="350.000,00"/>
    <s v="Trescientos Cincuenta Mil Bolívares con 00/100"/>
  </r>
  <r>
    <n v="1070"/>
    <m/>
    <s v="ü"/>
    <d v="2018-05-23T00:00:00"/>
    <n v="350000"/>
    <s v="Isbeth Palacios"/>
    <s v="ispalparcpc@gmail.com"/>
    <s v="Calle Guacara Nro. 88-75"/>
    <s v="Colaboración mantenimiento Caseta de Vigilancia (saldo a favor: Bs. 1.493.000)"/>
    <x v="7"/>
    <m/>
    <s v="01070"/>
    <s v="23 de mayo de 2018"/>
    <x v="18"/>
    <s v="350.000,00"/>
    <s v="Trescientos Cincuenta Mil Bolívares con 00/100"/>
  </r>
  <r>
    <n v="1071"/>
    <m/>
    <s v="ü"/>
    <d v="2018-05-23T00:00:00"/>
    <n v="350000"/>
    <s v="Familia Lomeña Agudo"/>
    <s v="claudialomena@hotmail.com"/>
    <s v="Calle Guacara Nro. 89-30"/>
    <s v="Complemento colaboración mantenimiento Caseta de Vigilancia"/>
    <x v="7"/>
    <m/>
    <s v="01071"/>
    <s v="23 de mayo de 2018"/>
    <x v="18"/>
    <s v="350.000,00"/>
    <s v="Trescientos Cincuenta Mil Bolívares con 00/100"/>
  </r>
  <r>
    <n v="1072"/>
    <m/>
    <s v="ü"/>
    <d v="2018-05-23T00:00:00"/>
    <n v="150000"/>
    <s v="Familia Puerta Burguillos"/>
    <s v="namaricakes@gmail.com"/>
    <s v="Calle Guacara Nro. 87-100"/>
    <s v="Cancelación Vigilancia, saldo mes de Mayo/2018"/>
    <x v="0"/>
    <m/>
    <s v="01072"/>
    <s v="23 de mayo de 2018"/>
    <x v="18"/>
    <s v="150.000,00"/>
    <s v="Ciento Cincuenta Mil Bolívares con 00/100"/>
  </r>
  <r>
    <n v="1073"/>
    <m/>
    <s v="ü"/>
    <d v="2018-05-23T00:00:00"/>
    <n v="100000"/>
    <s v="Familia Puerta Burguillos"/>
    <s v="namaricakes@gmail.com"/>
    <s v="Calle Guacara Nro. 87-100"/>
    <s v="Colaboración mantenimiento Caseta de Vigilancia"/>
    <x v="7"/>
    <m/>
    <s v="01073"/>
    <s v="23 de mayo de 2018"/>
    <x v="18"/>
    <s v="100.000,00"/>
    <s v="Cien Mil Bolívares con 00/100"/>
  </r>
  <r>
    <n v="1074"/>
    <m/>
    <s v="ü"/>
    <d v="2018-05-23T00:00:00"/>
    <n v="350000"/>
    <s v="Familia Kabblan"/>
    <s v="norisjsb56@hotmail.com"/>
    <s v="Calle Güigüe Nro. 89-80"/>
    <s v="Colaboración mantenimiento Caseta de Vigilancia"/>
    <x v="7"/>
    <m/>
    <s v="01074"/>
    <s v="23 de mayo de 2018"/>
    <x v="18"/>
    <s v="350.000,00"/>
    <s v="Trescientos Cincuenta Mil Bolívares con 00/100"/>
  </r>
  <r>
    <n v="1075"/>
    <m/>
    <s v="ü"/>
    <d v="2018-05-23T00:00:00"/>
    <n v="350000"/>
    <s v="Familia Nava Gordon"/>
    <s v="maru_19_66@hotmail.com"/>
    <s v="Calle Guacara Nro. 89-78"/>
    <s v="Colaboración mantenimiento Caseta de Vigilancia"/>
    <x v="7"/>
    <m/>
    <s v="01075"/>
    <s v="23 de mayo de 2018"/>
    <x v="18"/>
    <s v="350.000,00"/>
    <s v="Trescientos Cincuenta Mil Bolívares con 00/100"/>
  </r>
  <r>
    <n v="1076"/>
    <m/>
    <s v="ü"/>
    <d v="2018-05-23T00:00:00"/>
    <n v="350000"/>
    <s v="Familia Kattar"/>
    <s v="jagiak123@yahoo.es"/>
    <s v="Calle Güigüe Nro. 89-95"/>
    <s v="Colaboración mantenimiento Caseta de Vigilancia"/>
    <x v="7"/>
    <m/>
    <s v="01076"/>
    <s v="23 de mayo de 2018"/>
    <x v="18"/>
    <s v="350.000,00"/>
    <s v="Trescientos Cincuenta Mil Bolívares con 00/100"/>
  </r>
  <r>
    <n v="1077"/>
    <m/>
    <s v="ü"/>
    <d v="2018-05-23T00:00:00"/>
    <n v="800000"/>
    <s v="Yuraima Rodríguez"/>
    <s v="En Físico"/>
    <s v="Calle Guacara Nro. 89-70"/>
    <s v="Cancelación Vigilancia, meses de Mayo y Junio/2018"/>
    <x v="0"/>
    <m/>
    <s v="01077"/>
    <s v="23 de mayo de 2018"/>
    <x v="18"/>
    <s v="800.000,00"/>
    <s v="Ochocientos Mil Bolívares con 00/100"/>
  </r>
  <r>
    <n v="1078"/>
    <m/>
    <s v="ü"/>
    <d v="2018-05-24T00:00:00"/>
    <n v="400000"/>
    <s v="Carmen Moreno"/>
    <s v="carmenemoreno10@gmail.com"/>
    <s v="Calle Güigüe Nro. 89-04"/>
    <s v="Cancelación Vigilancia, mes de Mayo/2018"/>
    <x v="0"/>
    <m/>
    <s v="01078"/>
    <s v="24 de mayo de 2018"/>
    <x v="18"/>
    <s v="400.000,00"/>
    <s v="Cuatrocientos Mil Bolívares con 00/100"/>
  </r>
  <r>
    <n v="1079"/>
    <m/>
    <s v="ü"/>
    <d v="2018-05-24T00:00:00"/>
    <n v="350000"/>
    <s v="Carmen Moreno"/>
    <s v="carmenemoreno10@gmail.com"/>
    <s v="Calle Güigüe Nro. 89-04"/>
    <s v="Colaboración mantenimiento Caseta de Vigilancia"/>
    <x v="7"/>
    <m/>
    <s v="01079"/>
    <s v="24 de mayo de 2018"/>
    <x v="18"/>
    <s v="350.000,00"/>
    <s v="Trescientos Cincuenta Mil Bolívares con 00/100"/>
  </r>
  <r>
    <n v="1080"/>
    <m/>
    <s v="ü"/>
    <d v="2018-05-24T00:00:00"/>
    <n v="350000"/>
    <s v="Familia Ferrer Bahri"/>
    <s v="bahrimariela@hotmail.com"/>
    <s v="Calle Güigüe Nro. 89-83"/>
    <s v="Colaboración mantenimiento Caseta de Vigilancia"/>
    <x v="7"/>
    <m/>
    <s v="01080"/>
    <s v="24 de mayo de 2018"/>
    <x v="18"/>
    <s v="350.000,00"/>
    <s v="Trescientos Cincuenta Mil Bolívares con 00/100"/>
  </r>
  <r>
    <n v="1081"/>
    <m/>
    <s v="ü"/>
    <d v="2018-05-25T00:00:00"/>
    <n v="350000"/>
    <s v="Beatriz Lara"/>
    <s v="valentina.gutierrez@hotmail.com"/>
    <s v="Calle Guacara Nro. 89-130"/>
    <s v="Colaboración mantenimiento Caseta de Vigilancia"/>
    <x v="7"/>
    <m/>
    <s v="01081"/>
    <s v="25 de mayo de 2018"/>
    <x v="18"/>
    <s v="350.000,00"/>
    <s v="Trescientos Cincuenta Mil Bolívares con 00/100"/>
  </r>
  <r>
    <n v="1082"/>
    <m/>
    <s v="ü"/>
    <d v="2018-05-25T00:00:00"/>
    <n v="350000"/>
    <s v="Familia Montilla García"/>
    <s v="dairy252525@hotmail.com"/>
    <s v="Calle Güigüe Nro. 89-90"/>
    <s v="Colaboración mantenimiento Caseta de Vigilancia"/>
    <x v="7"/>
    <m/>
    <s v="01082"/>
    <s v="25 de mayo de 2018"/>
    <x v="18"/>
    <s v="350.000,00"/>
    <s v="Trescientos Cincuenta Mil Bolívares con 00/100"/>
  </r>
  <r>
    <n v="1083"/>
    <m/>
    <s v="ü"/>
    <d v="2018-05-25T00:00:00"/>
    <n v="350000"/>
    <s v="Familia Costermani Terrer"/>
    <s v="claudiacostermani@hotmail.com"/>
    <s v="Calle Güigüe Nro. 88-11"/>
    <s v="Colaboración mantenimiento Caseta de Vigilancia"/>
    <x v="7"/>
    <m/>
    <s v="01083"/>
    <s v="25 de mayo de 2018"/>
    <x v="18"/>
    <s v="350.000,00"/>
    <s v="Trescientos Cincuenta Mil Bolívares con 00/100"/>
  </r>
  <r>
    <n v="1084"/>
    <m/>
    <s v="ü"/>
    <d v="2018-05-26T00:00:00"/>
    <n v="100000"/>
    <s v="Familia Chávez Hernández"/>
    <s v="mercedesch23@hotmail.com"/>
    <s v="Calle Güigüe Nro. 88-20"/>
    <s v="Colaboración mantenimiento Caseta de Vigilancia"/>
    <x v="7"/>
    <m/>
    <s v="01084"/>
    <s v="26 de mayo de 2018"/>
    <x v="18"/>
    <s v="100.000,00"/>
    <s v="Cien Mil Bolívares con 00/100"/>
  </r>
  <r>
    <n v="1085"/>
    <m/>
    <s v="ü"/>
    <d v="2018-05-27T00:00:00"/>
    <n v="400000"/>
    <s v="Familia Gascón Domínguez"/>
    <s v="vrgascon@gmail.com"/>
    <s v="Calle Güigüe Nro. 88-70"/>
    <s v="Cancelación Vigilancia, mes de Mayo/2018"/>
    <x v="0"/>
    <m/>
    <s v="01085"/>
    <s v="27 de mayo de 2018"/>
    <x v="18"/>
    <s v="400.000,00"/>
    <s v="Cuatrocientos Mil Bolívares con 00/100"/>
  </r>
  <r>
    <n v="1086"/>
    <m/>
    <s v="ü"/>
    <d v="2018-05-27T00:00:00"/>
    <n v="350000"/>
    <s v="Familia Gascón Domínguez"/>
    <s v="vrgascon@gmail.com"/>
    <s v="Calle Güigüe Nro. 88-70"/>
    <s v="Colaboración mantenimiento Caseta de Vigilancia"/>
    <x v="7"/>
    <m/>
    <s v="01086"/>
    <s v="27 de mayo de 2018"/>
    <x v="18"/>
    <s v="350.000,00"/>
    <s v="Trescientos Cincuenta Mil Bolívares con 00/100"/>
  </r>
  <r>
    <n v="1087"/>
    <m/>
    <s v="ü"/>
    <d v="2018-05-28T00:00:00"/>
    <n v="400000"/>
    <s v="Ma. de Jesus Alonso"/>
    <s v="alonsojg@gmail.com"/>
    <s v="Calle Güigüe Nro. 88-30"/>
    <s v="Ajuste Colaboración Vigilancia, meses de Febrero, Marzo, Abril y Mayo/2018"/>
    <x v="0"/>
    <m/>
    <s v="01087"/>
    <s v="28 de mayo de 2018"/>
    <x v="18"/>
    <s v="400.000,00"/>
    <s v="Cuatrocientos Mil Bolívares con 00/100"/>
  </r>
  <r>
    <n v="1088"/>
    <m/>
    <s v="ü"/>
    <d v="2018-05-28T00:00:00"/>
    <n v="350000"/>
    <s v="Ma. de Jesus Alonso"/>
    <s v="alonsojg@gmail.com"/>
    <s v="Calle Güigüe Nro. 88-30"/>
    <s v="Colaboración mantenimiento Caseta de Vigilancia"/>
    <x v="7"/>
    <m/>
    <s v="01088"/>
    <s v="28 de mayo de 2018"/>
    <x v="18"/>
    <s v="350.000,00"/>
    <s v="Trescientos Cincuenta Mil Bolívares con 00/100"/>
  </r>
  <r>
    <n v="1089"/>
    <m/>
    <s v="ü"/>
    <d v="2018-05-28T00:00:00"/>
    <n v="350000"/>
    <s v="Anahiz Seijas"/>
    <s v="anahiz_2@hotmail.es"/>
    <s v="Calle Güigüe Nro. 89-106"/>
    <s v="Colaboración mantenimiento Caseta de Vigilancia"/>
    <x v="7"/>
    <m/>
    <s v="01089"/>
    <s v="28 de mayo de 2018"/>
    <x v="18"/>
    <s v="350.000,00"/>
    <s v="Trescientos Cincuenta Mil Bolívares con 00/100"/>
  </r>
  <r>
    <n v="1090"/>
    <m/>
    <s v="ü"/>
    <d v="2018-05-28T00:00:00"/>
    <n v="350000"/>
    <s v="Ana de González"/>
    <s v="mikelnowak25@gmail.com"/>
    <s v="Av. &quot;O&quot; Nro. 146-17"/>
    <s v="Colaboración mantenimiento Caseta de Vigilancia"/>
    <x v="7"/>
    <m/>
    <s v="01090"/>
    <s v="28 de mayo de 2018"/>
    <x v="18"/>
    <s v="350.000,00"/>
    <s v="Trescientos Cincuenta Mil Bolívares con 00/100"/>
  </r>
  <r>
    <n v="1091"/>
    <m/>
    <s v="ü"/>
    <d v="2018-05-28T00:00:00"/>
    <n v="350000"/>
    <s v="Franco Gómez"/>
    <s v="eof64@hotmail.com"/>
    <s v="Calle Guacara Nro. 87-07"/>
    <s v="Colaboración mantenimiento Caseta de Vigilancia"/>
    <x v="7"/>
    <m/>
    <s v="01091"/>
    <s v="28 de mayo de 2018"/>
    <x v="18"/>
    <s v="350.000,00"/>
    <s v="Trescientos Cincuenta Mil Bolívares con 00/100"/>
  </r>
  <r>
    <n v="1092"/>
    <m/>
    <s v="ü"/>
    <d v="2018-05-29T00:00:00"/>
    <n v="200000"/>
    <s v="Familia Méndez Parra"/>
    <s v="briceidademendez@gmail.com"/>
    <s v="Calle Guacara Nro. 88-19"/>
    <s v="Colaboración Vigilancia, mes de Mayo/2018"/>
    <x v="0"/>
    <m/>
    <s v="01092"/>
    <s v="29 de mayo de 2018"/>
    <x v="18"/>
    <s v="200.000,00"/>
    <s v="Doscientos Mil Bolívares con 00/100"/>
  </r>
  <r>
    <n v="1093"/>
    <m/>
    <s v="ü"/>
    <d v="2018-05-29T00:00:00"/>
    <n v="350000"/>
    <s v="Familia Méndez Parra"/>
    <s v="briceidademendez@gmail.com"/>
    <s v="Calle Guacara Nro. 88-19"/>
    <s v="Colaboración mantenimiento Caseta de Vigilancia"/>
    <x v="7"/>
    <m/>
    <s v="01093"/>
    <s v="29 de mayo de 2018"/>
    <x v="18"/>
    <s v="350.000,00"/>
    <s v="Trescientos Cincuenta Mil Bolívares con 00/100"/>
  </r>
  <r>
    <n v="1094"/>
    <m/>
    <s v="ü"/>
    <d v="2018-05-29T00:00:00"/>
    <n v="350000"/>
    <s v="Familia Díaz González"/>
    <s v="luisrdt57@gmail.com"/>
    <s v="Calle Güigüe Nro. 88-116"/>
    <s v="Colaboración mantenimiento Caseta de Vigilancia"/>
    <x v="7"/>
    <m/>
    <s v="01094"/>
    <s v="29 de mayo de 2018"/>
    <x v="18"/>
    <s v="350.000,00"/>
    <s v="Trescientos Cincuenta Mil Bolívares con 00/100"/>
  </r>
  <r>
    <n v="1095"/>
    <m/>
    <s v="ü"/>
    <d v="2018-05-29T00:00:00"/>
    <n v="350000"/>
    <s v="Colegio El Trigal"/>
    <s v="En Físico"/>
    <s v="Calle Güigüe Nros. 88-71 y 88-81"/>
    <s v="Colaboración mantenimiento Caseta de Vigilancia"/>
    <x v="7"/>
    <m/>
    <s v="01095"/>
    <s v="29 de mayo de 2018"/>
    <x v="18"/>
    <s v="350.000,00"/>
    <s v="Trescientos Cincuenta Mil Bolívares con 00/100"/>
  </r>
  <r>
    <n v="1096"/>
    <m/>
    <s v="ü"/>
    <d v="2018-05-30T00:00:00"/>
    <n v="240000"/>
    <s v="Dra. Lilia Magallanes"/>
    <s v="liliamagallanes2010@gmail.com"/>
    <s v="Calle Güigüe Nro. 88-51"/>
    <s v="Cancelación Vigilancia, saldo mes de Marzo y mes de Abril/2018"/>
    <x v="0"/>
    <m/>
    <s v="01096"/>
    <s v="30 de mayo de 2018"/>
    <x v="18"/>
    <s v="240.000,00"/>
    <s v="Doscientos Cuarenta Mil Bolívares con 00/100"/>
  </r>
  <r>
    <n v="1097"/>
    <m/>
    <s v="ü"/>
    <d v="2018-05-23T00:00:00"/>
    <n v="400000"/>
    <s v="Familia Zavarce Pérez"/>
    <s v="En Físico"/>
    <s v="Calle Guacara Nro. 90-35"/>
    <s v="Cancelación Vigilancia, mes de Mayo/2018"/>
    <x v="0"/>
    <m/>
    <s v="01097"/>
    <s v="23 de mayo de 2018"/>
    <x v="18"/>
    <s v="400.000,00"/>
    <s v="Cuatrocientos Mil Bolívares con 00/100"/>
  </r>
  <r>
    <n v="1098"/>
    <m/>
    <s v="ü"/>
    <d v="2018-05-30T00:00:00"/>
    <n v="940000"/>
    <s v="Familia Civitico Rueda"/>
    <s v="ruedaelizabeth@gmail.com"/>
    <s v="Calle Güigüe Nro. 89-89"/>
    <s v="Cancelación Vigilancia, meses de Abril, Mayo y Junio/2018"/>
    <x v="0"/>
    <m/>
    <s v="01098"/>
    <s v="30 de mayo de 2018"/>
    <x v="18"/>
    <s v="940.000,00"/>
    <s v="Novecientos Cuarenta Mil Bolívares con 00/100"/>
  </r>
  <r>
    <n v="1099"/>
    <m/>
    <s v="ü"/>
    <d v="2018-05-30T00:00:00"/>
    <n v="350000"/>
    <s v="Familia Civitico Rueda"/>
    <s v="ruedaelizabeth@gmail.com"/>
    <s v="Calle Güigüe Nro. 89-89"/>
    <s v="Colaboración mantenimiento Caseta de Vigilancia"/>
    <x v="7"/>
    <m/>
    <s v="01099"/>
    <s v="30 de mayo de 2018"/>
    <x v="18"/>
    <s v="350.000,00"/>
    <s v="Trescientos Cincuenta Mil Bolívares con 00/100"/>
  </r>
  <r>
    <n v="1100"/>
    <m/>
    <s v="ü"/>
    <d v="2018-05-30T00:00:00"/>
    <n v="250000"/>
    <s v="Familia Navarro Assing"/>
    <s v="liliaassing@gmail.com"/>
    <s v="Calle Güigüe Nro. 88-54"/>
    <s v="Colaboración mantenimiento Caseta de Vigilancia"/>
    <x v="7"/>
    <m/>
    <s v="01100"/>
    <s v="30 de mayo de 2018"/>
    <x v="18"/>
    <s v="250.000,00"/>
    <s v="Doscientos Cincuenta Mil Bolívares con 00/100"/>
  </r>
  <r>
    <n v="1101"/>
    <m/>
    <s v="ü"/>
    <d v="2018-05-30T00:00:00"/>
    <n v="400000"/>
    <s v="Familia Acosta"/>
    <s v="pablo962@hotmail.com"/>
    <s v="Calle Güigüe Nro. 89-10"/>
    <s v="Cancelación Vigilancia, mes de Mayo/2018"/>
    <x v="0"/>
    <m/>
    <s v="01101"/>
    <s v="30 de mayo de 2018"/>
    <x v="18"/>
    <s v="400.000,00"/>
    <s v="Cuatrocientos Mil Bolívares con 00/100"/>
  </r>
  <r>
    <n v="1102"/>
    <m/>
    <s v="ü"/>
    <d v="2018-05-30T00:00:00"/>
    <n v="350000"/>
    <s v="Familia Acosta"/>
    <s v="pablo962@hotmail.com"/>
    <s v="Calle Güigüe Nro. 89-10"/>
    <s v="Colaboración mantenimiento Caseta de Vigilancia"/>
    <x v="7"/>
    <m/>
    <s v="01102"/>
    <s v="30 de mayo de 2018"/>
    <x v="18"/>
    <s v="350.000,00"/>
    <s v="Trescientos Cincuenta Mil Bolívares con 00/100"/>
  </r>
  <r>
    <n v="1103"/>
    <m/>
    <s v="ü"/>
    <d v="2018-05-31T00:00:00"/>
    <n v="540000"/>
    <s v="Familia Manrique Riera"/>
    <s v="patriciamanrique@gmail.com"/>
    <s v="Calle Guacara Nro. 89-40"/>
    <s v="Cancelación Vigilancia, meses de Abril y Mayo/2018"/>
    <x v="0"/>
    <m/>
    <s v="01103"/>
    <s v="31 de mayo de 2018"/>
    <x v="18"/>
    <s v="540.000,00"/>
    <s v="Quinientos Cuarenta Mil Bolívares con 00/100"/>
  </r>
  <r>
    <n v="1104"/>
    <m/>
    <s v="ü"/>
    <d v="2018-05-31T00:00:00"/>
    <n v="660000"/>
    <s v="Sra. Reina Meléndez"/>
    <s v="olgajipe@gmail.com"/>
    <s v="Av. &quot;M&quot; Nro. 145-10"/>
    <s v="Cancelación Vigilancia, saldo mes de Mayo y mes de Junio/2018"/>
    <x v="0"/>
    <m/>
    <s v="01104"/>
    <s v="31 de mayo de 2018"/>
    <x v="18"/>
    <s v="660.000,00"/>
    <s v="Seiscientos Sesenta Mil Bolívares con 00/100"/>
  </r>
  <r>
    <n v="1105"/>
    <m/>
    <s v="ü"/>
    <d v="2018-06-02T00:00:00"/>
    <n v="800000"/>
    <s v="Familia Il Grande Franceschi"/>
    <s v="arcifran75@hotmail.com"/>
    <s v="Av. &quot;I&quot; Nro. 146-40"/>
    <s v="Cancelación Vigilancia, meses de Mayo y Junio/2018"/>
    <x v="0"/>
    <m/>
    <s v="01105"/>
    <s v="02 de junio de 2018"/>
    <x v="19"/>
    <s v="800.000,00"/>
    <s v="Ochocientos Mil Bolívares con 00/100"/>
  </r>
  <r>
    <n v="1106"/>
    <m/>
    <s v="ü"/>
    <d v="2018-06-02T00:00:00"/>
    <n v="350000"/>
    <s v="Familia Il Grande Franceschi"/>
    <s v="arcifran75@hotmail.com"/>
    <s v="Av. &quot;I&quot; Nro. 146-40"/>
    <s v="Colaboración mantenimiento Caseta de Vigilancia"/>
    <x v="7"/>
    <m/>
    <s v="01106"/>
    <s v="02 de junio de 2018"/>
    <x v="19"/>
    <s v="350.000,00"/>
    <s v="Trescientos Cincuenta Mil Bolívares con 00/100"/>
  </r>
  <r>
    <n v="1107"/>
    <m/>
    <s v="ü"/>
    <d v="2018-06-02T00:00:00"/>
    <n v="350000"/>
    <s v="Ely Saúl Rivero Gómez, C.I 18.448.557"/>
    <s v="hhs.admon@gmail.com"/>
    <s v="Av. &quot;Ñ&quot; Nro. 145-25"/>
    <s v="Colaboración mantenimiento Caseta de Vigilancia"/>
    <x v="7"/>
    <m/>
    <s v="01107"/>
    <s v="02 de junio de 2018"/>
    <x v="19"/>
    <s v="350.000,00"/>
    <s v="Trescientos Cincuenta Mil Bolívares con 00/100"/>
  </r>
  <r>
    <n v="1108"/>
    <m/>
    <s v="ü"/>
    <d v="2018-06-04T00:00:00"/>
    <n v="400000"/>
    <s v="Isbeth Palacios"/>
    <s v="ispalparcpc@gmail.com"/>
    <s v="Calle Guacara Nro. 88-75"/>
    <s v="Cancelación Vigilancia, mes de Junio/2018"/>
    <x v="0"/>
    <m/>
    <s v="01108"/>
    <s v="04 de junio de 2018"/>
    <x v="19"/>
    <s v="400.000,00"/>
    <s v="Cuatrocientos Mil Bolívares con 00/100"/>
  </r>
  <r>
    <n v="1109"/>
    <m/>
    <s v="ü"/>
    <d v="2018-06-04T00:00:00"/>
    <n v="400000"/>
    <s v="Chin Chun Ya (Goya)"/>
    <s v="uc2721@gmail.com"/>
    <s v="Calle Guacara Nro. 87-86"/>
    <s v="Cancelación Vigilancia, mes de Junio/2018"/>
    <x v="0"/>
    <m/>
    <s v="01109"/>
    <s v="04 de junio de 2018"/>
    <x v="19"/>
    <s v="400.000,00"/>
    <s v="Cuatrocientos Mil Bolívares con 00/100"/>
  </r>
  <r>
    <n v="1110"/>
    <m/>
    <s v="ü"/>
    <d v="2018-06-04T00:00:00"/>
    <n v="400000"/>
    <s v="Familia Barreto Pérez"/>
    <s v="bbetsa19@hotmail.com"/>
    <s v="Av. &quot;M&quot; Nro. 146-15"/>
    <s v="Cancelación Vigilancia, mes de Mayo/2018"/>
    <x v="0"/>
    <m/>
    <s v="01110"/>
    <s v="04 de junio de 2018"/>
    <x v="19"/>
    <s v="400.000,00"/>
    <s v="Cuatrocientos Mil Bolívares con 00/100"/>
  </r>
  <r>
    <n v="1111"/>
    <m/>
    <s v="ü"/>
    <d v="2018-06-04T00:00:00"/>
    <n v="100000"/>
    <s v="Familia Morales Sesar"/>
    <s v="moralesesar@gmail.com"/>
    <s v="Calle Güigüe Nro. 89-120"/>
    <s v="Colaboración Vigilancia, mes de Mayo/2018"/>
    <x v="0"/>
    <m/>
    <s v="01111"/>
    <s v="04 de junio de 2018"/>
    <x v="19"/>
    <s v="100.000,00"/>
    <s v="Cien Mil Bolívares con 00/100"/>
  </r>
  <r>
    <n v="1112"/>
    <m/>
    <s v="ü"/>
    <d v="2018-06-04T00:00:00"/>
    <n v="400000"/>
    <s v="Familia Ferrer Bahri"/>
    <s v="bahrimariela@hotmail.com"/>
    <s v="Calle Güigüe Nro. 89-83"/>
    <s v="Cancelación Vigilancia, mes de Junio/2018"/>
    <x v="0"/>
    <m/>
    <s v="01112"/>
    <s v="04 de junio de 2018"/>
    <x v="19"/>
    <s v="400.000,00"/>
    <s v="Cuatrocientos Mil Bolívares con 00/100"/>
  </r>
  <r>
    <n v="1113"/>
    <m/>
    <s v="ü"/>
    <d v="2018-06-04T00:00:00"/>
    <n v="460000"/>
    <s v="Familia Rodríguez Aular"/>
    <s v="mvaular@hotmail.com"/>
    <s v="Calle Güigüe Nro. 88-58"/>
    <s v="Colaboración Vigilancia, meses de Marzo, Abril y Mayo/2018"/>
    <x v="0"/>
    <m/>
    <s v="01113"/>
    <s v="04 de junio de 2018"/>
    <x v="19"/>
    <s v="460.000,00"/>
    <s v="Cuatrocientos Sesenta Mil Bolívares con 00/100"/>
  </r>
  <r>
    <n v="1114"/>
    <m/>
    <s v="ü"/>
    <d v="2018-06-04T00:00:00"/>
    <n v="200000"/>
    <s v="Gloria Molina"/>
    <s v="glomola2@yahoo.es"/>
    <s v="Calle Güigüe Nro. 89-71"/>
    <s v="Colaboración Vigilancia, mes de Mayo/2018"/>
    <x v="0"/>
    <m/>
    <s v="01114"/>
    <s v="04 de junio de 2018"/>
    <x v="19"/>
    <s v="200.000,00"/>
    <s v="Doscientos Mil Bolívares con 00/100"/>
  </r>
  <r>
    <n v="1115"/>
    <m/>
    <s v="ü"/>
    <d v="2018-06-04T00:00:00"/>
    <n v="300000"/>
    <s v="Gloria Molina"/>
    <s v="glomola2@yahoo.es"/>
    <s v="Calle Güigüe Nro. 89-71"/>
    <s v="Colaboración mantenimiento Caseta de Vigilancia"/>
    <x v="7"/>
    <m/>
    <s v="01115"/>
    <s v="04 de junio de 2018"/>
    <x v="19"/>
    <s v="300.000,00"/>
    <s v="Trescientos Mil Bolívares con 00/100"/>
  </r>
  <r>
    <n v="1116"/>
    <m/>
    <s v="ü"/>
    <d v="2018-06-06T00:00:00"/>
    <n v="800000"/>
    <s v="Familia Loponte Arteaga"/>
    <s v="En Físico"/>
    <s v="Calle Güigüe Nro. 88-120"/>
    <s v="Cancelación Vigilancia, meses de Junio y Julio/2018"/>
    <x v="0"/>
    <m/>
    <s v="01116"/>
    <s v="06 de junio de 2018"/>
    <x v="19"/>
    <s v="800.000,00"/>
    <s v="Ochocientos Mil Bolívares con 00/100"/>
  </r>
  <r>
    <n v="1117"/>
    <m/>
    <s v="ü"/>
    <d v="2018-06-06T00:00:00"/>
    <n v="300000"/>
    <s v="Familia Loponte Arteaga"/>
    <s v="En Físico"/>
    <s v="Calle Güigüe Nro. 88-120"/>
    <s v="Colaboración mantenimiento Caseta de Vigilancia"/>
    <x v="7"/>
    <m/>
    <s v="01117"/>
    <s v="06 de junio de 2018"/>
    <x v="19"/>
    <s v="300.000,00"/>
    <s v="Trescientos Mil Bolívares con 00/100"/>
  </r>
  <r>
    <n v="1118"/>
    <m/>
    <s v="ü"/>
    <d v="2018-06-06T00:00:00"/>
    <n v="400000"/>
    <s v="Carmen Moreno"/>
    <s v="carmenemoreno10@gmail.com"/>
    <s v="Calle Güigüe Nro. 89-04"/>
    <s v="Cancelación Vigilancia, mes de Junio/2018"/>
    <x v="0"/>
    <m/>
    <s v="01118"/>
    <s v="06 de junio de 2018"/>
    <x v="19"/>
    <s v="400.000,00"/>
    <s v="Cuatrocientos Mil Bolívares con 00/100"/>
  </r>
  <r>
    <n v="1119"/>
    <m/>
    <s v="ü"/>
    <d v="2018-06-06T00:00:00"/>
    <n v="400000"/>
    <s v="Familia Milanés Carmona"/>
    <s v="yndira11m@gmail.com"/>
    <s v="Calle Güigüe Nro. 89-65"/>
    <s v="Cancelación Vigilancia, mes de Junio/2018"/>
    <x v="0"/>
    <m/>
    <s v="01119"/>
    <s v="06 de junio de 2018"/>
    <x v="19"/>
    <s v="400.000,00"/>
    <s v="Cuatrocientos Mil Bolívares con 00/100"/>
  </r>
  <r>
    <n v="1120"/>
    <m/>
    <s v="ü"/>
    <d v="2018-06-06T00:00:00"/>
    <n v="400000"/>
    <s v="Familia Del Negro Palermo"/>
    <s v="vdelnegro@gmail.com"/>
    <s v="Calle Guacara Nro. 88-45"/>
    <s v="Cancelación Vigilancia, mes de Junio/2018 (saldo a favor: Bs. 4.720.000)"/>
    <x v="0"/>
    <m/>
    <s v="01120"/>
    <s v="06 de junio de 2018"/>
    <x v="19"/>
    <s v="400.000,00"/>
    <s v="Cuatrocientos Mil Bolívares con 00/100"/>
  </r>
  <r>
    <n v="1121"/>
    <m/>
    <s v="ü"/>
    <d v="2018-06-06T00:00:00"/>
    <n v="400000"/>
    <s v="Ely Saúl Rivero Gómez, C.I 18.448.557"/>
    <s v="hhs.admon@gmail.com"/>
    <s v="Av. &quot;Ñ&quot; Nro. 145-25"/>
    <s v="Cancelación Vigilancia, mes de Junio/2018 (saldo a favor: Bs. 3.435.000)"/>
    <x v="0"/>
    <m/>
    <s v="01121"/>
    <s v="06 de junio de 2018"/>
    <x v="19"/>
    <s v="400.000,00"/>
    <s v="Cuatrocientos Mil Bolívares con 00/100"/>
  </r>
  <r>
    <n v="1122"/>
    <m/>
    <s v="ü"/>
    <d v="2018-06-06T00:00:00"/>
    <n v="400000"/>
    <s v="Familia Arcia Polanco"/>
    <s v="misipo29@gmail.com"/>
    <s v="Calle Guacara Nro. 89-20"/>
    <s v="Cancelación Vigilancia, mes de Junio/2018"/>
    <x v="0"/>
    <m/>
    <s v="01122"/>
    <s v="06 de junio de 2018"/>
    <x v="19"/>
    <s v="400.000,00"/>
    <s v="Cuatrocientos Mil Bolívares con 00/100"/>
  </r>
  <r>
    <n v="1123"/>
    <m/>
    <s v="ü"/>
    <d v="2018-06-06T00:00:00"/>
    <n v="400000"/>
    <s v="Familia Jiménez Salvatierra"/>
    <s v="En Físico"/>
    <s v="Calle Güigüe Nro. 89-45"/>
    <s v="Cancelación Vigilancia, mes de Junio/2018 (saldo a favor: Bs. 1.593.000)"/>
    <x v="0"/>
    <m/>
    <s v="01123"/>
    <s v="06 de junio de 2018"/>
    <x v="19"/>
    <s v="400.000,00"/>
    <s v="Cuatrocientos Mil Bolívares con 00/100"/>
  </r>
  <r>
    <n v="1124"/>
    <m/>
    <s v="ü"/>
    <d v="2018-06-06T00:00:00"/>
    <n v="400000"/>
    <s v="Familia Fermín Rivas"/>
    <s v="angelferminb@gmail.com"/>
    <s v="Calle Güigüe Nro. 89-55"/>
    <s v="Cancelación Vigilancia, mes de Junio/2018 (saldo a favor: Bs. 660.000)"/>
    <x v="0"/>
    <m/>
    <s v="01124"/>
    <s v="06 de junio de 2018"/>
    <x v="19"/>
    <s v="400.000,00"/>
    <s v="Cuatrocientos Mil Bolívares con 00/100"/>
  </r>
  <r>
    <n v="1125"/>
    <m/>
    <s v="ü"/>
    <d v="2018-06-07T00:00:00"/>
    <n v="400000"/>
    <s v="Familia Puerta Burguillos"/>
    <s v="namaricakes@gmail.com"/>
    <s v="Calle Guacara Nro. 87-100"/>
    <s v="Cancelación Vigilancia, mes de Junio/2018"/>
    <x v="0"/>
    <m/>
    <s v="01125"/>
    <s v="07 de junio de 2018"/>
    <x v="19"/>
    <s v="400.000,00"/>
    <s v="Cuatrocientos Mil Bolívares con 00/100"/>
  </r>
  <r>
    <n v="1126"/>
    <m/>
    <s v="ü"/>
    <d v="2018-06-07T00:00:00"/>
    <n v="400000"/>
    <s v="Familia Colosso Delgado"/>
    <s v="mcolosso@gmail.com"/>
    <s v="Calle Güigüe Nro. 88-44"/>
    <s v="Cancelación Vigilancia, mes de Junio/2018"/>
    <x v="0"/>
    <m/>
    <s v="01126"/>
    <s v="07 de junio de 2018"/>
    <x v="19"/>
    <s v="400.000,00"/>
    <s v="Cuatrocientos Mil Bolívares con 00/100"/>
  </r>
  <r>
    <n v="1127"/>
    <m/>
    <s v="ü"/>
    <d v="2018-06-07T00:00:00"/>
    <n v="400000"/>
    <s v="Familia Nava Gordon"/>
    <s v="maru_19_66@hotmail.com"/>
    <s v="Calle Guacara Nro. 89-78"/>
    <s v="Cancelación Vigilancia, mes de Junio/2018"/>
    <x v="0"/>
    <m/>
    <s v="01127"/>
    <s v="07 de junio de 2018"/>
    <x v="19"/>
    <s v="400.000,00"/>
    <s v="Cuatrocientos Mil Bolívares con 00/100"/>
  </r>
  <r>
    <n v="1128"/>
    <m/>
    <s v="ü"/>
    <d v="2018-06-08T00:00:00"/>
    <n v="100000"/>
    <s v="Familia Triana"/>
    <s v="En Físico"/>
    <s v="Calle Guacara Nro. 90-61"/>
    <s v="Colaboración Vigilancia, mes de Mayo/2018"/>
    <x v="0"/>
    <m/>
    <s v="01128"/>
    <s v="08 de junio de 2018"/>
    <x v="19"/>
    <s v="100.000,00"/>
    <s v="Cien Mil Bolívares con 00/100"/>
  </r>
  <r>
    <n v="1129"/>
    <m/>
    <s v="ü"/>
    <d v="2018-06-08T00:00:00"/>
    <n v="400000"/>
    <s v="Dra. Lilia Magallanes"/>
    <s v="liliamagallanes2010@gmail.com"/>
    <s v="Calle Güigüe Nro. 88-51"/>
    <s v="Cancelación Vigilancia, mes de Mayo/2018"/>
    <x v="0"/>
    <m/>
    <s v="01129"/>
    <s v="08 de junio de 2018"/>
    <x v="19"/>
    <s v="400.000,00"/>
    <s v="Cuatrocientos Mil Bolívares con 00/100"/>
  </r>
  <r>
    <n v="1130"/>
    <m/>
    <s v="ü"/>
    <d v="2018-06-08T00:00:00"/>
    <n v="350000"/>
    <s v="Familia Barreto Pérez"/>
    <s v="bbetsa19@hotmail.com"/>
    <s v="Av. &quot;M&quot; Nro. 146-15"/>
    <s v="Colaboración mantenimiento Caseta de Vigilancia"/>
    <x v="7"/>
    <m/>
    <s v="01130"/>
    <s v="08 de junio de 2018"/>
    <x v="19"/>
    <s v="350.000,00"/>
    <s v="Trescientos Cincuenta Mil Bolívares con 00/100"/>
  </r>
  <r>
    <n v="1131"/>
    <m/>
    <s v="ü"/>
    <d v="2018-06-09T00:00:00"/>
    <n v="100000"/>
    <s v="Familia Chávez Hernández"/>
    <s v="mercedesch23@hotmail.com"/>
    <s v="Calle Güigüe Nro. 88-20"/>
    <s v="Colaboración Vigilancia, meses de Mayo y Junio/2018"/>
    <x v="0"/>
    <m/>
    <s v="01131"/>
    <s v="09 de junio de 2018"/>
    <x v="19"/>
    <s v="100.000,00"/>
    <s v="Cien Mil Bolívares con 00/100"/>
  </r>
  <r>
    <n v="1132"/>
    <m/>
    <s v="ü"/>
    <d v="2018-06-09T00:00:00"/>
    <n v="1080000"/>
    <s v="Familia Leung"/>
    <s v="En Físico"/>
    <s v="Calle Guacara Nro. 88-55"/>
    <s v="Cancelación Vigilancia, meses de Marzo, Abril, Mayo y Junio/2018"/>
    <x v="0"/>
    <m/>
    <s v="01132"/>
    <s v="09 de junio de 2018"/>
    <x v="19"/>
    <s v="1.080.000,00"/>
    <s v="Un Millón Ochenta Mil Bolívares con 00/100"/>
  </r>
  <r>
    <n v="1133"/>
    <m/>
    <s v="ü"/>
    <d v="2018-06-10T00:00:00"/>
    <n v="400000"/>
    <s v="Héctor Hernández"/>
    <s v="eof64@hotmail.com"/>
    <s v="Calle Guacara Nro. 89-94"/>
    <s v="Cancelación Vigilancia, mes de Junio/2018"/>
    <x v="0"/>
    <m/>
    <s v="01133"/>
    <s v="10 de junio de 2018"/>
    <x v="19"/>
    <s v="400.000,00"/>
    <s v="Cuatrocientos Mil Bolívares con 00/100"/>
  </r>
  <r>
    <n v="1134"/>
    <m/>
    <s v="ü"/>
    <d v="2018-06-10T00:00:00"/>
    <n v="400000"/>
    <s v="Victoria Francischiello"/>
    <s v="victoriafrancischiello@hotmail.com"/>
    <s v="Calle Guacara Nro. 88-25"/>
    <s v="Colaboración Vigilancia, mes de Junio/2018"/>
    <x v="0"/>
    <m/>
    <s v="01134"/>
    <s v="10 de junio de 2018"/>
    <x v="19"/>
    <s v="400.000,00"/>
    <s v="Cuatrocientos Mil Bolívares con 00/100"/>
  </r>
  <r>
    <n v="1135"/>
    <m/>
    <s v="ü"/>
    <d v="2018-06-10T00:00:00"/>
    <n v="350000"/>
    <s v="Victoria Francischiello"/>
    <s v="victoriafrancischiello@hotmail.com"/>
    <s v="Calle Guacara Nro. 88-25"/>
    <s v="Colaboración mantenimiento Caseta de Vigilancia"/>
    <x v="7"/>
    <m/>
    <s v="01135"/>
    <s v="10 de junio de 2018"/>
    <x v="19"/>
    <s v="350.000,00"/>
    <s v="Trescientos Cincuenta Mil Bolívares con 00/100"/>
  </r>
  <r>
    <n v="1136"/>
    <m/>
    <s v="ü"/>
    <d v="2018-06-11T00:00:00"/>
    <n v="400000"/>
    <s v="Familia Barreto Pérez"/>
    <s v="bbetsa19@hotmail.com"/>
    <s v="Av. &quot;M&quot; Nro. 146-15"/>
    <s v="Cancelación Vigilancia, mes de Junio/2018"/>
    <x v="0"/>
    <m/>
    <s v="01136"/>
    <s v="11 de junio de 2018"/>
    <x v="19"/>
    <s v="400.000,00"/>
    <s v="Cuatrocientos Mil Bolívares con 00/100"/>
  </r>
  <r>
    <n v="1137"/>
    <m/>
    <s v="ü"/>
    <d v="2018-06-11T00:00:00"/>
    <n v="400000"/>
    <s v="Familia Delgado Hidalgo"/>
    <s v="ardh@hotmail.com"/>
    <s v="Calle Güigüe Nro. 88-10"/>
    <s v="Cancelación Vigilancia, mes de Junio/2018"/>
    <x v="0"/>
    <m/>
    <s v="01137"/>
    <s v="11 de junio de 2018"/>
    <x v="19"/>
    <s v="400.000,00"/>
    <s v="Cuatrocientos Mil Bolívares con 00/100"/>
  </r>
  <r>
    <n v="1138"/>
    <m/>
    <s v="ü"/>
    <d v="2018-06-13T00:00:00"/>
    <n v="200000"/>
    <s v="Manuel Rodríguez"/>
    <s v="mrl58@hotmail.com"/>
    <s v="Calle Güigüe Nro. 89-29"/>
    <s v="Colaboración Vigilancia, mes de Junio/2018"/>
    <x v="0"/>
    <m/>
    <s v="01138"/>
    <s v="13 de junio de 2018"/>
    <x v="19"/>
    <s v="200.000,00"/>
    <s v="Doscientos Mil Bolívares con 00/100"/>
  </r>
  <r>
    <n v="1139"/>
    <m/>
    <s v="ü"/>
    <d v="2018-06-12T00:00:00"/>
    <n v="400000"/>
    <s v="Ma. de Jesus Alonso"/>
    <s v="alonsojg@gmail.com"/>
    <s v="Calle Güigüe Nro. 88-30"/>
    <s v="Cancelación Vigilancia, mes de Junio/2018"/>
    <x v="0"/>
    <m/>
    <s v="01139"/>
    <s v="12 de junio de 2018"/>
    <x v="19"/>
    <s v="400.000,00"/>
    <s v="Cuatrocientos Mil Bolívares con 00/100"/>
  </r>
  <r>
    <n v="1140"/>
    <m/>
    <s v="ü"/>
    <d v="2018-06-13T00:00:00"/>
    <n v="2100000"/>
    <s v="Zoraida Khair"/>
    <s v="zorakhair@hotmail.com"/>
    <s v="Calle Güigüe Nro. 88-80"/>
    <s v="Cancelación Vigilancia, meses de Abril, Mayo, Junio, Julio, Agosto y Septiembre/2017"/>
    <x v="0"/>
    <m/>
    <s v="01140"/>
    <s v="13 de junio de 2018"/>
    <x v="19"/>
    <s v="2.100.000,00"/>
    <s v="Dos Millones Cien Mil Bolívares con 00/100"/>
  </r>
  <r>
    <n v="1141"/>
    <m/>
    <s v="ü"/>
    <d v="2018-06-14T00:00:00"/>
    <n v="800000"/>
    <s v="Familia Hatem Medina"/>
    <s v="hhatem1@hotmail.com"/>
    <s v="Calle Guacara Nro. 88-51"/>
    <s v="Cancelación Vigilancia, meses de Junio y Julio/2018"/>
    <x v="0"/>
    <m/>
    <s v="01141"/>
    <s v="14 de junio de 2018"/>
    <x v="19"/>
    <s v="800.000,00"/>
    <s v="Ochocientos Mil Bolívares con 00/100"/>
  </r>
  <r>
    <n v="1142"/>
    <m/>
    <s v="ü"/>
    <d v="2018-06-15T00:00:00"/>
    <n v="400000"/>
    <s v="Familia Kabblan"/>
    <s v="norisjsb56@hotmail.com"/>
    <s v="Calle Güigüe Nro. 89-80"/>
    <s v="Cancelación Vigilancia, mes de Junio/2018"/>
    <x v="0"/>
    <m/>
    <s v="01142"/>
    <s v="15 de junio de 2018"/>
    <x v="19"/>
    <s v="400.000,00"/>
    <s v="Cuatrocientos Mil Bolívares con 00/100"/>
  </r>
  <r>
    <n v="1143"/>
    <m/>
    <s v="ü"/>
    <d v="2018-06-15T00:00:00"/>
    <n v="400000"/>
    <s v="Familia Scabuzzo Gómez"/>
    <s v="sfscabuzzo@msn.com"/>
    <s v="Av. &quot;I&quot; Nro. 146-20"/>
    <s v="Cancelación Vigilancia, mes de Junio/2018"/>
    <x v="0"/>
    <m/>
    <s v="01143"/>
    <s v="15 de junio de 2018"/>
    <x v="19"/>
    <s v="400.000,00"/>
    <s v="Cuatrocientos Mil Bolívares con 00/100"/>
  </r>
  <r>
    <n v="1144"/>
    <m/>
    <s v="ü"/>
    <d v="2018-06-15T00:00:00"/>
    <n v="400000"/>
    <s v="Familia Scabuzzo Gómez"/>
    <s v="sfscabuzzo@msn.com"/>
    <s v="Av. &quot;I&quot; Nro. 146-20"/>
    <s v="Colaboración mantenimiento Caseta de Vigilancia"/>
    <x v="7"/>
    <m/>
    <s v="01144"/>
    <s v="15 de junio de 2018"/>
    <x v="19"/>
    <s v="400.000,00"/>
    <s v="Cuatrocientos Mil Bolívares con 00/100"/>
  </r>
  <r>
    <n v="1145"/>
    <m/>
    <s v="ü"/>
    <d v="2018-06-18T00:00:00"/>
    <n v="400000"/>
    <s v="Beatriz Lara"/>
    <s v="valentina.gutierrez@hotmail.com"/>
    <s v="Calle Guacara Nro. 89-130"/>
    <s v="Cancelación Vigilancia, mes de Junio/2018"/>
    <x v="0"/>
    <m/>
    <s v="01145"/>
    <s v="18 de junio de 2018"/>
    <x v="19"/>
    <s v="400.000,00"/>
    <s v="Cuatrocientos Mil Bolívares con 00/100"/>
  </r>
  <r>
    <n v="1146"/>
    <m/>
    <s v="ü"/>
    <d v="2018-06-18T00:00:00"/>
    <n v="400000"/>
    <s v="Familia Hurtado"/>
    <s v="En Físico"/>
    <s v="Av. &quot;O&quot; Nro. 146-11"/>
    <s v="Cancelación Vigilancia, mes de Junio/2018"/>
    <x v="0"/>
    <m/>
    <s v="01146"/>
    <s v="18 de junio de 2018"/>
    <x v="19"/>
    <s v="400.000,00"/>
    <s v="Cuatrocientos Mil Bolívares con 00/100"/>
  </r>
  <r>
    <n v="1147"/>
    <m/>
    <s v="ü"/>
    <d v="2018-06-18T00:00:00"/>
    <n v="600000"/>
    <s v="Wu Hung Fung"/>
    <s v="carolinahung24@gmail.com"/>
    <s v="Calle Guacara Nro. 90-81"/>
    <s v="Cancelación Vigilancia, mes de Junio y anticipo Julio/2018"/>
    <x v="0"/>
    <m/>
    <s v="01147"/>
    <s v="18 de junio de 2018"/>
    <x v="19"/>
    <s v="600.000,00"/>
    <s v="Seiscientos Mil Bolívares con 00/100"/>
  </r>
  <r>
    <n v="1148"/>
    <m/>
    <s v="ü"/>
    <d v="2018-06-18T00:00:00"/>
    <n v="400000"/>
    <s v="Familia Montilla García"/>
    <s v="dairy252525@hotmail.com"/>
    <s v="Calle Güigüe Nro. 89-90"/>
    <s v="Cancelación Vigilancia, mes de Junio/2018"/>
    <x v="0"/>
    <m/>
    <s v="01148"/>
    <s v="18 de junio de 2018"/>
    <x v="19"/>
    <s v="400.000,00"/>
    <s v="Cuatrocientos Mil Bolívares con 00/100"/>
  </r>
  <r>
    <n v="1149"/>
    <m/>
    <s v="ü"/>
    <d v="2018-06-19T00:00:00"/>
    <n v="400000"/>
    <s v="Familia Navarro Assing"/>
    <s v="liliaassing@gmail.com"/>
    <s v="Calle Güigüe Nro. 88-54"/>
    <s v="Cancelación Vigilancia, mes de Junio/2018"/>
    <x v="0"/>
    <m/>
    <s v="01149"/>
    <s v="19 de junio de 2018"/>
    <x v="19"/>
    <s v="400.000,00"/>
    <s v="Cuatrocientos Mil Bolívares con 00/100"/>
  </r>
  <r>
    <n v="1150"/>
    <m/>
    <s v="ü"/>
    <d v="2018-06-19T00:00:00"/>
    <n v="400000"/>
    <s v="Familia Rodríguez Aular"/>
    <s v="mvaular@hotmail.com"/>
    <s v="Calle Güigüe Nro. 88-58"/>
    <s v="Cancelación Vigilancia, mes de Junio/2018"/>
    <x v="0"/>
    <m/>
    <s v="01150"/>
    <s v="19 de junio de 2018"/>
    <x v="19"/>
    <s v="400.000,00"/>
    <s v="Cuatrocientos Mil Bolívares con 00/100"/>
  </r>
  <r>
    <n v="1151"/>
    <m/>
    <s v="ü"/>
    <d v="2018-06-21T00:00:00"/>
    <n v="400000"/>
    <s v="Familia Castro Jiménez"/>
    <s v="aurycastrojimenez@gmail.com"/>
    <s v="Calle Guacara Nro. 90-51"/>
    <s v="Cancelación Vigilancia, mes de Junio/2018"/>
    <x v="0"/>
    <m/>
    <s v="01151"/>
    <s v="21 de junio de 2018"/>
    <x v="19"/>
    <s v="400.000,00"/>
    <s v="Cuatrocientos Mil Bolívares con 00/100"/>
  </r>
  <r>
    <n v="1152"/>
    <m/>
    <s v="ü"/>
    <d v="2018-06-21T00:00:00"/>
    <n v="100000"/>
    <s v="Familia Castro Jiménez"/>
    <s v="aurycastrojimenez@gmail.com"/>
    <s v="Calle Guacara Nro. 90-51"/>
    <s v="Colaboración para comida de vigilantes"/>
    <x v="8"/>
    <m/>
    <s v="01152"/>
    <s v="21 de junio de 2018"/>
    <x v="19"/>
    <s v="100.000,00"/>
    <s v="Cien Mil Bolívares con 00/100"/>
  </r>
  <r>
    <n v="1153"/>
    <m/>
    <s v="ü"/>
    <d v="2018-06-21T00:00:00"/>
    <n v="1000000"/>
    <s v="Familia Ozar Rivero"/>
    <s v="vanessarivero81@hotmail.com"/>
    <s v="Calle Güigüe Nro. 88-06"/>
    <s v="Cancelación Vigilancia, meses de Mayo y Junio y anticipo mes de Julio/2018"/>
    <x v="0"/>
    <m/>
    <s v="01153"/>
    <s v="21 de junio de 2018"/>
    <x v="19"/>
    <s v="1.000.000,00"/>
    <s v="Un Millón Bolívares con 00/100"/>
  </r>
  <r>
    <n v="1154"/>
    <m/>
    <s v="ü"/>
    <d v="2018-06-26T00:00:00"/>
    <n v="2550000"/>
    <s v="Familia Ochoa Mendoza"/>
    <s v="marisoljudithm@hotmail.com"/>
    <s v="Calle Güigüe Nro. 89-105"/>
    <s v="Cancelación Vigilancia, meses de Junio, Julio y Agosto, y anticipo Septiembre/2018"/>
    <x v="0"/>
    <m/>
    <s v="01154"/>
    <s v="26 de junio de 2018"/>
    <x v="19"/>
    <s v="2.550.000,00"/>
    <s v="Dos Millones Quinientos Cincuenta Mil Bolívares con 00/100"/>
  </r>
  <r>
    <n v="1155"/>
    <m/>
    <s v="ü"/>
    <d v="2018-06-26T00:00:00"/>
    <n v="400000"/>
    <s v="Familia Costermani Terrer"/>
    <s v="claudiacostermani@hotmail.com"/>
    <s v="Calle Güigüe Nro. 88-11"/>
    <s v="Cancelación Vigilancia, mes de Junio/2018"/>
    <x v="0"/>
    <m/>
    <s v="01155"/>
    <s v="26 de junio de 2018"/>
    <x v="19"/>
    <s v="400.000,00"/>
    <s v="Cuatrocientos Mil Bolívares con 00/100"/>
  </r>
  <r>
    <n v="1156"/>
    <m/>
    <s v="ü"/>
    <d v="2018-06-26T00:00:00"/>
    <n v="40000"/>
    <s v="Familia Rivero"/>
    <s v="En Físico"/>
    <s v="Calle Güigüe Nro. 88-40"/>
    <s v="Colaboración Vigilancia, mes de Junio/2018"/>
    <x v="0"/>
    <m/>
    <s v="01156"/>
    <s v="26 de junio de 2018"/>
    <x v="19"/>
    <s v="40.000,00"/>
    <s v="Cuarenta Mil Bolívares con 00/100"/>
  </r>
  <r>
    <n v="1157"/>
    <m/>
    <s v="ü"/>
    <d v="2018-06-26T00:00:00"/>
    <n v="340000"/>
    <s v="Familia Zavarce Barón"/>
    <s v="alexanderzavarce@gmail.com"/>
    <s v="Calle Guacara Nro. 88-91"/>
    <s v="Cancelación Vigilancia, saldo mes de Mayo/2018"/>
    <x v="0"/>
    <m/>
    <s v="01157"/>
    <s v="26 de junio de 2018"/>
    <x v="19"/>
    <s v="340.000,00"/>
    <s v="Trescientos Cuarenta Mil Bolívares con 00/100"/>
  </r>
  <r>
    <n v="1158"/>
    <m/>
    <s v="ü"/>
    <d v="2018-06-26T00:00:00"/>
    <n v="350000"/>
    <s v="Familia Zavarce Barón"/>
    <s v="alexanderzavarce@gmail.com"/>
    <s v="Calle Guacara Nro. 88-91"/>
    <s v="Colaboración mantenimiento Caseta de Vigilancia"/>
    <x v="7"/>
    <m/>
    <s v="01158"/>
    <s v="26 de junio de 2018"/>
    <x v="19"/>
    <s v="350.000,00"/>
    <s v="Trescientos Cincuenta Mil Bolívares con 00/100"/>
  </r>
  <r>
    <n v="1159"/>
    <m/>
    <s v="ü"/>
    <d v="2018-06-28T00:00:00"/>
    <n v="1075000"/>
    <s v="Familia Alonso Rojas"/>
    <s v="redjc01@gmail.com"/>
    <s v="Calle Güigüe Nro. 89-54"/>
    <s v="Cancelación Vigilancia, ajuste mes de Junio y cancelación mes de Julio/2018"/>
    <x v="0"/>
    <m/>
    <s v="01159"/>
    <s v="28 de junio de 2018"/>
    <x v="19"/>
    <s v="1.075.000,00"/>
    <s v="Un Millón Setenta y Cinco Mil Bolívares con 00/100"/>
  </r>
  <r>
    <n v="1160"/>
    <m/>
    <s v="ü"/>
    <d v="2018-06-28T00:00:00"/>
    <n v="400000"/>
    <s v="Familia Guerra Miret"/>
    <s v="antoniojguerrag@hotmail.com"/>
    <s v="Calle Güigüe Nro. 89-40"/>
    <s v="Cancelación Vigilancia, anticipo mes de Junio/2018"/>
    <x v="0"/>
    <m/>
    <s v="01160"/>
    <s v="28 de junio de 2018"/>
    <x v="19"/>
    <s v="400.000,00"/>
    <s v="Cuatrocientos Mil Bolívares con 00/100"/>
  </r>
  <r>
    <n v="1161"/>
    <m/>
    <s v="ü"/>
    <d v="2018-06-28T00:00:00"/>
    <n v="225000"/>
    <s v="Familia Fermín Rivas"/>
    <s v="angelferminb@gmail.com"/>
    <s v="Calle Güigüe Nro. 89-55"/>
    <s v="Cancelación Vigilancia, ajuste mes de Junio/2018 (saldo a favor: Bs. 435.000)"/>
    <x v="0"/>
    <m/>
    <s v="01161"/>
    <s v="28 de junio de 2018"/>
    <x v="19"/>
    <s v="225.000,00"/>
    <s v="Doscientos Veinticinco Mil Bolívares con 00/100"/>
  </r>
  <r>
    <n v="1162"/>
    <m/>
    <s v="ü"/>
    <d v="2018-06-28T00:00:00"/>
    <n v="225000"/>
    <s v="Familia Del Negro Palermo"/>
    <s v="vdelnegro@gmail.com"/>
    <s v="Calle Guacara Nro. 88-45"/>
    <s v="Cancelación Vigilancia, ajuste mes de Junio/2018 (saldo a favor: Bs. 4.495.000)"/>
    <x v="0"/>
    <m/>
    <s v="01162"/>
    <s v="28 de junio de 2018"/>
    <x v="19"/>
    <s v="225.000,00"/>
    <s v="Doscientos Veinticinco Mil Bolívares con 00/100"/>
  </r>
  <r>
    <n v="1163"/>
    <m/>
    <s v="ü"/>
    <d v="2018-06-28T00:00:00"/>
    <n v="225000"/>
    <s v="Ely Saúl Rivero Gómez, C.I 18.448.557"/>
    <s v="hhs.admon@gmail.com"/>
    <s v="Av. &quot;Ñ&quot; Nro. 145-25"/>
    <s v="Cancelación Vigilancia, ajuste mes de Junio/2018 (saldo a favor: Bs. 3.210.000)"/>
    <x v="0"/>
    <m/>
    <s v="01163"/>
    <s v="28 de junio de 2018"/>
    <x v="19"/>
    <s v="225.000,00"/>
    <s v="Doscientos Veinticinco Mil Bolívares con 00/100"/>
  </r>
  <r>
    <n v="1164"/>
    <m/>
    <m/>
    <d v="2018-06-28T00:00:00"/>
    <n v="225000"/>
    <s v="Familia Jiménez Salvatierra"/>
    <s v="En Físico"/>
    <s v="Calle Güigüe Nro. 89-45"/>
    <s v="Cancelación Vigilancia, ajuste mes de Junio/2018 (saldo a favor: Bs. 1.368.000)"/>
    <x v="0"/>
    <m/>
    <s v="01164"/>
    <s v="28 de junio de 2018"/>
    <x v="19"/>
    <s v="225.000,00"/>
    <s v="Doscientos Veinticinco Mil Bolívares con 00/100"/>
  </r>
  <r>
    <n v="1165"/>
    <m/>
    <s v="ü"/>
    <d v="2018-06-28T00:00:00"/>
    <n v="225000"/>
    <s v="Familia Arcia Polanco"/>
    <s v="misipo29@gmail.com"/>
    <s v="Calle Guacara Nro. 89-20"/>
    <s v="Cancelación Vigilancia, ajuste mes de Junio/2018"/>
    <x v="0"/>
    <m/>
    <s v="01165"/>
    <s v="28 de junio de 2018"/>
    <x v="19"/>
    <s v="225.000,00"/>
    <s v="Doscientos Veinticinco Mil Bolívares con 00/100"/>
  </r>
  <r>
    <n v="1166"/>
    <m/>
    <s v="ü"/>
    <d v="2018-06-28T00:00:00"/>
    <n v="1075000"/>
    <s v="Familia Milanés Carmona"/>
    <s v="yndira11m@gmail.com"/>
    <s v="Calle Güigüe Nro. 89-65"/>
    <s v="Cancelación Vigilancia, ajuste mes de Junio y cancelación mes de Julio/2018"/>
    <x v="0"/>
    <m/>
    <s v="01166"/>
    <s v="28 de junio de 2018"/>
    <x v="19"/>
    <s v="1.075.000,00"/>
    <s v="Un Millón Setenta y Cinco Mil Bolívares con 00/100"/>
  </r>
  <r>
    <n v="1167"/>
    <m/>
    <s v="ü"/>
    <d v="2018-06-28T00:00:00"/>
    <n v="1075000"/>
    <s v="Chin Chun Ya (Goya)"/>
    <s v="uc2721@gmail.com"/>
    <s v="Calle Guacara Nro. 87-86"/>
    <s v="Cancelación Vigilancia, ajuste mes de Junio y cancelación mes de Julio/2018"/>
    <x v="0"/>
    <m/>
    <s v="01167"/>
    <s v="28 de junio de 2018"/>
    <x v="19"/>
    <s v="1.075.000,00"/>
    <s v="Un Millón Setenta y Cinco Mil Bolívares con 00/100"/>
  </r>
  <r>
    <n v="1168"/>
    <m/>
    <s v="ü"/>
    <d v="2018-06-28T00:00:00"/>
    <n v="1075000"/>
    <s v="Familia González Arévalo"/>
    <s v="feryenis@hotmail.com"/>
    <s v="Calle Guacara Nro. 89-86"/>
    <s v="Cancelación Vigilancia, ajuste mes de Junio y cancelación mes de Julio/2018"/>
    <x v="0"/>
    <m/>
    <s v="01168"/>
    <s v="28 de junio de 2018"/>
    <x v="19"/>
    <s v="1.075.000,00"/>
    <s v="Un Millón Setenta y Cinco Mil Bolívares con 00/100"/>
  </r>
  <r>
    <n v="1169"/>
    <m/>
    <s v="ü"/>
    <d v="2018-06-28T00:00:00"/>
    <n v="225000"/>
    <s v="Carmen Moreno"/>
    <s v="carmenemoreno10@gmail.com"/>
    <s v="Calle Güigüe Nro. 89-04"/>
    <s v="Cancelación Vigilancia, ajuste mes de Junio/2018"/>
    <x v="0"/>
    <m/>
    <s v="01169"/>
    <s v="28 de junio de 2018"/>
    <x v="19"/>
    <s v="225.000,00"/>
    <s v="Doscientos Veinticinco Mil Bolívares con 00/100"/>
  </r>
  <r>
    <n v="1170"/>
    <m/>
    <s v="ü"/>
    <d v="2018-06-28T00:00:00"/>
    <n v="400000"/>
    <s v="Amarilis Guerra"/>
    <s v="amarilisguerra1@yahoo.com"/>
    <s v="Calle Güigüe Nro. 89-96"/>
    <s v="Cancelación Vigilancia, anticipo mes de Junio/2018"/>
    <x v="0"/>
    <m/>
    <s v="01170"/>
    <s v="28 de junio de 2018"/>
    <x v="19"/>
    <s v="400.000,00"/>
    <s v="Cuatrocientos Mil Bolívares con 00/100"/>
  </r>
  <r>
    <n v="1171"/>
    <m/>
    <s v="ü"/>
    <d v="2018-06-29T00:00:00"/>
    <n v="675000"/>
    <s v="Familia Kattar"/>
    <s v="jagiak123@yahoo.es"/>
    <s v="Calle Güigüe Nro. 89-95"/>
    <s v="Cancelación Vigilancia, ajuste mes de Junio, y saldo mes de Junio/2018"/>
    <x v="0"/>
    <m/>
    <s v="01171"/>
    <s v="29 de junio de 2018"/>
    <x v="19"/>
    <s v="675.000,00"/>
    <s v="Seiscientos Setenta y Cinco Mil Bolívares con 00/100"/>
  </r>
  <r>
    <n v="1172"/>
    <m/>
    <s v="ü"/>
    <d v="2018-06-29T00:00:00"/>
    <n v="1075000"/>
    <s v="Familia Puerta Burguillos"/>
    <s v="namaricakes@gmail.com"/>
    <s v="Calle Guacara Nro. 87-100"/>
    <s v="Cancelación Vigilancia, ajuste mes de Junio y cancelación mes de Julio/2018"/>
    <x v="0"/>
    <m/>
    <s v="01172"/>
    <s v="29 de junio de 2018"/>
    <x v="19"/>
    <s v="1.075.000,00"/>
    <s v="Un Millón Setenta y Cinco Mil Bolívares con 00/100"/>
  </r>
  <r>
    <n v="1173"/>
    <m/>
    <s v="ü"/>
    <d v="2018-06-29T00:00:00"/>
    <n v="925000"/>
    <s v="Familia Puerta Burguillos"/>
    <s v="namaricakes@gmail.com"/>
    <s v="Calle Guacara Nro. 87-100"/>
    <s v="Colaboración reparación portón principal"/>
    <x v="9"/>
    <m/>
    <s v="01173"/>
    <s v="29 de junio de 2018"/>
    <x v="19"/>
    <s v="925.000,00"/>
    <s v="Novecientos Veinticinco Mil Bolívares con 00/100"/>
  </r>
  <r>
    <n v="1174"/>
    <m/>
    <s v="ü"/>
    <d v="2018-06-29T00:00:00"/>
    <n v="225000"/>
    <s v="Familia Hatem Medina"/>
    <s v="hhatem1@hotmail.com"/>
    <s v="Calle Guacara Nro. 88-51"/>
    <s v="Cancelación Vigilancia, ajuste mes de Junio/2018"/>
    <x v="0"/>
    <m/>
    <s v="01174"/>
    <s v="29 de junio de 2018"/>
    <x v="19"/>
    <s v="225.000,00"/>
    <s v="Doscientos Veinticinco Mil Bolívares con 00/100"/>
  </r>
  <r>
    <n v="1175"/>
    <m/>
    <s v="ü"/>
    <d v="2018-06-29T00:00:00"/>
    <n v="625000"/>
    <s v="Familia Gascón Domínguez"/>
    <s v="vrgascon@gmail.com"/>
    <s v="Calle Güigüe Nro. 88-70"/>
    <s v="Cancelación Vigilancia, mes de Junio/2018"/>
    <x v="0"/>
    <m/>
    <s v="01175"/>
    <s v="29 de junio de 2018"/>
    <x v="19"/>
    <s v="625.000,00"/>
    <s v="Seiscientos Veinticinco Mil Bolívares con 00/100"/>
  </r>
  <r>
    <n v="1176"/>
    <m/>
    <s v="ü"/>
    <d v="2018-06-30T00:00:00"/>
    <n v="1075000"/>
    <s v="Isbeth Palacios"/>
    <s v="ispalparcpc@gmail.com"/>
    <s v="Calle Guacara Nro. 88-75"/>
    <s v="Cancelación Vigilancia, ajuste mes de Junio y cancelación mes de Julio/2018"/>
    <x v="0"/>
    <m/>
    <s v="01176"/>
    <s v="30 de junio de 2018"/>
    <x v="19"/>
    <s v="1.075.000,00"/>
    <s v="Un Millón Setenta y Cinco Mil Bolívares con 00/100"/>
  </r>
  <r>
    <n v="1177"/>
    <m/>
    <s v="ü"/>
    <d v="2018-06-30T00:00:00"/>
    <n v="225000"/>
    <s v="Anahiz Seijas"/>
    <s v="anahiz_2@hotmail.es"/>
    <s v="Calle Güigüe Nro. 89-106"/>
    <s v="Cancelación Vigilancia, ajuste mes de Junio/2018"/>
    <x v="0"/>
    <m/>
    <s v="01177"/>
    <s v="30 de junio de 2018"/>
    <x v="19"/>
    <s v="225.000,00"/>
    <s v="Doscientos Veinticinco Mil Bolívares con 00/100"/>
  </r>
  <r>
    <n v="1178"/>
    <m/>
    <s v="ü"/>
    <d v="2018-06-30T00:00:00"/>
    <n v="1075000"/>
    <s v="Familia Nava Gordon"/>
    <s v="maru_19_66@hotmail.com"/>
    <s v="Calle Guacara Nro. 89-78"/>
    <s v="Cancelación Vigilancia, ajuste mes de Junio y cancelación mes de Julio/2018"/>
    <x v="0"/>
    <m/>
    <s v="01178"/>
    <s v="30 de junio de 2018"/>
    <x v="19"/>
    <s v="1.075.000,00"/>
    <s v="Un Millón Setenta y Cinco Mil Bolívares con 00/100"/>
  </r>
  <r>
    <n v="1179"/>
    <m/>
    <s v="ü"/>
    <d v="2018-06-30T00:00:00"/>
    <n v="450000"/>
    <s v="Familia Hatem Medina"/>
    <s v="hhatem1@hotmail.com"/>
    <s v="Calle Guacara Nro. 88-51"/>
    <s v="Cancelación Vigilancia, saldo mes de Julio/2018"/>
    <x v="0"/>
    <m/>
    <s v="01179"/>
    <s v="30 de junio de 2018"/>
    <x v="19"/>
    <s v="450.000,00"/>
    <s v="Cuatrocientos Cincuenta Mil Bolívares con 00/100"/>
  </r>
  <r>
    <n v="1180"/>
    <m/>
    <s v="ü"/>
    <d v="2018-06-30T00:00:00"/>
    <n v="1075000"/>
    <s v="Familia Colosso Delgado"/>
    <s v="mcolosso@gmail.com"/>
    <s v="Calle Güigüe Nro. 88-44"/>
    <s v="Cancelación Vigilancia, ajuste mes de Junio y cancelación mes de Julio/2018"/>
    <x v="0"/>
    <m/>
    <s v="01180"/>
    <s v="30 de junio de 2018"/>
    <x v="19"/>
    <s v="1.075.000,00"/>
    <s v="Un Millón Setenta y Cinco Mil Bolívares con 00/100"/>
  </r>
  <r>
    <n v="1181"/>
    <m/>
    <s v="ü"/>
    <d v="2018-06-30T00:00:00"/>
    <n v="1025000"/>
    <s v="Familia Ozar Rivero"/>
    <s v="vanessarivero81@hotmail.com"/>
    <s v="Calle Güigüe Nro. 88-06"/>
    <s v="Cancelación Vigilancia, ajuste mes de Junio, saldo mes de Julio/2018"/>
    <x v="0"/>
    <m/>
    <s v="01181"/>
    <s v="30 de junio de 2018"/>
    <x v="19"/>
    <s v="1.025.000,00"/>
    <s v="Un Millón Veinticinco Mil Bolívares con 00/100"/>
  </r>
  <r>
    <n v="1182"/>
    <m/>
    <s v="ü"/>
    <d v="2018-06-30T00:00:00"/>
    <n v="1075000"/>
    <s v="Wu Hung Fung"/>
    <s v="carolinahung24@gmail.com"/>
    <s v="Calle Guacara Nro. 90-81"/>
    <s v="Cancelación Vigilancia, ajuste mes de Junio, saldo mes de Julio y anticipo mes de Agosto/2018"/>
    <x v="0"/>
    <m/>
    <s v="01182"/>
    <s v="30 de junio de 2018"/>
    <x v="19"/>
    <s v="1.075.000,00"/>
    <s v="Un Millón Setenta y Cinco Mil Bolívares con 00/100"/>
  </r>
  <r>
    <n v="1183"/>
    <m/>
    <s v="ü"/>
    <d v="2018-07-01T00:00:00"/>
    <n v="1075000"/>
    <s v="Familia Delgado Hidalgo"/>
    <s v="ardh@hotmail.com"/>
    <s v="Calle Güigüe Nro. 88-10"/>
    <s v="Cancelación Vigilancia, ajuste mes de Junio y cancelación mes de Julio/2018"/>
    <x v="0"/>
    <m/>
    <s v="01183"/>
    <s v="01 de julio de 2018"/>
    <x v="20"/>
    <s v="1.075.000,00"/>
    <s v="Un Millón Setenta y Cinco Mil Bolívares con 00/100"/>
  </r>
  <r>
    <n v="1184"/>
    <m/>
    <s v="ü"/>
    <d v="2018-07-01T00:00:00"/>
    <n v="1075000"/>
    <s v="Familia Ferrer Bahri"/>
    <s v="bahrimariela@hotmail.com"/>
    <s v="Calle Güigüe Nro. 89-83"/>
    <s v="Cancelación Vigilancia, ajuste mes de Junio y cancelación mes de Julio/2018"/>
    <x v="0"/>
    <m/>
    <s v="01184"/>
    <s v="01 de julio de 2018"/>
    <x v="20"/>
    <s v="1.075.000,00"/>
    <s v="Un Millón Setenta y Cinco Mil Bolívares con 00/100"/>
  </r>
  <r>
    <n v="1185"/>
    <m/>
    <s v="ü"/>
    <d v="2018-07-01T00:00:00"/>
    <n v="400000"/>
    <s v="Gloria Molina"/>
    <s v="glomola2@yahoo.es"/>
    <s v="Calle Güigüe Nro. 89-71"/>
    <s v="Colaboración Vigilancia, mes de Junio/2017"/>
    <x v="0"/>
    <m/>
    <s v="01185"/>
    <s v="01 de julio de 2018"/>
    <x v="20"/>
    <s v="400.000,00"/>
    <s v="Cuatrocientos Mil Bolívares con 00/100"/>
  </r>
  <r>
    <n v="1186"/>
    <m/>
    <s v="ü"/>
    <d v="2018-07-01T00:00:00"/>
    <n v="250000"/>
    <s v="Familia Navarro Assing"/>
    <s v="liliaassing@gmail.com"/>
    <s v="Calle Güigüe Nro. 88-54"/>
    <s v="Cancelación Vigilancia, ajuste mes de Junio/2018, más adicional de Bs. 25.000"/>
    <x v="0"/>
    <m/>
    <s v="01186"/>
    <s v="01 de julio de 2018"/>
    <x v="20"/>
    <s v="250.000,00"/>
    <s v="Doscientos Cincuenta Mil Bolívares con 00/100"/>
  </r>
  <r>
    <n v="1187"/>
    <m/>
    <s v="ü"/>
    <d v="2018-07-01T00:00:00"/>
    <n v="225000"/>
    <s v="Héctor Hernández"/>
    <s v="eof64@hotmail.com"/>
    <s v="Calle Guacara Nro. 89-94"/>
    <s v="Cancelación Vigilancia, ajuste mes de Junio/2018"/>
    <x v="0"/>
    <m/>
    <s v="01187"/>
    <s v="01 de julio de 2018"/>
    <x v="20"/>
    <s v="225.000,00"/>
    <s v="Doscientos Veinticinco Mil Bolívares con 00/100"/>
  </r>
  <r>
    <n v="1188"/>
    <m/>
    <s v="ü"/>
    <d v="2018-07-01T00:00:00"/>
    <n v="1075000"/>
    <s v="Familia Narváez Caldera"/>
    <s v="jeannette_nc@yahoo.com"/>
    <s v="Calle Güigüe Nro. 87-A-11"/>
    <s v="Cancelación Vigilancia, ajuste mes de Junio y cancelación mes de Julio/2018"/>
    <x v="0"/>
    <m/>
    <s v="01188"/>
    <s v="01 de julio de 2018"/>
    <x v="20"/>
    <s v="1.075.000,00"/>
    <s v="Un Millón Setenta y Cinco Mil Bolívares con 00/100"/>
  </r>
  <r>
    <n v="1189"/>
    <m/>
    <s v="ü"/>
    <d v="2018-07-02T00:00:00"/>
    <n v="225000"/>
    <s v="Familia Kabblan"/>
    <s v="norisjsb56@hotmail.com"/>
    <s v="Calle Güigüe Nro. 89-80"/>
    <s v="Cancelación Vigilancia, ajuste mes de Junio/2018"/>
    <x v="0"/>
    <m/>
    <s v="01189"/>
    <s v="02 de julio de 2018"/>
    <x v="20"/>
    <s v="225.000,00"/>
    <s v="Doscientos Veinticinco Mil Bolívares con 00/100"/>
  </r>
  <r>
    <n v="1190"/>
    <m/>
    <s v="ü"/>
    <d v="2018-07-02T00:00:00"/>
    <n v="850000"/>
    <s v="Carmen Moreno"/>
    <s v="carmenemoreno10@gmail.com"/>
    <s v="Calle Güigüe Nro. 89-04"/>
    <s v="Cancelación Vigilancia, mes de Julio/2018"/>
    <x v="0"/>
    <m/>
    <s v="01190"/>
    <s v="02 de julio de 2018"/>
    <x v="20"/>
    <s v="850.000,00"/>
    <s v="Ochocientos Cincuenta Mil Bolívares con 00/100"/>
  </r>
  <r>
    <n v="1191"/>
    <m/>
    <s v="ü"/>
    <d v="2018-07-02T00:00:00"/>
    <n v="2325000"/>
    <s v="Familia Cegarra Villamizar"/>
    <s v="jesus.villamizar.ra@gmail.com"/>
    <s v="Calle Guacara Nro. 88-35"/>
    <s v="Cancelación Vigilancia, meses de Junio, Julio y Agosto/2018"/>
    <x v="0"/>
    <m/>
    <s v="01191"/>
    <s v="02 de julio de 2018"/>
    <x v="20"/>
    <s v="2.325.000,00"/>
    <s v="Dos Millones Trescientos Veinticinco Mil Bolívares con 00/100"/>
  </r>
  <r>
    <n v="1192"/>
    <m/>
    <m/>
    <d v="2018-07-02T00:00:00"/>
    <n v="625000"/>
    <s v="Familia Zavarce Pérez"/>
    <s v="En Físico"/>
    <s v="Calle Guacara Nro. 90-35"/>
    <s v="Cancelación Vigilancia, mes de Junio/2018"/>
    <x v="0"/>
    <m/>
    <s v="01192"/>
    <s v="02 de julio de 2018"/>
    <x v="20"/>
    <s v="625.000,00"/>
    <s v="Seiscientos Veinticinco Mil Bolívares con 00/100"/>
  </r>
  <r>
    <n v="1193"/>
    <m/>
    <s v="ü"/>
    <d v="2018-07-02T00:00:00"/>
    <n v="1000000"/>
    <s v="Familia Lomeña Agudo"/>
    <s v="claudialomena@hotmail.com"/>
    <s v="Calle Guacara Nro. 89-30"/>
    <s v="Cancelación Vigilancia, mes de Julio/2018"/>
    <x v="0"/>
    <m/>
    <s v="01193"/>
    <s v="02 de julio de 2018"/>
    <x v="20"/>
    <s v="1.000.000,00"/>
    <s v="Un Millón Bolívares con 00/100"/>
  </r>
  <r>
    <n v="1194"/>
    <m/>
    <s v="ü"/>
    <d v="2018-07-02T00:00:00"/>
    <n v="850000"/>
    <s v="Familia Romero"/>
    <s v="autoescuela21@gmail.com"/>
    <s v="Calle Guacara Nro. 89-50"/>
    <s v="Cancelación Vigilancia, anticipo mes de Julio/2018"/>
    <x v="0"/>
    <m/>
    <s v="01194"/>
    <s v="02 de julio de 2018"/>
    <x v="20"/>
    <s v="850.000,00"/>
    <s v="Ochocientos Cincuenta Mil Bolívares con 00/100"/>
  </r>
  <r>
    <n v="1195"/>
    <m/>
    <s v="ü"/>
    <d v="2018-07-03T00:00:00"/>
    <n v="1625000"/>
    <s v="Familia López Hermoso"/>
    <s v="lopez.humberto14@yahoo.com.ve"/>
    <s v="Calle Güigüe Nro. 89-79"/>
    <s v="Cancelación Vigilancia, meses de Junio y Julio/2018 (saldo a favor: Bs. 3.535.000)"/>
    <x v="0"/>
    <m/>
    <s v="01195"/>
    <s v="03 de julio de 2018"/>
    <x v="20"/>
    <s v="1.625.000,00"/>
    <s v="Un Millón Seiscientos Veinticinco Mil Bolívares con 00/100"/>
  </r>
  <r>
    <n v="1196"/>
    <m/>
    <s v="ü"/>
    <d v="2018-07-03T00:00:00"/>
    <n v="650000"/>
    <s v="Familia Lomeña Agudo"/>
    <s v="claudialomena@hotmail.com"/>
    <s v="Calle Guacara Nro. 89-30"/>
    <s v="Cancelación Vigilancia, mes de Junio/2018"/>
    <x v="0"/>
    <m/>
    <s v="01196"/>
    <s v="03 de julio de 2018"/>
    <x v="20"/>
    <s v="650.000,00"/>
    <s v="Seiscientos Cincuenta Mil Bolívares con 00/100"/>
  </r>
  <r>
    <n v="1197"/>
    <m/>
    <s v="ü"/>
    <d v="2018-07-03T00:00:00"/>
    <n v="1225000"/>
    <s v="Familia Scabuzzo Gómez"/>
    <s v="sfscabuzzo@msn.com"/>
    <s v="Av. &quot;I&quot; Nro. 146-20"/>
    <s v="Cancelación Vigilancia, ajuste mes de Junio y cancelación mes de Julio/2018"/>
    <x v="0"/>
    <m/>
    <s v="01197"/>
    <s v="03 de julio de 2018"/>
    <x v="20"/>
    <s v="1.225.000,00"/>
    <s v="Un Millón Doscientos Veinticinco Mil Bolívares con 00/100"/>
  </r>
  <r>
    <n v="1198"/>
    <m/>
    <s v="ü"/>
    <d v="2018-07-03T00:00:00"/>
    <n v="1225000"/>
    <s v="Familia Castro Jiménez"/>
    <s v="aurycastrojimenez@gmail.com"/>
    <s v="Calle Guacara Nro. 90-51"/>
    <s v="Cancelación Vigilancia, ajuste mes de Junio y cancelación mes de Julio/2018"/>
    <x v="0"/>
    <m/>
    <s v="01198"/>
    <s v="03 de julio de 2018"/>
    <x v="20"/>
    <s v="1.225.000,00"/>
    <s v="Un Millón Doscientos Veinticinco Mil Bolívares con 00/100"/>
  </r>
  <r>
    <n v="1199"/>
    <m/>
    <s v="ü"/>
    <d v="2018-07-03T00:00:00"/>
    <n v="50000"/>
    <s v="Familia Castro Jiménez"/>
    <s v="aurycastrojimenez@gmail.com"/>
    <s v="Calle Guacara Nro. 90-51"/>
    <s v="Colaboración para comida de vigilantes"/>
    <x v="8"/>
    <m/>
    <s v="01199"/>
    <s v="03 de julio de 2018"/>
    <x v="20"/>
    <s v="50.000,00"/>
    <s v="Cincuenta Mil Bolívares con 00/100"/>
  </r>
  <r>
    <n v="1200"/>
    <m/>
    <s v="ü"/>
    <d v="2018-07-03T00:00:00"/>
    <n v="400000"/>
    <s v="Familia Romero"/>
    <s v="autoescuela21@gmail.com"/>
    <s v="Calle Guacara Nro. 89-50"/>
    <s v="Cancelación Vigilancia, anticipo mes de Junio/2018"/>
    <x v="0"/>
    <m/>
    <s v="01200"/>
    <s v="03 de julio de 2018"/>
    <x v="20"/>
    <s v="400.000,00"/>
    <s v="Cuatrocientos Mil Bolívares con 00/100"/>
  </r>
  <r>
    <n v="1201"/>
    <m/>
    <s v="ü"/>
    <d v="2018-07-03T00:00:00"/>
    <n v="350000"/>
    <s v="Familia Romero"/>
    <s v="autoescuela21@gmail.com"/>
    <s v="Calle Guacara Nro. 89-50"/>
    <s v="Colaboración mantenimiento Caseta de Vigilancia"/>
    <x v="7"/>
    <m/>
    <s v="01201"/>
    <s v="03 de julio de 2018"/>
    <x v="20"/>
    <s v="350.000,00"/>
    <s v="Trescientos Cincuenta Mil Bolívares con 00/100"/>
  </r>
  <r>
    <n v="1202"/>
    <m/>
    <s v="ü"/>
    <d v="2018-07-03T00:00:00"/>
    <n v="1475000"/>
    <s v="Familia Zavarce Barón"/>
    <s v="alexanderzavarce@gmail.com"/>
    <s v="Calle Guacara Nro. 88-91"/>
    <s v="Cancelación Vigilancia, mes de Junio y anticipo Julio/2018"/>
    <x v="0"/>
    <m/>
    <s v="01202"/>
    <s v="03 de julio de 2018"/>
    <x v="20"/>
    <s v="1.475.000,00"/>
    <s v="Un Millón Cuatrocientos Setenta y Cinco Mil Bolívares con 00/100"/>
  </r>
  <r>
    <n v="1203"/>
    <m/>
    <s v="ü"/>
    <d v="2018-07-03T00:00:00"/>
    <n v="150000"/>
    <s v="Familia Colosso Delgado"/>
    <s v="mcolosso@gmail.com"/>
    <s v="Calle Güigüe Nro. 88-44"/>
    <s v="Cancelación Vigilancia, ajuste mes de Julio/2018"/>
    <x v="0"/>
    <m/>
    <s v="01203"/>
    <s v="03 de julio de 2018"/>
    <x v="20"/>
    <s v="150.000,00"/>
    <s v="Ciento Cincuenta Mil Bolívares con 00/100"/>
  </r>
  <r>
    <n v="1204"/>
    <m/>
    <s v="ü"/>
    <d v="2018-07-03T00:00:00"/>
    <n v="2355000"/>
    <s v="Colegio El Trigal"/>
    <s v="En Físico"/>
    <s v="Calle Güigüe Nros. 88-71 y 88-81"/>
    <s v="Cancelación Vigilancia, meses de Junio y Julio/2018"/>
    <x v="0"/>
    <m/>
    <s v="01204"/>
    <s v="03 de julio de 2018"/>
    <x v="20"/>
    <s v="2.355.000,00"/>
    <s v="Dos Millones Trescientos Cincuenta y Cinco Mil Bolívares con 00/100"/>
  </r>
  <r>
    <n v="1205"/>
    <m/>
    <s v="ü"/>
    <d v="2018-07-03T00:00:00"/>
    <n v="150000"/>
    <s v="Familia Alonso Rojas"/>
    <s v="redjc01@gmail.com"/>
    <s v="Calle Güigüe Nro. 89-54"/>
    <s v="Cancelación Vigilancia, ajuste mes de Julio/2018"/>
    <x v="0"/>
    <m/>
    <s v="01205"/>
    <s v="03 de julio de 2018"/>
    <x v="20"/>
    <s v="150.000,00"/>
    <s v="Ciento Cincuenta Mil Bolívares con 00/100"/>
  </r>
  <r>
    <n v="1206"/>
    <m/>
    <s v="ü"/>
    <d v="2018-07-03T00:00:00"/>
    <n v="150000"/>
    <s v="Familia Narváez Caldera"/>
    <s v="jeannette_nc@yahoo.com"/>
    <s v="Calle Güigüe Nro. 87-A-11"/>
    <s v="Cancelación Vigilancia, ajuste mes de Julio/2018"/>
    <x v="0"/>
    <m/>
    <s v="01206"/>
    <s v="03 de julio de 2018"/>
    <x v="20"/>
    <s v="150.000,00"/>
    <s v="Ciento Cincuenta Mil Bolívares con 00/100"/>
  </r>
  <r>
    <n v="1207"/>
    <m/>
    <s v="ü"/>
    <d v="2018-07-04T00:00:00"/>
    <n v="825000"/>
    <s v="Familia Loponte Arteaga"/>
    <s v="En Físico"/>
    <s v="Calle Güigüe Nro. 88-120"/>
    <s v="Cancelación Vigilancia, ajuste meses de Junio y Julio/2018"/>
    <x v="0"/>
    <m/>
    <s v="01207"/>
    <s v="04 de julio de 2018"/>
    <x v="20"/>
    <s v="825.000,00"/>
    <s v="Ochocientos Veinticinco Mil Bolívares con 00/100"/>
  </r>
  <r>
    <n v="1208"/>
    <m/>
    <s v="ü"/>
    <d v="2018-07-04T00:00:00"/>
    <n v="1000000"/>
    <s v="Ely Saúl Rivero Gómez, C.I 18.448.557"/>
    <s v="hhs.admon@gmail.com"/>
    <s v="Av. &quot;Ñ&quot; Nro. 145-25"/>
    <s v="Cancelación Vigilancia, mes de Julio/2018 (saldo a favor: Bs. 2.210.000)"/>
    <x v="0"/>
    <m/>
    <s v="01208"/>
    <s v="04 de julio de 2018"/>
    <x v="20"/>
    <s v="1.000.000,00"/>
    <s v="Un Millón Bolívares con 00/100"/>
  </r>
  <r>
    <n v="1209"/>
    <m/>
    <m/>
    <d v="2018-07-04T00:00:00"/>
    <n v="1000000"/>
    <s v="Familia Jiménez Salvatierra"/>
    <s v="En Físico"/>
    <s v="Calle Güigüe Nro. 89-45"/>
    <s v="Cancelación Vigilancia, mes de Julio/2018 (saldo a favor: Bs. 1.518.000)"/>
    <x v="0"/>
    <m/>
    <s v="01209"/>
    <s v="04 de julio de 2018"/>
    <x v="20"/>
    <s v="1.000.000,00"/>
    <s v="Un Millón Bolívares con 00/100"/>
  </r>
  <r>
    <n v="1210"/>
    <m/>
    <s v="ü"/>
    <d v="2018-07-04T00:00:00"/>
    <n v="1000000"/>
    <s v="Familia Del Negro Palermo"/>
    <s v="vdelnegro@gmail.com"/>
    <s v="Calle Guacara Nro. 88-45"/>
    <s v="Cancelación Vigilancia, mes de Julio/2018 (saldo a favor: Bs. 3.495.000)"/>
    <x v="0"/>
    <m/>
    <s v="01210"/>
    <s v="04 de julio de 2018"/>
    <x v="20"/>
    <s v="1.000.000,00"/>
    <s v="Un Millón Bolívares con 00/100"/>
  </r>
  <r>
    <n v="1211"/>
    <m/>
    <s v="ü"/>
    <d v="2018-05-08T00:00:00"/>
    <n v="1475000"/>
    <s v="Familia Matta Palomino"/>
    <s v="En Físico"/>
    <s v="Calle Güigüe Nro. 88-90"/>
    <s v="Cancelación Vigilancia, mes de Junio y anticipo mes de Julio/2018"/>
    <x v="0"/>
    <m/>
    <s v="01211"/>
    <s v="08 de mayo de 2018"/>
    <x v="18"/>
    <s v="1.475.000,00"/>
    <s v="Un Millón Cuatrocientos Setenta y Cinco Mil Bolívares con 00/100"/>
  </r>
  <r>
    <n v="1212"/>
    <m/>
    <s v="ü"/>
    <d v="2018-07-04T00:00:00"/>
    <n v="500000"/>
    <s v="Familia Sirit Palencia"/>
    <s v="irasirit@gmail.com"/>
    <s v="Calle Güigüe Nro. 89-35"/>
    <s v="Colaboración Vigilancia, mes de Julio/2018"/>
    <x v="0"/>
    <m/>
    <s v="01212"/>
    <s v="04 de julio de 2018"/>
    <x v="20"/>
    <s v="500.000,00"/>
    <s v="Quinientos Mil Bolívares con 00/100"/>
  </r>
  <r>
    <n v="1213"/>
    <m/>
    <m/>
    <d v="2018-07-04T00:00:00"/>
    <n v="1000000"/>
    <s v="Familia Zavarce Pérez"/>
    <s v="En Físico"/>
    <s v="Calle Guacara Nro. 90-35"/>
    <s v="Cancelación Vigilancia, mes de Julio/2018"/>
    <x v="0"/>
    <m/>
    <s v="01213"/>
    <s v="04 de julio de 2018"/>
    <x v="20"/>
    <s v="1.000.000,00"/>
    <s v="Un Millón Bolívares con 00/100"/>
  </r>
  <r>
    <n v="1214"/>
    <m/>
    <s v="ü"/>
    <d v="2018-07-04T00:00:00"/>
    <n v="1000000"/>
    <s v="Familia Flores Montagne"/>
    <s v="martaflores@gmail.com"/>
    <s v="Av. &quot;M&quot; Nro. 146-20"/>
    <s v="Cancelación Vigilancia, mes de Julio/2018"/>
    <x v="0"/>
    <m/>
    <s v="01214"/>
    <s v="04 de julio de 2018"/>
    <x v="20"/>
    <s v="1.000.000,00"/>
    <s v="Un Millón Bolívares con 00/100"/>
  </r>
  <r>
    <n v="1215"/>
    <m/>
    <s v="ü"/>
    <d v="2018-07-05T00:00:00"/>
    <n v="1225000"/>
    <s v="Familia Barreto Pérez"/>
    <s v="bbetsa19@hotmail.com"/>
    <s v="Av. &quot;M&quot; Nro. 146-15"/>
    <s v="Cancelación Vigilancia, ajuste mes de Junio y cancelación mes de Julio/2018"/>
    <x v="0"/>
    <m/>
    <s v="01215"/>
    <s v="05 de julio de 2018"/>
    <x v="20"/>
    <s v="1.225.000,00"/>
    <s v="Un Millón Doscientos Veinticinco Mil Bolívares con 00/100"/>
  </r>
  <r>
    <n v="1216"/>
    <m/>
    <s v="ü"/>
    <d v="2018-07-05T00:00:00"/>
    <n v="600000"/>
    <s v="Familia Méndez Parra"/>
    <s v="briceidademendez@gmail.com"/>
    <s v="Calle Guacara Nro. 88-19"/>
    <s v="Colaboración Vigilancia, mes de Junio/2018"/>
    <x v="0"/>
    <m/>
    <s v="01216"/>
    <s v="05 de julio de 2018"/>
    <x v="20"/>
    <s v="600.000,00"/>
    <s v="Seiscientos Mil Bolívares con 00/100"/>
  </r>
  <r>
    <n v="1217"/>
    <m/>
    <s v="ü"/>
    <d v="2018-07-05T00:00:00"/>
    <n v="100000"/>
    <s v="Familia Morales Sesar"/>
    <s v="moralesesar@gmail.com"/>
    <s v="Calle Güigüe Nro. 89-120"/>
    <s v="Colaboración Vigilancia, mes de Junio/2018"/>
    <x v="0"/>
    <m/>
    <s v="01217"/>
    <s v="05 de julio de 2018"/>
    <x v="20"/>
    <s v="100.000,00"/>
    <s v="Cien Mil Bolívares con 00/100"/>
  </r>
  <r>
    <n v="1218"/>
    <m/>
    <s v="ü"/>
    <d v="2018-07-05T00:00:00"/>
    <n v="150000"/>
    <s v="Familia Ferrer Bahri"/>
    <s v="bahrimariela@hotmail.com"/>
    <s v="Calle Güigüe Nro. 89-83"/>
    <s v="Cancelación Vigilancia, ajuste mes de Julio/2018"/>
    <x v="0"/>
    <m/>
    <s v="01218"/>
    <s v="05 de julio de 2018"/>
    <x v="20"/>
    <s v="150.000,00"/>
    <s v="Ciento Cincuenta Mil Bolívares con 00/100"/>
  </r>
  <r>
    <n v="1219"/>
    <m/>
    <s v="ü"/>
    <d v="2018-07-06T00:00:00"/>
    <n v="225000"/>
    <s v="Amarilis Guerra"/>
    <s v="amarilisguerra1@yahoo.com"/>
    <s v="Calle Güigüe Nro. 89-96"/>
    <s v="Cancelación Vigilancia, ajuste mes de Junio/2018"/>
    <x v="0"/>
    <m/>
    <s v="01219"/>
    <s v="06 de julio de 2018"/>
    <x v="20"/>
    <s v="225.000,00"/>
    <s v="Doscientos Veinticinco Mil Bolívares con 00/100"/>
  </r>
  <r>
    <n v="1220"/>
    <m/>
    <s v="ü"/>
    <d v="2018-07-07T00:00:00"/>
    <n v="1000000"/>
    <s v="Amparo Acosta"/>
    <s v="amparonatividad@hotmail.com"/>
    <s v="Calle Guacara Nro. 88-65"/>
    <s v="Cancelación Vigilancia, mes de Julio/2018"/>
    <x v="0"/>
    <m/>
    <s v="01220"/>
    <s v="07 de julio de 2018"/>
    <x v="20"/>
    <s v="1.000.000,00"/>
    <s v="Un Millón Bolívares con 00/100"/>
  </r>
  <r>
    <n v="1221"/>
    <m/>
    <s v="ü"/>
    <d v="2018-07-07T00:00:00"/>
    <n v="400000"/>
    <s v="Familia Narváez Caldera"/>
    <s v="jeannette_nc@yahoo.com"/>
    <s v="Calle Güigüe Nro. 87-A-11"/>
    <s v="Cancelación Vigilancia, saldo mes de Junio/2018"/>
    <x v="0"/>
    <m/>
    <s v="01221"/>
    <s v="07 de julio de 2018"/>
    <x v="20"/>
    <s v="400.000,00"/>
    <s v="Cuatrocientos Mil Bolívares con 00/100"/>
  </r>
  <r>
    <n v="1222"/>
    <m/>
    <s v="ü"/>
    <d v="2018-07-07T00:00:00"/>
    <n v="1240000"/>
    <s v="Familia Durvelle Serrano"/>
    <s v="sdurvelle@hotmail.com"/>
    <s v="Calle Guacara Nro. 89-60"/>
    <s v="Cancelación Vigilancia, ajuste mes de Junio, cancelación mes de Julio y anticipo mes de Agosto/2018"/>
    <x v="0"/>
    <m/>
    <s v="01222"/>
    <s v="07 de julio de 2018"/>
    <x v="20"/>
    <s v="1.240.000,00"/>
    <s v="Un Millón Doscientos Cuarenta Mil Bolívares con 00/100"/>
  </r>
  <r>
    <n v="1223"/>
    <m/>
    <s v="ü"/>
    <d v="2018-07-01T00:00:00"/>
    <n v="625000"/>
    <s v="Franco Gómez"/>
    <s v="eof64@hotmail.com"/>
    <s v="Calle Guacara Nro. 87-07"/>
    <s v="Cancelación Vigilancia, mes de Junio/2018"/>
    <x v="0"/>
    <m/>
    <s v="01223"/>
    <s v="01 de julio de 2018"/>
    <x v="20"/>
    <s v="625.000,00"/>
    <s v="Seiscientos Veinticinco Mil Bolívares con 00/100"/>
  </r>
  <r>
    <n v="1224"/>
    <m/>
    <s v="ü"/>
    <d v="2018-07-08T00:00:00"/>
    <n v="650000"/>
    <s v="Familia Manrique Riera"/>
    <s v="patriciamanrique@gmail.com"/>
    <s v="Calle Guacara Nro. 89-40"/>
    <s v="Cancelación Vigilancia, mes de Junio/2018"/>
    <x v="0"/>
    <m/>
    <s v="01224"/>
    <s v="08 de julio de 2018"/>
    <x v="20"/>
    <s v="650.000,00"/>
    <s v="Seiscientos Cincuenta Mil Bolívares con 00/100"/>
  </r>
  <r>
    <n v="1225"/>
    <m/>
    <s v="ü"/>
    <d v="2018-07-08T00:00:00"/>
    <n v="1000000"/>
    <s v="Victoria Francischiello"/>
    <s v="victoriafrancischiello@hotmail.com"/>
    <s v="Calle Guacara Nro. 88-25"/>
    <s v="Cancelación Vigilancia, mes de Julio/2018"/>
    <x v="0"/>
    <m/>
    <s v="01225"/>
    <s v="08 de julio de 2018"/>
    <x v="20"/>
    <s v="1.000.000,00"/>
    <s v="Un Millón Bolívares con 00/100"/>
  </r>
  <r>
    <n v="1226"/>
    <m/>
    <s v="ü"/>
    <d v="2018-07-08T00:00:00"/>
    <n v="150000"/>
    <s v="Familia Milanés Carmona"/>
    <s v="yndira11m@gmail.com"/>
    <s v="Calle Güigüe Nro. 89-65"/>
    <s v="Cancelación Vigilancia, ajuste mes de Julio/2018"/>
    <x v="0"/>
    <m/>
    <s v="01226"/>
    <s v="08 de julio de 2018"/>
    <x v="20"/>
    <s v="150.000,00"/>
    <s v="Ciento Cincuenta Mil Bolívares con 00/100"/>
  </r>
  <r>
    <n v="1227"/>
    <m/>
    <s v="ü"/>
    <d v="2018-07-09T00:00:00"/>
    <n v="1225000"/>
    <s v="Sra. Reina Meléndez"/>
    <s v="olgajipe@gmail.com"/>
    <s v="Av. &quot;M&quot; Nro. 145-10"/>
    <s v="Cancelación Vigilancia, ajuste mes de Junio y mes de Julio/2018"/>
    <x v="0"/>
    <m/>
    <s v="01227"/>
    <s v="09 de julio de 2018"/>
    <x v="20"/>
    <s v="1.225.000,00"/>
    <s v="Un Millón Doscientos Veinticinco Mil Bolívares con 00/100"/>
  </r>
  <r>
    <n v="1228"/>
    <m/>
    <s v="ü"/>
    <d v="2018-07-09T00:00:00"/>
    <n v="350000"/>
    <s v="Sra. Reina Meléndez"/>
    <s v="olgajipe@gmail.com"/>
    <s v="Av. &quot;M&quot; Nro. 145-10"/>
    <s v="Colaboración mantenimiento Caseta de Vigilancia"/>
    <x v="7"/>
    <m/>
    <s v="01228"/>
    <s v="09 de julio de 2018"/>
    <x v="20"/>
    <s v="350.000,00"/>
    <s v="Trescientos Cincuenta Mil Bolívares con 00/100"/>
  </r>
  <r>
    <n v="1229"/>
    <m/>
    <s v="ü"/>
    <d v="2018-07-09T00:00:00"/>
    <n v="1000000"/>
    <s v="Héctor Hernández"/>
    <s v="eof64@hotmail.com"/>
    <s v="Calle Guacara Nro. 89-94"/>
    <s v="Cancelación Vigilancia, mes de Julio/2018"/>
    <x v="0"/>
    <m/>
    <s v="01229"/>
    <s v="09 de julio de 2018"/>
    <x v="20"/>
    <s v="1.000.000,00"/>
    <s v="Un Millón Bolívares con 00/100"/>
  </r>
  <r>
    <n v="1230"/>
    <m/>
    <s v="ü"/>
    <d v="2018-07-09T00:00:00"/>
    <n v="1250000"/>
    <s v="Familia Costermani Terrer"/>
    <s v="claudiacostermani@hotmail.com"/>
    <s v="Calle Güigüe Nro. 88-11"/>
    <s v="Cancelación Vigilancia, ajuste mes de Junio y mes de Julio/2018"/>
    <x v="0"/>
    <m/>
    <s v="01230"/>
    <s v="09 de julio de 2018"/>
    <x v="20"/>
    <s v="1.250.000,00"/>
    <s v="Un Millón Doscientos Cincuenta Mil Bolívares con 00/100"/>
  </r>
  <r>
    <n v="1231"/>
    <m/>
    <s v="ü"/>
    <d v="2018-07-09T00:00:00"/>
    <n v="250000"/>
    <s v="Beatriz Lara"/>
    <s v="valentina.gutierrez@hotmail.com"/>
    <s v="Calle Guacara Nro. 89-130"/>
    <s v="Cancelación Vigilancia, ajuste mes de Junio/2018"/>
    <x v="0"/>
    <m/>
    <s v="01231"/>
    <s v="09 de julio de 2018"/>
    <x v="20"/>
    <s v="250.000,00"/>
    <s v="Doscientos Cincuenta Mil Bolívares con 00/100"/>
  </r>
  <r>
    <n v="1232"/>
    <m/>
    <s v="ü"/>
    <d v="2018-07-09T00:00:00"/>
    <n v="1220000"/>
    <s v="Familia Alonso Rojas"/>
    <s v="redjc01@gmail.com"/>
    <s v="Calle Güigüe Nro. 89-54"/>
    <s v="Colaboración reparación portón principal"/>
    <x v="9"/>
    <m/>
    <s v="01232"/>
    <s v="09 de julio de 2018"/>
    <x v="20"/>
    <s v="1.220.000,00"/>
    <s v="Un Millón Doscientos Veinte Mil Bolívares con 00/100"/>
  </r>
  <r>
    <n v="1233"/>
    <m/>
    <s v="ü"/>
    <d v="2018-07-09T00:00:00"/>
    <n v="1790000"/>
    <s v="La Casita Encantada"/>
    <s v="En Físico"/>
    <s v="Av. &quot;M&quot; Nro. 146-30"/>
    <s v="Cancelación Vigilancia, meses de Junio y Julio/2018"/>
    <x v="0"/>
    <m/>
    <s v="01233"/>
    <s v="09 de julio de 2018"/>
    <x v="20"/>
    <s v="1.790.000,00"/>
    <s v="Un Millón Setecientos Noventa Mil Bolívares con 00/100"/>
  </r>
  <r>
    <n v="1234"/>
    <m/>
    <s v="ü"/>
    <d v="2018-07-09T00:00:00"/>
    <n v="1000000"/>
    <s v="Familia Arcia Polanco"/>
    <s v="misipo29@gmail.com"/>
    <s v="Calle Guacara Nro. 89-20"/>
    <s v="Cancelación Vigilancia, mes de Julio/2018"/>
    <x v="0"/>
    <m/>
    <s v="01234"/>
    <s v="09 de julio de 2018"/>
    <x v="20"/>
    <s v="1.000.000,00"/>
    <s v="Un Millón Bolívares con 00/100"/>
  </r>
  <r>
    <n v="1235"/>
    <m/>
    <s v="ü"/>
    <d v="2018-07-09T00:00:00"/>
    <n v="1220000"/>
    <s v="Chin Chun Ya (Goya)"/>
    <s v="uc2721@gmail.com"/>
    <s v="Calle Guacara Nro. 87-86"/>
    <s v="Colaboración reparación portón principal"/>
    <x v="9"/>
    <m/>
    <s v="01235"/>
    <s v="09 de julio de 2018"/>
    <x v="20"/>
    <s v="1.220.000,00"/>
    <s v="Un Millón Doscientos Veinte Mil Bolívares con 00/100"/>
  </r>
  <r>
    <n v="1236"/>
    <m/>
    <s v="ü"/>
    <d v="2018-07-09T00:00:00"/>
    <n v="150000"/>
    <s v="Chin Chun Ya (Goya)"/>
    <s v="uc2721@gmail.com"/>
    <s v="Calle Guacara Nro. 87-86"/>
    <s v="Cancelación Vigilancia, ajuste mes de Julio/2018"/>
    <x v="0"/>
    <m/>
    <s v="01236"/>
    <s v="09 de julio de 2018"/>
    <x v="20"/>
    <s v="150.000,00"/>
    <s v="Ciento Cincuenta Mil Bolívares con 00/100"/>
  </r>
  <r>
    <n v="1237"/>
    <m/>
    <s v="ü"/>
    <d v="2018-07-09T00:00:00"/>
    <n v="1000000"/>
    <s v="Familia Acosta"/>
    <s v="pablo962@hotmail.com"/>
    <s v="Calle Güigüe Nro. 89-10"/>
    <s v="Cancelación Vigilancia, mes de Junio y anticipo mes de Julio/2018"/>
    <x v="0"/>
    <m/>
    <s v="01237"/>
    <s v="09 de julio de 2018"/>
    <x v="20"/>
    <s v="1.000.000,00"/>
    <s v="Un Millón Bolívares con 00/100"/>
  </r>
  <r>
    <n v="1238"/>
    <m/>
    <s v="ü"/>
    <d v="2018-07-09T00:00:00"/>
    <n v="600000"/>
    <s v="Manuel Rodríguez"/>
    <s v="mrl58@hotmail.com"/>
    <s v="Calle Güigüe Nro. 89-29"/>
    <s v="Colaboración Vigilancia, ajuste mes de Junio y mes de Julio/2018"/>
    <x v="0"/>
    <m/>
    <s v="01238"/>
    <s v="09 de julio de 2018"/>
    <x v="20"/>
    <s v="600.000,00"/>
    <s v="Seiscientos Mil Bolívares con 00/100"/>
  </r>
  <r>
    <n v="1239"/>
    <m/>
    <m/>
    <d v="2018-07-09T00:00:00"/>
    <n v="1220000"/>
    <s v="Familia Jiménez Salvatierra"/>
    <s v="En Físico"/>
    <s v="Calle Güigüe Nro. 89-45"/>
    <s v="Colaboración reparación portón principal (saldo a favor Bs. 2.298.000)"/>
    <x v="9"/>
    <m/>
    <s v="01239"/>
    <s v="09 de julio de 2018"/>
    <x v="20"/>
    <s v="1.220.000,00"/>
    <s v="Un Millón Doscientos Veinte Mil Bolívares con 00/100"/>
  </r>
  <r>
    <n v="1240"/>
    <m/>
    <s v="ü"/>
    <d v="2018-07-09T00:00:00"/>
    <n v="630000"/>
    <s v="Dra. Lilia Magallanes"/>
    <s v="liliamagallanes2010@gmail.com"/>
    <s v="Calle Güigüe Nro. 88-51"/>
    <s v="Cancelación Vigilancia, mes de Junio y anticipo mes de Julio/2018"/>
    <x v="0"/>
    <m/>
    <s v="01240"/>
    <s v="09 de julio de 2018"/>
    <x v="20"/>
    <s v="630.000,00"/>
    <s v="Seiscientos Treinta Mil Bolívares con 00/100"/>
  </r>
  <r>
    <n v="1241"/>
    <m/>
    <s v="ü"/>
    <d v="2018-07-10T00:00:00"/>
    <n v="1220000"/>
    <s v="Familia Costermani Terrer"/>
    <s v="claudiacostermani@hotmail.com"/>
    <s v="Calle Güigüe Nro. 88-11"/>
    <s v="Colaboración reparación portón principal"/>
    <x v="9"/>
    <m/>
    <s v="01241"/>
    <s v="10 de julio de 2018"/>
    <x v="20"/>
    <s v="1.220.000,00"/>
    <s v="Un Millón Doscientos Veinte Mil Bolívares con 00/100"/>
  </r>
  <r>
    <n v="1242"/>
    <m/>
    <s v="ü"/>
    <d v="2018-07-10T00:00:00"/>
    <n v="1220000"/>
    <s v="Familia López Hermoso"/>
    <s v="lopez.humberto14@yahoo.com.ve"/>
    <s v="Calle Güigüe Nro. 89-79"/>
    <s v="Colaboración reparación portón principal (saldo a favor Bs. 2.315.000)"/>
    <x v="9"/>
    <m/>
    <s v="01242"/>
    <s v="10 de julio de 2018"/>
    <x v="20"/>
    <s v="1.220.000,00"/>
    <s v="Un Millón Doscientos Veinte Mil Bolívares con 00/100"/>
  </r>
  <r>
    <n v="1243"/>
    <m/>
    <s v="ü"/>
    <d v="2018-07-10T00:00:00"/>
    <n v="150000"/>
    <s v="Familia Delgado Hidalgo"/>
    <s v="ardh@hotmail.com"/>
    <s v="Calle Güigüe Nro. 88-10"/>
    <s v="Cancelación Vigilancia, ajuste mes de Julio/2018"/>
    <x v="0"/>
    <m/>
    <s v="01243"/>
    <s v="10 de julio de 2018"/>
    <x v="20"/>
    <s v="150.000,00"/>
    <s v="Ciento Cincuenta Mil Bolívares con 00/100"/>
  </r>
  <r>
    <n v="1244"/>
    <m/>
    <s v="ü"/>
    <d v="2018-07-10T00:00:00"/>
    <n v="1220000"/>
    <s v="Familia Delgado Hidalgo"/>
    <s v="ardh@hotmail.com"/>
    <s v="Calle Güigüe Nro. 88-10"/>
    <s v="Colaboración reparación portón principal"/>
    <x v="9"/>
    <m/>
    <s v="01244"/>
    <s v="10 de julio de 2018"/>
    <x v="20"/>
    <s v="1.220.000,00"/>
    <s v="Un Millón Doscientos Veinte Mil Bolívares con 00/100"/>
  </r>
  <r>
    <n v="1245"/>
    <m/>
    <s v="ü"/>
    <d v="2018-07-10T00:00:00"/>
    <n v="1220000"/>
    <s v="Ely Saúl Rivero Gómez, C.I 18.448.557"/>
    <s v="hhs.admon@gmail.com"/>
    <s v="Av. &quot;Ñ&quot; Nro. 145-25"/>
    <s v="Colaboración reparación portón principal (saldo a favor Bs.990.000)"/>
    <x v="9"/>
    <m/>
    <s v="01245"/>
    <s v="10 de julio de 2018"/>
    <x v="20"/>
    <s v="1.220.000,00"/>
    <s v="Un Millón Doscientos Veinte Mil Bolívares con 00/100"/>
  </r>
  <r>
    <n v="1246"/>
    <m/>
    <s v="ü"/>
    <d v="2018-07-10T00:00:00"/>
    <n v="1220000"/>
    <s v="Familia Kattar"/>
    <s v="jagiak123@yahoo.es"/>
    <s v="Calle Güigüe Nro. 89-95"/>
    <s v="Colaboración reparación portón principal"/>
    <x v="9"/>
    <m/>
    <s v="01246"/>
    <s v="10 de julio de 2018"/>
    <x v="20"/>
    <s v="1.220.000,00"/>
    <s v="Un Millón Doscientos Veinte Mil Bolívares con 00/100"/>
  </r>
  <r>
    <n v="1247"/>
    <m/>
    <s v="ü"/>
    <d v="2018-07-10T00:00:00"/>
    <n v="1625000"/>
    <s v="Ana de González"/>
    <s v="mikelnowak25@gmail.com"/>
    <s v="Av. &quot;O&quot; Nro. 146-17"/>
    <s v="Colaboración Vigilancia, meses de Junio y Julio/2018"/>
    <x v="0"/>
    <m/>
    <s v="01247"/>
    <s v="10 de julio de 2018"/>
    <x v="20"/>
    <s v="1.625.000,00"/>
    <s v="Un Millón Seiscientos Veinticinco Mil Bolívares con 00/100"/>
  </r>
  <r>
    <n v="1248"/>
    <m/>
    <s v="ü"/>
    <d v="2018-07-10T00:00:00"/>
    <n v="1220000"/>
    <s v="Familia Lomeña Agudo"/>
    <s v="claudialomena@hotmail.com"/>
    <s v="Calle Guacara Nro. 89-30"/>
    <s v="Colaboración reparación portón principal"/>
    <x v="9"/>
    <m/>
    <s v="01248"/>
    <s v="10 de julio de 2018"/>
    <x v="20"/>
    <s v="1.220.000,00"/>
    <s v="Un Millón Doscientos Veinte Mil Bolívares con 00/100"/>
  </r>
  <r>
    <n v="1249"/>
    <m/>
    <s v="ü"/>
    <d v="2018-07-10T00:00:00"/>
    <n v="1000000"/>
    <s v="Familia Fermín Rivas"/>
    <s v="angelferminb@gmail.com"/>
    <s v="Calle Güigüe Nro. 89-55"/>
    <s v="Cancelación Vigilancia, mes de Julio/2018"/>
    <x v="0"/>
    <m/>
    <s v="01249"/>
    <s v="10 de julio de 2018"/>
    <x v="20"/>
    <s v="1.000.000,00"/>
    <s v="Un Millón Bolívares con 00/100"/>
  </r>
  <r>
    <n v="1250"/>
    <m/>
    <s v="ü"/>
    <d v="2018-07-10T00:00:00"/>
    <n v="1220000"/>
    <s v="Familia Fermín Rivas"/>
    <s v="angelferminb@gmail.com"/>
    <s v="Calle Güigüe Nro. 89-55"/>
    <s v="Colaboración reparación portón principal"/>
    <x v="9"/>
    <m/>
    <s v="01250"/>
    <s v="10 de julio de 2018"/>
    <x v="20"/>
    <s v="1.220.000,00"/>
    <s v="Un Millón Doscientos Veinte Mil Bolívares con 00/100"/>
  </r>
  <r>
    <n v="1251"/>
    <m/>
    <s v="ü"/>
    <d v="2018-07-10T00:00:00"/>
    <n v="150000"/>
    <s v="Familia Nava Gordon"/>
    <s v="maru_19_66@hotmail.com"/>
    <s v="Calle Guacara Nro. 89-78"/>
    <s v="Cancelación Vigilancia, ajuste mes de Julio/2018"/>
    <x v="0"/>
    <m/>
    <s v="01251"/>
    <s v="10 de julio de 2018"/>
    <x v="20"/>
    <s v="150.000,00"/>
    <s v="Ciento Cincuenta Mil Bolívares con 00/100"/>
  </r>
  <r>
    <n v="1252"/>
    <m/>
    <s v="ü"/>
    <d v="2018-07-10T00:00:00"/>
    <n v="1150000"/>
    <s v="Familia Romero"/>
    <s v="autoescuela21@gmail.com"/>
    <s v="Calle Guacara Nro. 89-50"/>
    <s v="Cancelación Vigilancia, ajuste mes de Julio y Agosto/2018"/>
    <x v="0"/>
    <m/>
    <s v="01252"/>
    <s v="10 de julio de 2018"/>
    <x v="20"/>
    <s v="1.150.000,00"/>
    <s v="Un Millón Ciento Cincuenta Mil Bolívares con 00/100"/>
  </r>
  <r>
    <n v="1253"/>
    <m/>
    <s v="ü"/>
    <d v="2018-07-10T00:00:00"/>
    <n v="1220000"/>
    <s v="Familia Colosso Delgado"/>
    <s v="mcolosso@gmail.com"/>
    <s v="Calle Güigüe Nro. 88-44"/>
    <s v="Colaboración reparación portón principal"/>
    <x v="9"/>
    <m/>
    <s v="01253"/>
    <s v="10 de julio de 2018"/>
    <x v="20"/>
    <s v="1.220.000,00"/>
    <s v="Un Millón Doscientos Veinte Mil Bolívares con 00/100"/>
  </r>
  <r>
    <n v="1254"/>
    <m/>
    <s v="ü"/>
    <d v="2018-07-10T00:00:00"/>
    <n v="1220000"/>
    <s v="Familia Montilla García"/>
    <s v="dairy252525@hotmail.com"/>
    <s v="Calle Güigüe Nro. 89-90"/>
    <s v="Colaboración reparación portón principal"/>
    <x v="9"/>
    <m/>
    <s v="01254"/>
    <s v="10 de julio de 2018"/>
    <x v="20"/>
    <s v="1.220.000,00"/>
    <s v="Un Millón Doscientos Veinte Mil Bolívares con 00/100"/>
  </r>
  <r>
    <n v="1255"/>
    <m/>
    <s v="ü"/>
    <d v="2018-07-10T00:00:00"/>
    <n v="1030000"/>
    <s v="Familia Montilla García"/>
    <s v="dairy252525@hotmail.com"/>
    <s v="Calle Güigüe Nro. 89-90"/>
    <s v="Cancelación Vigilancia, ajuste mes de Junio y anticipo mes de Julio/2018"/>
    <x v="0"/>
    <m/>
    <s v="01255"/>
    <s v="10 de julio de 2018"/>
    <x v="20"/>
    <s v="1.030.000,00"/>
    <s v="Un Millón Treinta Mil Bolívares con 00/100"/>
  </r>
  <r>
    <n v="1256"/>
    <m/>
    <s v="ü"/>
    <d v="2018-07-11T00:00:00"/>
    <n v="1220000"/>
    <s v="La Casita Encantada"/>
    <s v="En Físico"/>
    <s v="Av. &quot;M&quot; Nro. 146-30"/>
    <s v="Colaboración reparación portón principal"/>
    <x v="9"/>
    <m/>
    <s v="01256"/>
    <s v="11 de julio de 2018"/>
    <x v="20"/>
    <s v="1.220.000,00"/>
    <s v="Un Millón Doscientos Veinte Mil Bolívares con 00/100"/>
  </r>
  <r>
    <n v="1257"/>
    <m/>
    <s v="ü"/>
    <d v="2018-07-11T00:00:00"/>
    <n v="150000"/>
    <s v="Carmen Moreno"/>
    <s v="carmenemoreno10@gmail.com"/>
    <s v="Calle Güigüe Nro. 89-04"/>
    <s v="Cancelación Vigilancia, ajuste mes de Julio/2018"/>
    <x v="0"/>
    <m/>
    <s v="01257"/>
    <s v="11 de julio de 2018"/>
    <x v="20"/>
    <s v="150.000,00"/>
    <s v="Ciento Cincuenta Mil Bolívares con 00/100"/>
  </r>
  <r>
    <n v="1258"/>
    <m/>
    <s v="ü"/>
    <d v="2018-07-11T00:00:00"/>
    <n v="1625000"/>
    <s v="Familia Díaz González"/>
    <s v="luisrdt57@gmail.com"/>
    <s v="Calle Güigüe Nro. 88-116"/>
    <s v="Cancelación Vigilancia, meses de Junio y Julio/2018"/>
    <x v="0"/>
    <m/>
    <s v="01258"/>
    <s v="11 de julio de 2018"/>
    <x v="20"/>
    <s v="1.625.000,00"/>
    <s v="Un Millón Seiscientos Veinticinco Mil Bolívares con 00/100"/>
  </r>
  <r>
    <n v="1259"/>
    <m/>
    <s v="ü"/>
    <d v="2018-07-11T00:00:00"/>
    <n v="195000"/>
    <s v="Familia Montilla García"/>
    <s v="dairy252525@hotmail.com"/>
    <s v="Calle Güigüe Nro. 89-90"/>
    <s v="Cancelación Vigilancia, ajuste mes de Julio/2018"/>
    <x v="0"/>
    <m/>
    <s v="01259"/>
    <s v="11 de julio de 2018"/>
    <x v="20"/>
    <s v="195.000,00"/>
    <s v="Ciento Noventa y Cinco Mil Bolívares con 00/100"/>
  </r>
  <r>
    <n v="1260"/>
    <m/>
    <s v="ü"/>
    <d v="2018-07-12T00:00:00"/>
    <n v="1000000"/>
    <s v="Familia Acevedo"/>
    <s v="rudyacevedo90@gmail.com"/>
    <s v="Calle Guacara Nro. 88-A-10"/>
    <s v="Cancelación Vigilancia, mes de Julio/2018"/>
    <x v="0"/>
    <m/>
    <s v="01260"/>
    <s v="12 de julio de 2018"/>
    <x v="20"/>
    <s v="1.000.000,00"/>
    <s v="Un Millón Bolívares con 00/100"/>
  </r>
  <r>
    <n v="1261"/>
    <m/>
    <s v="ü"/>
    <d v="2018-07-12T00:00:00"/>
    <n v="1220000"/>
    <s v="Familia Acevedo"/>
    <s v="rudyacevedo90@gmail.com"/>
    <s v="Calle Guacara Nro. 88-A-10"/>
    <s v="Colaboración reparación portón principal"/>
    <x v="9"/>
    <m/>
    <s v="01261"/>
    <s v="12 de julio de 2018"/>
    <x v="20"/>
    <s v="1.220.000,00"/>
    <s v="Un Millón Doscientos Veinte Mil Bolívares con 00/100"/>
  </r>
  <r>
    <n v="1262"/>
    <m/>
    <s v="ü"/>
    <d v="2018-07-12T00:00:00"/>
    <n v="1075000"/>
    <s v="Familia Castillo Mena"/>
    <s v="emmecas@hotmail.com"/>
    <s v="Calle Güigüe Nro. 88-101"/>
    <s v="Cancelación Vigilancia, mes de junio y anticipo mes de Julio/2018"/>
    <x v="0"/>
    <m/>
    <s v="01262"/>
    <s v="12 de julio de 2018"/>
    <x v="20"/>
    <s v="1.075.000,00"/>
    <s v="Un Millón Setenta y Cinco Mil Bolívares con 00/100"/>
  </r>
  <r>
    <n v="1263"/>
    <m/>
    <s v="ü"/>
    <d v="2018-07-12T00:00:00"/>
    <n v="225000"/>
    <s v="Familia Guerra Miret"/>
    <s v="antoniojguerrag@hotmail.com"/>
    <s v="Calle Güigüe Nro. 89-40"/>
    <s v="Cancelación Vigilancia, saldo mes de Junio/2018"/>
    <x v="0"/>
    <m/>
    <s v="01263"/>
    <s v="12 de julio de 2018"/>
    <x v="20"/>
    <s v="225.000,00"/>
    <s v="Doscientos Veinticinco Mil Bolívares con 00/100"/>
  </r>
  <r>
    <n v="1264"/>
    <m/>
    <s v="ü"/>
    <d v="2018-07-12T00:00:00"/>
    <n v="625000"/>
    <s v="Familia Flores Montagne"/>
    <s v="martaflores@gmail.com"/>
    <s v="Av. &quot;M&quot; Nro. 146-20"/>
    <s v="Cancelación Vigilancia, mes de Junio/2018"/>
    <x v="0"/>
    <m/>
    <s v="01264"/>
    <s v="12 de julio de 2018"/>
    <x v="20"/>
    <s v="625.000,00"/>
    <s v="Seiscientos Veinticinco Mil Bolívares con 00/100"/>
  </r>
  <r>
    <n v="1265"/>
    <m/>
    <s v="ü"/>
    <d v="2018-07-12T00:00:00"/>
    <n v="1625000"/>
    <s v="Familia Piñero Padilla"/>
    <s v="achepaul2005@hotmail.com"/>
    <s v="Calle Güigüe Nro. 89-21"/>
    <s v="Cancelación Vigilancia, meses de Junio y Julio/2018"/>
    <x v="0"/>
    <m/>
    <s v="01265"/>
    <s v="12 de julio de 2018"/>
    <x v="20"/>
    <s v="1.625.000,00"/>
    <s v="Un Millón Seiscientos Veinticinco Mil Bolívares con 00/100"/>
  </r>
  <r>
    <n v="1266"/>
    <m/>
    <s v="ü"/>
    <d v="2018-07-12T00:00:00"/>
    <n v="1220000"/>
    <s v="Familia Piñero Padilla"/>
    <s v="achepaul2005@hotmail.com"/>
    <s v="Calle Güigüe Nro. 89-21"/>
    <s v="Colaboración reparación portón principal"/>
    <x v="9"/>
    <m/>
    <s v="01266"/>
    <s v="12 de julio de 2018"/>
    <x v="20"/>
    <s v="1.220.000,00"/>
    <s v="Un Millón Doscientos Veinte Mil Bolívares con 00/100"/>
  </r>
  <r>
    <n v="1267"/>
    <m/>
    <s v="ü"/>
    <d v="2018-07-12T00:00:00"/>
    <n v="2000000"/>
    <s v="Familia Jiménez Navarro"/>
    <s v="joyasonline2012@gmail.com"/>
    <s v="Calle Güigüe Nro. 88-50"/>
    <s v="Cancelación Vigilancia, meses de Junio y Julio/2018"/>
    <x v="0"/>
    <m/>
    <s v="01267"/>
    <s v="12 de julio de 2018"/>
    <x v="20"/>
    <s v="2.000.000,00"/>
    <s v="Dos Millones Bolívares con 00/100"/>
  </r>
  <r>
    <n v="1268"/>
    <m/>
    <s v="ü"/>
    <d v="2018-07-12T00:00:00"/>
    <n v="1500000"/>
    <s v="Familia Jiménez Navarro"/>
    <s v="joyasonline2012@gmail.com"/>
    <s v="Calle Güigüe Nro. 88-50"/>
    <s v="Colaboración reparación portón principal"/>
    <x v="9"/>
    <m/>
    <s v="01268"/>
    <s v="12 de julio de 2018"/>
    <x v="20"/>
    <s v="1.500.000,00"/>
    <s v="Un Millón Quinientos Mil Bolívares con 00/100"/>
  </r>
  <r>
    <n v="1269"/>
    <m/>
    <s v="ü"/>
    <d v="2018-07-12T00:00:00"/>
    <n v="1300000"/>
    <s v="Familia Ferrer Bahri"/>
    <s v="bahrimariela@hotmail.com"/>
    <s v="Calle Güigüe Nro. 89-83"/>
    <s v="Colaboración reparación portón principal"/>
    <x v="9"/>
    <m/>
    <s v="01269"/>
    <s v="12 de julio de 2018"/>
    <x v="20"/>
    <s v="1.300.000,00"/>
    <s v="Un Millón Trescientos Mil Bolívares con 00/100"/>
  </r>
  <r>
    <n v="1270"/>
    <m/>
    <s v="ü"/>
    <d v="2018-07-12T00:00:00"/>
    <n v="1220000"/>
    <s v="Familia Guerra Miret"/>
    <s v="antoniojguerrag@hotmail.com"/>
    <s v="Calle Güigüe Nro. 89-40"/>
    <s v="Colaboración reparación portón principal"/>
    <x v="9"/>
    <m/>
    <s v="01270"/>
    <s v="12 de julio de 2018"/>
    <x v="20"/>
    <s v="1.220.000,00"/>
    <s v="Un Millón Doscientos Veinte Mil Bolívares con 00/100"/>
  </r>
  <r>
    <n v="1271"/>
    <m/>
    <s v="ü"/>
    <d v="2018-07-12T00:00:00"/>
    <n v="1220000"/>
    <s v="Familia Romero"/>
    <s v="autoescuela21@gmail.com"/>
    <s v="Calle Guacara Nro. 89-50"/>
    <s v="Colaboración reparación portón principal"/>
    <x v="9"/>
    <m/>
    <s v="01271"/>
    <s v="12 de julio de 2018"/>
    <x v="20"/>
    <s v="1.220.000,00"/>
    <s v="Un Millón Doscientos Veinte Mil Bolívares con 00/100"/>
  </r>
  <r>
    <n v="1272"/>
    <m/>
    <s v="ü"/>
    <d v="2018-07-12T00:00:00"/>
    <n v="1220000"/>
    <s v="Familia Ozar Rivero"/>
    <s v="vanessarivero81@hotmail.com"/>
    <s v="Calle Güigüe Nro. 88-06"/>
    <s v="Colaboración reparación portón principal (saldo a favor Bs. 3.255.000)"/>
    <x v="9"/>
    <m/>
    <s v="01272"/>
    <s v="12 de julio de 2018"/>
    <x v="20"/>
    <s v="1.220.000,00"/>
    <s v="Un Millón Doscientos Veinte Mil Bolívares con 00/100"/>
  </r>
  <r>
    <n v="1273"/>
    <m/>
    <s v="ü"/>
    <d v="2018-06-12T00:00:00"/>
    <n v="1225000"/>
    <s v="Ma. de Jesus Alonso"/>
    <s v="alonsojg@gmail.com"/>
    <s v="Calle Güigüe Nro. 88-30"/>
    <s v="Cancelación Vigilancia, ajuste mes de Junio y cancelación mes de Julio/2018"/>
    <x v="0"/>
    <m/>
    <s v="01273"/>
    <s v="12 de junio de 2018"/>
    <x v="19"/>
    <s v="1.225.000,00"/>
    <s v="Un Millón Doscientos Veinticinco Mil Bolívares con 00/100"/>
  </r>
  <r>
    <n v="1274"/>
    <m/>
    <s v="ü"/>
    <d v="2018-07-13T00:00:00"/>
    <n v="1000000"/>
    <s v="Familia Kabblan"/>
    <s v="norisjsb56@hotmail.com"/>
    <s v="Calle Güigüe Nro. 89-80"/>
    <s v="Cancelación Vigilancia, mes de Julio/2018"/>
    <x v="0"/>
    <m/>
    <s v="01274"/>
    <s v="13 de julio de 2018"/>
    <x v="20"/>
    <s v="1.000.000,00"/>
    <s v="Un Millón Bolívares con 00/100"/>
  </r>
  <r>
    <n v="1275"/>
    <m/>
    <s v="ü"/>
    <d v="2018-07-13T00:00:00"/>
    <n v="1220000"/>
    <s v="Familia Kabblan"/>
    <s v="norisjsb56@hotmail.com"/>
    <s v="Calle Güigüe Nro. 89-80"/>
    <s v="Colaboración reparación portón principal"/>
    <x v="9"/>
    <m/>
    <s v="01275"/>
    <s v="13 de julio de 2018"/>
    <x v="20"/>
    <s v="1.220.000,00"/>
    <s v="Un Millón Doscientos Veinte Mil Bolívares con 00/100"/>
  </r>
  <r>
    <n v="1276"/>
    <m/>
    <s v="ü"/>
    <d v="2018-07-14T00:00:00"/>
    <n v="1000000"/>
    <s v="Familia Guerra Miret"/>
    <s v="antoniojguerrag@hotmail.com"/>
    <s v="Calle Güigüe Nro. 89-40"/>
    <s v="Cancelación Vigilancia, mes de Julio/2018"/>
    <x v="0"/>
    <m/>
    <s v="01276"/>
    <s v="14 de julio de 2018"/>
    <x v="20"/>
    <s v="1.000.000,00"/>
    <s v="Un Millón Bolívares con 00/100"/>
  </r>
  <r>
    <n v="1277"/>
    <m/>
    <s v="ü"/>
    <d v="2018-07-14T00:00:00"/>
    <n v="150000"/>
    <s v="Familia Hatem Medina"/>
    <s v="hhatem1@hotmail.com"/>
    <s v="Calle Guacara Nro. 88-51"/>
    <s v="Cancelación Vigilancia, saldo mes de Julio/2018"/>
    <x v="0"/>
    <m/>
    <s v="01277"/>
    <s v="14 de julio de 2018"/>
    <x v="20"/>
    <s v="150.000,00"/>
    <s v="Ciento Cincuenta Mil Bolívares con 00/100"/>
  </r>
  <r>
    <n v="1278"/>
    <m/>
    <s v="ü"/>
    <d v="2018-07-14T00:00:00"/>
    <n v="850000"/>
    <s v="Familia Hatem Medina"/>
    <s v="hhatem1@hotmail.com"/>
    <s v="Calle Guacara Nro. 88-51"/>
    <s v="Colaboración reparación portón principal"/>
    <x v="9"/>
    <m/>
    <s v="01278"/>
    <s v="14 de julio de 2018"/>
    <x v="20"/>
    <s v="850.000,00"/>
    <s v="Ochocientos Cincuenta Mil Bolívares con 00/100"/>
  </r>
  <r>
    <n v="1279"/>
    <m/>
    <s v="ü"/>
    <d v="2018-07-14T00:00:00"/>
    <n v="1220000"/>
    <s v="Amparo Acosta"/>
    <s v="amparonatividad@hotmail.com"/>
    <s v="Calle Guacara Nro. 88-65"/>
    <s v="Colaboración reparación portón principal"/>
    <x v="9"/>
    <m/>
    <s v="01279"/>
    <s v="14 de julio de 2018"/>
    <x v="20"/>
    <s v="1.220.000,00"/>
    <s v="Un Millón Doscientos Veinte Mil Bolívares con 00/100"/>
  </r>
  <r>
    <n v="1280"/>
    <m/>
    <s v="ü"/>
    <d v="2018-07-16T00:00:00"/>
    <n v="825000"/>
    <s v="Familia Machado Stoppa"/>
    <s v="machadoru@hotmail.com"/>
    <s v="Calle Guacara Nro. 88-85"/>
    <s v="Cancelación Vigilancia, ajuste mes de Junio y diferencia mes de Julio/2018"/>
    <x v="0"/>
    <m/>
    <s v="01280"/>
    <s v="16 de julio de 2018"/>
    <x v="20"/>
    <s v="825.000,00"/>
    <s v="Ochocientos Veinticinco Mil Bolívares con 00/100"/>
  </r>
  <r>
    <n v="1281"/>
    <m/>
    <s v="ü"/>
    <d v="2018-07-16T00:00:00"/>
    <n v="1220000"/>
    <s v="Familia Machado Stoppa"/>
    <s v="machadoru@hotmail.com"/>
    <s v="Calle Guacara Nro. 88-85"/>
    <s v="Colaboración reparación portón principal"/>
    <x v="9"/>
    <m/>
    <s v="01281"/>
    <s v="16 de julio de 2018"/>
    <x v="20"/>
    <s v="1.220.000,00"/>
    <s v="Un Millón Doscientos Veinte Mil Bolívares con 00/100"/>
  </r>
  <r>
    <n v="1282"/>
    <m/>
    <m/>
    <d v="2018-07-16T00:00:00"/>
    <n v="2225000"/>
    <s v="Familia Hurtado"/>
    <s v="En Físico"/>
    <s v="Av. &quot;O&quot; Nro. 146-11"/>
    <s v="Cancelación Vigilancia, ajuste mes de Junio y cancelación meses de Julio y Agosto/2018"/>
    <x v="0"/>
    <m/>
    <s v="01282"/>
    <s v="16 de julio de 2018"/>
    <x v="20"/>
    <s v="2.225.000,00"/>
    <s v="Dos Millones Doscientos Veinticinco Mil Bolívares con 00/100"/>
  </r>
  <r>
    <n v="1283"/>
    <m/>
    <s v="ü"/>
    <d v="2018-07-17T00:00:00"/>
    <n v="800000"/>
    <s v="Familia Navarrete Medina"/>
    <s v="juanin1919@yahoo.com"/>
    <s v="Calle Güigüe Nro. 89-22"/>
    <s v="Cancelación Vigilancia, mes de Junio y anticipo mes de Julio/2018"/>
    <x v="0"/>
    <m/>
    <s v="01283"/>
    <s v="17 de julio de 2018"/>
    <x v="20"/>
    <s v="800.000,00"/>
    <s v="Ochocientos Mil Bolívares con 00/100"/>
  </r>
  <r>
    <n v="1284"/>
    <m/>
    <s v="ü"/>
    <d v="2018-07-17T00:00:00"/>
    <n v="1000000"/>
    <s v="Familia Rodríguez Aular"/>
    <s v="mvaular@hotmail.com"/>
    <s v="Calle Güigüe Nro. 88-58"/>
    <s v="Cancelación Vigilancia, mes de Julio/2018"/>
    <x v="0"/>
    <m/>
    <s v="01284"/>
    <s v="17 de julio de 2018"/>
    <x v="20"/>
    <s v="1.000.000,00"/>
    <s v="Un Millón Bolívares con 00/100"/>
  </r>
  <r>
    <n v="1285"/>
    <m/>
    <s v="ü"/>
    <d v="2018-07-18T00:00:00"/>
    <n v="1000000"/>
    <s v="Beatriz Lara"/>
    <s v="valentina.gutierrez@hotmail.com"/>
    <s v="Calle Guacara Nro. 89-130"/>
    <s v="Cancelación Vigilancia, mes de Julio/2018"/>
    <x v="0"/>
    <m/>
    <s v="01285"/>
    <s v="18 de julio de 2018"/>
    <x v="20"/>
    <s v="1.000.000,00"/>
    <s v="Un Millón Bolívares con 00/100"/>
  </r>
  <r>
    <n v="1286"/>
    <m/>
    <s v="ü"/>
    <d v="2018-07-18T00:00:00"/>
    <n v="1220000"/>
    <s v="Beatriz Lara"/>
    <s v="valentina.gutierrez@hotmail.com"/>
    <s v="Calle Guacara Nro. 89-130"/>
    <s v="Colaboración reparación portón principal"/>
    <x v="9"/>
    <m/>
    <s v="01286"/>
    <s v="18 de julio de 2018"/>
    <x v="20"/>
    <s v="1.220.000,00"/>
    <s v="Un Millón Doscientos Veinte Mil Bolívares con 00/100"/>
  </r>
  <r>
    <n v="1287"/>
    <m/>
    <s v="ü"/>
    <d v="2018-07-18T00:00:00"/>
    <n v="1200000"/>
    <s v="Familia Martínez Boada"/>
    <s v="florcitakmz@gmail.com"/>
    <s v="Calle Güigüe Nro. 88-62"/>
    <s v="Colaboración Vigilancia, meses de Junio y Julio/2018"/>
    <x v="0"/>
    <m/>
    <s v="01287"/>
    <s v="18 de julio de 2018"/>
    <x v="20"/>
    <s v="1.200.000,00"/>
    <s v="Un Millón Doscientos Mil Bolívares con 00/100"/>
  </r>
  <r>
    <n v="1288"/>
    <m/>
    <s v="ü"/>
    <d v="2018-07-20T00:00:00"/>
    <n v="1220000"/>
    <s v="Familia Arcia Polanco"/>
    <s v="misipo29@gmail.com"/>
    <s v="Calle Guacara Nro. 89-20"/>
    <s v="Colaboración reparación portón principal"/>
    <x v="9"/>
    <m/>
    <s v="01288"/>
    <s v="20 de julio de 2018"/>
    <x v="20"/>
    <s v="1.220.000,00"/>
    <s v="Un Millón Doscientos Veinte Mil Bolívares con 00/100"/>
  </r>
  <r>
    <n v="1289"/>
    <m/>
    <s v="ü"/>
    <d v="2018-07-20T00:00:00"/>
    <n v="550000"/>
    <s v="Familia Castillo Mena"/>
    <s v="emmecas@hotmail.com"/>
    <s v="Calle Güigüe Nro. 88-101"/>
    <s v="Cancelación Vigilancia, saldo mes de Julio/2018"/>
    <x v="0"/>
    <m/>
    <s v="01289"/>
    <s v="20 de julio de 2018"/>
    <x v="20"/>
    <s v="550.000,00"/>
    <s v="Quinientos Cincuenta Mil Bolívares con 00/100"/>
  </r>
  <r>
    <n v="1290"/>
    <m/>
    <m/>
    <d v="2018-07-21T00:00:00"/>
    <n v="100000"/>
    <s v="Familia Triana"/>
    <s v="En Físico"/>
    <s v="Calle Guacara Nro. 90-61"/>
    <s v="Colaboración Vigilancia, mes de Junio/2018"/>
    <x v="0"/>
    <m/>
    <s v="01290"/>
    <s v="21 de julio de 2018"/>
    <x v="20"/>
    <s v="100.000,00"/>
    <s v="Cien Mil Bolívares con 00/100"/>
  </r>
  <r>
    <n v="1291"/>
    <m/>
    <s v="ü"/>
    <d v="2018-07-20T00:00:00"/>
    <n v="1000000"/>
    <s v="Familia Gascón Domínguez"/>
    <s v="vrgascon@gmail.com"/>
    <s v="Calle Güigüe Nro. 88-70"/>
    <s v="Cancelación Vigilancia, mes de Julio/2018"/>
    <x v="0"/>
    <m/>
    <s v="01291"/>
    <s v="20 de julio de 2018"/>
    <x v="20"/>
    <s v="1.000.000,00"/>
    <s v="Un Millón Bolívares con 00/100"/>
  </r>
  <r>
    <n v="1292"/>
    <m/>
    <s v="ü"/>
    <d v="2018-07-20T00:00:00"/>
    <n v="1300000"/>
    <s v="Familia Gascón Domínguez"/>
    <s v="vrgascon@gmail.com"/>
    <s v="Calle Güigüe Nro. 88-70"/>
    <s v="Colaboración reparación portón principal"/>
    <x v="9"/>
    <m/>
    <s v="01292"/>
    <s v="20 de julio de 2018"/>
    <x v="20"/>
    <s v="1.300.000,00"/>
    <s v="Un Millón Trescientos Mil Bolívares con 00/100"/>
  </r>
  <r>
    <n v="1293"/>
    <m/>
    <s v="ü"/>
    <d v="2018-07-20T00:00:00"/>
    <n v="3000000"/>
    <s v="Familia Gascón Domínguez"/>
    <s v="vrgascon@gmail.com"/>
    <s v="Calle Güigüe Nro. 88-70"/>
    <s v="Donativo para los vigilantes"/>
    <x v="6"/>
    <m/>
    <s v="01293"/>
    <s v="20 de julio de 2018"/>
    <x v="20"/>
    <s v="3.000.000,00"/>
    <s v="Tres Millones Bolívares con 00/100"/>
  </r>
  <r>
    <n v="1294"/>
    <m/>
    <s v="ü"/>
    <d v="2018-07-23T00:00:00"/>
    <n v="1220000"/>
    <s v="Familia Nava Gordon"/>
    <s v="maru_19_66@hotmail.com"/>
    <s v="Calle Guacara Nro. 89-78"/>
    <s v="Colaboración reparación portón principal"/>
    <x v="9"/>
    <m/>
    <s v="01294"/>
    <s v="23 de julio de 2018"/>
    <x v="20"/>
    <s v="1.220.000,00"/>
    <s v="Un Millón Doscientos Veinte Mil Bolívares con 00/100"/>
  </r>
  <r>
    <n v="1295"/>
    <m/>
    <s v="ü"/>
    <d v="2018-07-20T00:00:00"/>
    <n v="1220000"/>
    <s v="Familia Narváez Caldera"/>
    <s v="jeannette_nc@yahoo.com"/>
    <s v="Calle Güigüe Nro. 87-A-11"/>
    <s v="Colaboración reparación portón principal"/>
    <x v="9"/>
    <m/>
    <s v="01295"/>
    <s v="20 de julio de 2018"/>
    <x v="20"/>
    <s v="1.220.000,00"/>
    <s v="Un Millón Doscientos Veinte Mil Bolívares con 00/100"/>
  </r>
  <r>
    <n v="1296"/>
    <m/>
    <s v="ü"/>
    <d v="2018-07-23T00:00:00"/>
    <n v="1000000"/>
    <s v="Familia Navarro Assing"/>
    <s v="liliaassing@gmail.com"/>
    <s v="Calle Güigüe Nro. 88-54"/>
    <s v="Cancelación Vigilancia, ajuste mes de Junio/2018, más adicional de Bs. 25.000"/>
    <x v="0"/>
    <m/>
    <s v="01296"/>
    <s v="23 de julio de 2018"/>
    <x v="20"/>
    <s v="1.000.000,00"/>
    <s v="Un Millón Bolívares con 00/100"/>
  </r>
  <r>
    <n v="1297"/>
    <m/>
    <s v="ü"/>
    <d v="2018-07-23T00:00:00"/>
    <n v="1200000"/>
    <s v="Familia Navarro Assing"/>
    <s v="liliaassing@gmail.com"/>
    <s v="Calle Güigüe Nro. 88-54"/>
    <s v="Colaboración reparación portón principal"/>
    <x v="9"/>
    <m/>
    <s v="01297"/>
    <s v="23 de julio de 2018"/>
    <x v="20"/>
    <s v="1.200.000,00"/>
    <s v="Un Millón Doscientos Mil Bolívares con 00/100"/>
  </r>
  <r>
    <n v="1298"/>
    <m/>
    <s v="ü"/>
    <d v="2018-07-23T00:00:00"/>
    <n v="150000"/>
    <s v="Familia Puerta Burguillos"/>
    <s v="namaricakes@gmail.com"/>
    <s v="Calle Guacara Nro. 87-100"/>
    <s v="Cancelación Vigilancia, ajuste mes de Julio/2018"/>
    <x v="0"/>
    <m/>
    <s v="01298"/>
    <s v="23 de julio de 2018"/>
    <x v="20"/>
    <s v="150.000,00"/>
    <s v="Ciento Cincuenta Mil Bolívares con 00/100"/>
  </r>
  <r>
    <n v="1299"/>
    <m/>
    <s v="ü"/>
    <d v="2018-07-23T00:00:00"/>
    <n v="295000"/>
    <s v="Familia Puerta Burguillos"/>
    <s v="namaricakes@gmail.com"/>
    <s v="Calle Guacara Nro. 87-100"/>
    <s v="Colaboración reparación portón principal"/>
    <x v="9"/>
    <m/>
    <s v="01299"/>
    <s v="23 de julio de 2018"/>
    <x v="20"/>
    <s v="295.000,00"/>
    <s v="Doscientos Noventa y Cinco Mil Bolívares con 00/100"/>
  </r>
  <r>
    <n v="1300"/>
    <m/>
    <s v="ü"/>
    <d v="2018-07-23T00:00:00"/>
    <n v="225000"/>
    <s v="Zoraida Khair"/>
    <s v="zorakhair@hotmail.com"/>
    <s v="Calle Güigüe Nro. 88-80"/>
    <s v="Cancelación Vigilancia, ajuste mes de Junio/2018 (saldo a favor Bs. 2.775.000)"/>
    <x v="0"/>
    <m/>
    <s v="01300"/>
    <s v="23 de julio de 2018"/>
    <x v="20"/>
    <s v="225.000,00"/>
    <s v="Doscientos Veinticinco Mil Bolívares con 00/100"/>
  </r>
  <r>
    <n v="1301"/>
    <m/>
    <s v="ü"/>
    <d v="2018-07-23T00:00:00"/>
    <n v="600000"/>
    <s v="Zoraida Khair"/>
    <s v="zorakhair@hotmail.com"/>
    <s v="Calle Güigüe Nro. 88-80"/>
    <s v="Cancelación Vigilancia, saldo mes de Julio/2018 (saldo a favor Bs. 2.175.000)"/>
    <x v="0"/>
    <m/>
    <s v="01301"/>
    <s v="23 de julio de 2018"/>
    <x v="20"/>
    <s v="600.000,00"/>
    <s v="Seiscientos Mil Bolívares con 00/100"/>
  </r>
  <r>
    <n v="1302"/>
    <m/>
    <s v="ü"/>
    <d v="2018-07-23T00:00:00"/>
    <n v="1220000"/>
    <s v="Zoraida Khair"/>
    <s v="zorakhair@hotmail.com"/>
    <s v="Calle Güigüe Nro. 88-80"/>
    <s v="Colaboración reparación portón principal (saldo a favor Bs. 995.000)"/>
    <x v="9"/>
    <m/>
    <s v="01302"/>
    <s v="23 de julio de 2018"/>
    <x v="20"/>
    <s v="1.220.000,00"/>
    <s v="Un Millón Doscientos Veinte Mil Bolívares con 00/100"/>
  </r>
  <r>
    <n v="1303"/>
    <m/>
    <s v="ü"/>
    <d v="2018-07-23T00:00:00"/>
    <n v="2000000"/>
    <s v="Anahiz Seijas"/>
    <s v="anahiz_2@hotmail.es"/>
    <s v="Calle Güigüe Nro. 89-106"/>
    <s v="Cancelación Vigilancia, meses de Julio y Agosto/2018"/>
    <x v="0"/>
    <m/>
    <s v="01303"/>
    <s v="23 de julio de 2018"/>
    <x v="20"/>
    <s v="2.000.000,00"/>
    <s v="Dos Millones Bolívares con 00/100"/>
  </r>
  <r>
    <n v="1304"/>
    <m/>
    <s v="ü"/>
    <d v="2018-07-26T00:00:00"/>
    <n v="150000"/>
    <s v="Familia Zavarce Barón"/>
    <s v="alexanderzavarce@gmail.com"/>
    <s v="Calle Guacara Nro. 88-91"/>
    <s v="Cancelación Vigilancia, mes de Junio y anticipo Julio/2018"/>
    <x v="0"/>
    <m/>
    <s v="01304"/>
    <s v="26 de julio de 2018"/>
    <x v="20"/>
    <s v="150.000,00"/>
    <s v="Ciento Cincuenta Mil Bolívares con 00/100"/>
  </r>
  <r>
    <n v="1305"/>
    <m/>
    <s v="ü"/>
    <d v="2018-07-26T00:00:00"/>
    <n v="1200000"/>
    <s v="Familia Zavarce Barón"/>
    <s v="alexanderzavarce@gmail.com"/>
    <s v="Calle Guacara Nro. 88-91"/>
    <s v="Colaboración reparación portón principal"/>
    <x v="9"/>
    <m/>
    <s v="01305"/>
    <s v="26 de julio de 2018"/>
    <x v="20"/>
    <s v="1.200.000,00"/>
    <s v="Un Millón Doscientos Mil Bolívares con 00/100"/>
  </r>
  <r>
    <n v="1306"/>
    <m/>
    <s v="ü"/>
    <d v="2018-07-26T00:00:00"/>
    <n v="625000"/>
    <s v="Familia Acosta"/>
    <s v="pablo962@hotmail.com"/>
    <s v="Calle Güigüe Nro. 89-10"/>
    <s v="Cancelación Vigilancia, saldo mes de Julio/2018"/>
    <x v="0"/>
    <m/>
    <s v="01306"/>
    <s v="26 de julio de 2018"/>
    <x v="20"/>
    <s v="625.000,00"/>
    <s v="Seiscientos Veinticinco Mil Bolívares con 00/100"/>
  </r>
  <r>
    <n v="1307"/>
    <m/>
    <s v="ü"/>
    <d v="2018-07-26T00:00:00"/>
    <n v="1220000"/>
    <s v="Familia Acosta"/>
    <s v="pablo962@hotmail.com"/>
    <s v="Calle Güigüe Nro. 89-10"/>
    <s v="Colaboración reparación portón principal"/>
    <x v="9"/>
    <m/>
    <s v="01307"/>
    <s v="26 de julio de 2018"/>
    <x v="20"/>
    <s v="1.220.000,00"/>
    <s v="Un Millón Doscientos Veinte Mil Bolívares con 00/100"/>
  </r>
  <r>
    <n v="1308"/>
    <m/>
    <s v="ü"/>
    <d v="2018-07-26T00:00:00"/>
    <n v="1985000"/>
    <s v="Silvia Power"/>
    <s v="spowermeneses@gmail.com"/>
    <s v="Calle Güigüe Nro. 89-16"/>
    <s v="Cancelación Vigilancia, meses de Febrero, Marzo, Abril, Mayo, Junio y Julio/2018"/>
    <x v="0"/>
    <m/>
    <s v="01308"/>
    <s v="26 de julio de 2018"/>
    <x v="20"/>
    <s v="1.985.000,00"/>
    <s v="Un Millón Novecientos Ochenta y Cinco Mil Bolívares con 00/100"/>
  </r>
  <r>
    <n v="1309"/>
    <m/>
    <s v="ü"/>
    <d v="2018-07-26T00:00:00"/>
    <n v="1220000"/>
    <s v="Silvia Power"/>
    <s v="spowermeneses@gmail.com"/>
    <s v="Calle Güigüe Nro. 89-16"/>
    <s v="Colaboración reparación portón principal"/>
    <x v="9"/>
    <m/>
    <s v="01309"/>
    <s v="26 de julio de 2018"/>
    <x v="20"/>
    <s v="1.220.000,00"/>
    <s v="Un Millón Doscientos Veinte Mil Bolívares con 00/100"/>
  </r>
  <r>
    <n v="1310"/>
    <m/>
    <s v="ü"/>
    <d v="2018-07-27T00:00:00"/>
    <n v="150000"/>
    <s v="Familia González Arévalo"/>
    <s v="feryenis@hotmail.com"/>
    <s v="Calle Guacara Nro. 89-86"/>
    <s v="Cancelación Vigilancia, ajuste mes de Julio/2018"/>
    <x v="0"/>
    <m/>
    <s v="01310"/>
    <s v="27 de julio de 2018"/>
    <x v="20"/>
    <s v="150.000,00"/>
    <s v="Ciento Cincuenta Mil Bolívares con 00/100"/>
  </r>
  <r>
    <n v="1311"/>
    <m/>
    <s v="ü"/>
    <d v="2018-06-28T00:00:00"/>
    <n v="1220000"/>
    <s v="Familia González Arévalo"/>
    <s v="feryenis@hotmail.com"/>
    <s v="Calle Guacara Nro. 89-86"/>
    <s v="Colaboración reparación portón principal"/>
    <x v="9"/>
    <m/>
    <s v="01311"/>
    <s v="28 de junio de 2018"/>
    <x v="19"/>
    <s v="1.220.000,00"/>
    <s v="Un Millón Doscientos Veinte Mil Bolívares con 00/100"/>
  </r>
  <r>
    <n v="1312"/>
    <m/>
    <s v="ü"/>
    <d v="2018-07-27T00:00:00"/>
    <n v="1250000"/>
    <s v="Familia Castro Jiménez"/>
    <s v="aurycastrojimenez@gmail.com"/>
    <s v="Calle Guacara Nro. 90-51"/>
    <s v="Colaboración reparación portón principal"/>
    <x v="9"/>
    <m/>
    <s v="01312"/>
    <s v="27 de julio de 2018"/>
    <x v="20"/>
    <s v="1.250.000,00"/>
    <s v="Un Millón Doscientos Cincuenta Mil Bolívares con 00/100"/>
  </r>
  <r>
    <n v="1313"/>
    <m/>
    <s v="ü"/>
    <d v="2018-07-27T00:00:00"/>
    <n v="1000000"/>
    <s v="Amarilis Guerra"/>
    <s v="amarilisguerra1@yahoo.com"/>
    <s v="Calle Güigüe Nro. 89-96"/>
    <s v="Cancelación Vigilancia, mes de Julio/2018"/>
    <x v="0"/>
    <m/>
    <s v="01313"/>
    <s v="27 de julio de 2018"/>
    <x v="20"/>
    <s v="1.000.000,00"/>
    <s v="Un Millón Bolívares con 00/100"/>
  </r>
  <r>
    <n v="1314"/>
    <m/>
    <s v="ü"/>
    <d v="2018-07-28T00:00:00"/>
    <n v="1225000"/>
    <s v="Wilson Escamilla"/>
    <s v="wilsonescamilla45@gmail.com"/>
    <s v="Calle Güigüe Nro. 89-89"/>
    <s v="Cancelación Vigilancia, ajuste mes de Junio y cancelación mes de Julio/2018"/>
    <x v="0"/>
    <m/>
    <s v="01314"/>
    <s v="28 de julio de 2018"/>
    <x v="20"/>
    <s v="1.225.000,00"/>
    <s v="Un Millón Doscientos Veinticinco Mil Bolívares con 00/100"/>
  </r>
  <r>
    <n v="1315"/>
    <m/>
    <s v="ü"/>
    <d v="2018-07-28T00:00:00"/>
    <n v="1220000"/>
    <s v="Wilson Escamilla"/>
    <s v="wilsonescamilla45@gmail.com"/>
    <s v="Calle Güigüe Nro. 89-89"/>
    <s v="Colaboración reparación portón principal"/>
    <x v="9"/>
    <m/>
    <s v="01315"/>
    <s v="28 de julio de 2018"/>
    <x v="20"/>
    <s v="1.220.000,00"/>
    <s v="Un Millón Doscientos Veinte Mil Bolívares con 00/100"/>
  </r>
  <r>
    <n v="1316"/>
    <m/>
    <m/>
    <d v="2018-07-29T00:00:00"/>
    <n v="1000000"/>
    <s v="Familia Loponte Arteaga"/>
    <s v="En Físico"/>
    <s v="Calle Güigüe Nro. 88-120"/>
    <s v="Cancelación Vigilancia, mes de Agosto/2018"/>
    <x v="0"/>
    <m/>
    <s v="01316"/>
    <s v="29 de julio de 2018"/>
    <x v="20"/>
    <s v="1.000.000,00"/>
    <s v="Un Millón Bolívares con 00/100"/>
  </r>
  <r>
    <n v="1317"/>
    <m/>
    <m/>
    <d v="2018-07-29T00:00:00"/>
    <n v="1220000"/>
    <s v="Familia Loponte Arteaga"/>
    <s v="En Físico"/>
    <s v="Calle Güigüe Nro. 88-120"/>
    <s v="Colaboración reparación portón principal"/>
    <x v="9"/>
    <m/>
    <s v="01317"/>
    <s v="29 de julio de 2018"/>
    <x v="20"/>
    <s v="1.220.000,00"/>
    <s v="Un Millón Doscientos Veinte Mil Bolívares con 00/100"/>
  </r>
  <r>
    <n v="1318"/>
    <m/>
    <s v="ü"/>
    <d v="2018-07-29T00:00:00"/>
    <n v="500000"/>
    <s v="Gloria Molina"/>
    <s v="glomola2@yahoo.es"/>
    <s v="Calle Güigüe Nro. 89-71"/>
    <s v="Colaboración Vigilancia, mes de Junio/2017"/>
    <x v="0"/>
    <m/>
    <s v="01318"/>
    <s v="29 de julio de 2018"/>
    <x v="20"/>
    <s v="500.000,00"/>
    <s v="Quinientos Mil Bolívares con 00/100"/>
  </r>
  <r>
    <n v="1319"/>
    <m/>
    <s v="ü"/>
    <d v="2018-07-29T00:00:00"/>
    <n v="500000"/>
    <s v="Gloria Molina"/>
    <s v="glomola2@yahoo.es"/>
    <s v="Calle Güigüe Nro. 89-71"/>
    <s v="Colaboración reparación portón principal"/>
    <x v="9"/>
    <m/>
    <s v="01319"/>
    <s v="29 de julio de 2018"/>
    <x v="20"/>
    <s v="500.000,00"/>
    <s v="Quinientos Mil Bolívares con 00/100"/>
  </r>
  <r>
    <n v="1320"/>
    <m/>
    <s v="ü"/>
    <d v="2018-07-31T00:00:00"/>
    <n v="1000000"/>
    <s v="Dra. Lilia Magallanes"/>
    <s v="liliamagallanes2010@gmail.com"/>
    <s v="Calle Güigüe Nro. 88-51"/>
    <s v="Cancelación Vigilancia, mes de Julio/2018"/>
    <x v="0"/>
    <m/>
    <s v="01320"/>
    <s v="31 de julio de 2018"/>
    <x v="20"/>
    <s v="1.000.000,00"/>
    <s v="Un Millón Bolívares con 00/100"/>
  </r>
  <r>
    <n v="1321"/>
    <m/>
    <m/>
    <d v="2018-07-31T00:00:00"/>
    <n v="200000"/>
    <s v="Familia Triana"/>
    <s v="En Físico"/>
    <s v="Calle Guacara Nro. 90-61"/>
    <s v="Colaboración Vigilancia, mes de Julio/2018"/>
    <x v="0"/>
    <m/>
    <s v="01321"/>
    <s v="31 de julio de 2018"/>
    <x v="20"/>
    <s v="200.000,00"/>
    <s v="Doscientos Mil Bolívares con 00/100"/>
  </r>
  <r>
    <n v="1322"/>
    <m/>
    <s v="ü"/>
    <d v="2018-07-31T00:00:00"/>
    <n v="1200000"/>
    <s v="Familia Narváez Caldera"/>
    <s v="jeannette_nc@yahoo.com"/>
    <s v="Calle Güigüe Nro. 87-A-11"/>
    <s v="Cancelación Vigilancia, saldo mes de Agosto/2018"/>
    <x v="0"/>
    <m/>
    <s v="01322"/>
    <s v="31 de julio de 2018"/>
    <x v="20"/>
    <s v="1.200.000,00"/>
    <s v="Un Millón Doscientos Mil Bolívares con 00/100"/>
  </r>
  <r>
    <n v="1323"/>
    <m/>
    <s v="ü"/>
    <d v="2018-07-31T00:00:00"/>
    <n v="1220000"/>
    <s v="Familia Lomeña Agudo"/>
    <s v="claudialomena@hotmail.com"/>
    <s v="Calle Guacara Nro. 89-30"/>
    <s v="Cancelación Vigilancia, mes de Agosto/2018"/>
    <x v="0"/>
    <m/>
    <s v="01323"/>
    <s v="31 de julio de 2018"/>
    <x v="20"/>
    <s v="1.220.000,00"/>
    <s v="Un Millón Doscientos Veinte Mil Bolívares con 00/100"/>
  </r>
  <r>
    <n v="1324"/>
    <n v="1324"/>
    <m/>
    <d v="2018-08-01T00:00:00"/>
    <n v="1350000"/>
    <s v="Isbeth Palacios"/>
    <s v="ispalparcpc@gmail.com"/>
    <s v="Calle Guacara Nro. 88-75"/>
    <s v="Cancelación Vigilancia, ajuste mes de Julio y cancelación mes de Agosto/2018"/>
    <x v="0"/>
    <m/>
    <s v="01324"/>
    <s v="01 de agosto de 2018"/>
    <x v="21"/>
    <s v="1.350.000,00"/>
    <s v="Un Millón Trescientos Cincuenta Mil Bolívares con 00/100"/>
  </r>
  <r>
    <n v="1325"/>
    <n v="1325"/>
    <m/>
    <d v="2018-08-01T00:00:00"/>
    <n v="1220000"/>
    <s v="Isbeth Palacios"/>
    <s v="ispalparcpc@gmail.com"/>
    <s v="Calle Guacara Nro. 88-75"/>
    <s v="Colaboración reparación portón principal"/>
    <x v="9"/>
    <m/>
    <s v="01325"/>
    <s v="01 de agosto de 2018"/>
    <x v="21"/>
    <s v="1.220.000,00"/>
    <s v="Un Millón Doscientos Veinte Mil Bolívares con 00/100"/>
  </r>
  <r>
    <n v="1326"/>
    <n v="1326"/>
    <m/>
    <d v="2018-08-01T00:00:00"/>
    <n v="1200000"/>
    <s v="Carmen Moreno"/>
    <s v="carmenemoreno10@gmail.com"/>
    <s v="Calle Güigüe Nro. 89-04"/>
    <s v="Cancelación Vigilancia, mes de Agosto/2018"/>
    <x v="0"/>
    <m/>
    <s v="01326"/>
    <s v="01 de agosto de 2018"/>
    <x v="21"/>
    <s v="1.200.000,00"/>
    <s v="Un Millón Doscientos Mil Bolívares con 00/100"/>
  </r>
  <r>
    <n v="1327"/>
    <n v="1327"/>
    <m/>
    <d v="2018-08-01T00:00:00"/>
    <n v="1220000"/>
    <s v="Carmen Moreno"/>
    <s v="carmenemoreno10@gmail.com"/>
    <s v="Calle Güigüe Nro. 89-04"/>
    <s v="Colaboración reparación portón principal"/>
    <x v="9"/>
    <m/>
    <s v="01327"/>
    <s v="01 de agosto de 2018"/>
    <x v="21"/>
    <s v="1.220.000,00"/>
    <s v="Un Millón Doscientos Veinte Mil Bolívares con 00/100"/>
  </r>
  <r>
    <n v="1328"/>
    <n v="1328"/>
    <m/>
    <d v="2018-08-01T00:00:00"/>
    <n v="2200000"/>
    <s v="Franco Gómez"/>
    <s v="eof64@hotmail.com"/>
    <s v="Calle Guacara Nro. 87-07"/>
    <s v="Cancelación Vigilancia, meses de Julio y Agosto/2018"/>
    <x v="0"/>
    <m/>
    <s v="01328"/>
    <s v="01 de agosto de 2018"/>
    <x v="21"/>
    <s v="2.200.000,00"/>
    <s v="Dos Millones Doscientos Mil Bolívares con 00/100"/>
  </r>
  <r>
    <n v="1329"/>
    <n v="1329"/>
    <m/>
    <d v="2018-08-01T00:00:00"/>
    <n v="1220000"/>
    <s v="Franco Gómez"/>
    <s v="eof64@hotmail.com"/>
    <s v="Calle Guacara Nro. 87-07"/>
    <s v="Colaboración reparación portón principal"/>
    <x v="9"/>
    <m/>
    <s v="01329"/>
    <s v="01 de agosto de 2018"/>
    <x v="21"/>
    <s v="1.220.000,00"/>
    <s v="Un Millón Doscientos Veinte Mil Bolívares con 00/100"/>
  </r>
  <r>
    <n v="1330"/>
    <n v="1330"/>
    <m/>
    <d v="2018-08-01T00:00:00"/>
    <n v="1200000"/>
    <s v="Héctor Hernández"/>
    <s v="eof64@hotmail.com"/>
    <s v="Calle Guacara Nro. 89-94"/>
    <s v="Cancelación Vigilancia, mes de Agosto/2018"/>
    <x v="0"/>
    <m/>
    <s v="01330"/>
    <s v="01 de agosto de 2018"/>
    <x v="21"/>
    <s v="1.200.000,00"/>
    <s v="Un Millón Doscientos Mil Bolívares con 00/100"/>
  </r>
  <r>
    <n v="1331"/>
    <n v="1331"/>
    <m/>
    <d v="2018-08-01T00:00:00"/>
    <n v="1220000"/>
    <s v="Héctor Hernández"/>
    <s v="eof64@hotmail.com"/>
    <s v="Calle Guacara Nro. 89-94"/>
    <s v="Colaboración reparación portón principal"/>
    <x v="9"/>
    <m/>
    <s v="01331"/>
    <s v="01 de agosto de 2018"/>
    <x v="21"/>
    <s v="1.220.000,00"/>
    <s v="Un Millón Doscientos Veinte Mil Bolívares con 00/100"/>
  </r>
  <r>
    <n v="1332"/>
    <n v="1332"/>
    <m/>
    <d v="2018-08-01T00:00:00"/>
    <n v="2500000"/>
    <s v="Familia Milanés Carmona"/>
    <s v="yndira11m@gmail.com"/>
    <s v="Calle Güigüe Nro. 89-65"/>
    <s v="Cancelación Vigilancia, mes de Agosto y anticipo Septiembre/2018"/>
    <x v="0"/>
    <m/>
    <s v="01332"/>
    <s v="01 de agosto de 2018"/>
    <x v="21"/>
    <s v="2.500.000,00"/>
    <s v="Dos Millones Quinientos Mil Bolívares con 00/100"/>
  </r>
  <r>
    <n v="1333"/>
    <n v="1333"/>
    <m/>
    <d v="2018-08-01T00:00:00"/>
    <n v="1200000"/>
    <s v="Chin Chun Ya (Goya)"/>
    <s v="uc2721@gmail.com"/>
    <s v="Calle Guacara Nro. 87-86"/>
    <s v="Cancelación Vigilancia, mes de Agosto/2018"/>
    <x v="0"/>
    <m/>
    <s v="01333"/>
    <s v="01 de agosto de 2018"/>
    <x v="21"/>
    <s v="1.200.000,00"/>
    <s v="Un Millón Doscientos Mil Bolívares con 00/100"/>
  </r>
  <r>
    <n v="1334"/>
    <n v="1334"/>
    <m/>
    <d v="2018-08-01T00:00:00"/>
    <n v="1200000"/>
    <s v="Familia Guerra Miret"/>
    <s v="antoniojguerrag@hotmail.com"/>
    <s v="Calle Güigüe Nro. 89-40"/>
    <s v="Cancelación Vigilancia, mes de Agosto/2018"/>
    <x v="0"/>
    <m/>
    <s v="01334"/>
    <s v="01 de agosto de 2018"/>
    <x v="21"/>
    <s v="1.200.000,00"/>
    <s v="Un Millón Doscientos Mil Bolívares con 00/100"/>
  </r>
  <r>
    <n v="1335"/>
    <n v="1334"/>
    <m/>
    <d v="2018-08-01T00:00:00"/>
    <n v="1200000"/>
    <s v="Familia Jiménez Salvatierra"/>
    <s v="En Físico"/>
    <s v="Calle Güigüe Nro. 89-45"/>
    <s v="Cancelación Vigilancia, mes de Agosto/2018 (saldo a favor: Bs. 3.598.000)"/>
    <x v="0"/>
    <m/>
    <s v="01335"/>
    <s v="01 de agosto de 2018"/>
    <x v="21"/>
    <s v="1.200.000,00"/>
    <s v="Un Millón Doscientos Mil Bolívares con 00/100"/>
  </r>
  <r>
    <n v="1336"/>
    <n v="1336"/>
    <m/>
    <d v="2018-08-01T00:00:00"/>
    <n v="1740000"/>
    <s v="Colegio El Trigal"/>
    <s v="En Físico"/>
    <s v="Calle Güigüe Nros. 88-71 y 88-81"/>
    <s v="Cancelación Vigilancia, mes de Agosto/2018"/>
    <x v="0"/>
    <m/>
    <s v="01336"/>
    <s v="01 de agosto de 2018"/>
    <x v="21"/>
    <s v="1.740.000,00"/>
    <s v="Un Millón Setecientos Cuarenta Mil Bolívares con 00/100"/>
  </r>
  <r>
    <n v="1337"/>
    <n v="1337"/>
    <m/>
    <d v="2018-08-01T00:00:00"/>
    <n v="1200000"/>
    <s v="Familia Ozar Rivero"/>
    <s v="vanessarivero81@hotmail.com"/>
    <s v="Calle Güigüe Nro. 88-06"/>
    <s v="Cancelación Vigilancia, mes de Agosto/2018 (saldo a favor: Bs. 2.055.000)"/>
    <x v="0"/>
    <m/>
    <s v="01337"/>
    <s v="01 de agosto de 2018"/>
    <x v="21"/>
    <s v="1.200.000,00"/>
    <s v="Un Millón Doscientos Mil Bolívares con 00/100"/>
  </r>
  <r>
    <n v="1338"/>
    <n v="1338"/>
    <m/>
    <d v="2018-08-01T00:00:00"/>
    <n v="1200000"/>
    <s v="Familia López Hermoso"/>
    <s v="lopez.humberto14@yahoo.com.ve"/>
    <s v="Calle Güigüe Nro. 89-79"/>
    <s v="Cancelación Vigilancia, mes de Agosto/2018 (saldo a favor: Bs. 1.155.000)"/>
    <x v="0"/>
    <m/>
    <s v="01338"/>
    <s v="01 de agosto de 2018"/>
    <x v="21"/>
    <s v="1.200.000,00"/>
    <s v="Un Millón Doscientos Mil Bolívares con 00/100"/>
  </r>
  <r>
    <n v="1339"/>
    <n v="1339"/>
    <m/>
    <d v="2018-08-01T00:00:00"/>
    <n v="1200000"/>
    <s v="Familia Acevedo"/>
    <s v="rudyacevedo90@gmail.com"/>
    <s v="Calle Guacara Nro. 88-A-10"/>
    <s v="Cancelación Vigilancia, mes de Agosto/2018 (saldo a favor: Bs. 580.000)"/>
    <x v="0"/>
    <m/>
    <s v="01339"/>
    <s v="01 de agosto de 2018"/>
    <x v="21"/>
    <s v="1.200.000,00"/>
    <s v="Un Millón Doscientos Mil Bolívares con 00/100"/>
  </r>
  <r>
    <n v="1340"/>
    <n v="1340"/>
    <m/>
    <d v="2018-08-01T00:00:00"/>
    <n v="1200000"/>
    <s v="Familia Del Negro Palermo"/>
    <s v="vdelnegro@gmail.com"/>
    <s v="Calle Guacara Nro. 88-45"/>
    <s v="Cancelación Vigilancia, mes de Agosto/2018 (saldo a favor: Bs. 2.295.000)"/>
    <x v="0"/>
    <m/>
    <s v="01340"/>
    <s v="01 de agosto de 2018"/>
    <x v="21"/>
    <s v="1.200.000,00"/>
    <s v="Un Millón Doscientos Mil Bolívares con 00/100"/>
  </r>
  <r>
    <n v="1341"/>
    <n v="1341"/>
    <m/>
    <d v="2018-08-01T00:00:00"/>
    <n v="990000"/>
    <s v="Ely Saúl Rivero Gómez, C.I 18.448.557"/>
    <s v="hhs.admon@gmail.com"/>
    <s v="Av. &quot;Ñ&quot; Nro. 145-25"/>
    <s v="Anticipo Vigilancia, mes de Agosto/2018 (saldo pendiente: Bs. 210.000)"/>
    <x v="0"/>
    <m/>
    <s v="01341"/>
    <s v="01 de agosto de 2018"/>
    <x v="21"/>
    <s v="990.000,00"/>
    <s v="Novecientos Noventa Mil Bolívares con 00/100"/>
  </r>
  <r>
    <m/>
    <m/>
    <m/>
    <m/>
    <m/>
    <m/>
    <m/>
    <m/>
    <m/>
    <x v="10"/>
    <m/>
    <m/>
    <m/>
    <x v="22"/>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3" applyNumberFormats="0" applyBorderFormats="0" applyFontFormats="0" applyPatternFormats="0" applyAlignmentFormats="0" applyWidthHeightFormats="1" dataCaption="Valores" grandTotalCaption="Total general" updatedVersion="5" minRefreshableVersion="3" useAutoFormatting="1" itemPrintTitles="1" createdVersion="5" indent="0" outline="1" outlineData="1" multipleFieldFilters="0" rowHeaderCaption="Fechas" colHeaderCaption=" ">
  <location ref="E1:M23" firstHeaderRow="1" firstDataRow="2" firstDataCol="1"/>
  <pivotFields count="16">
    <pivotField numFmtId="164" showAll="0"/>
    <pivotField showAll="0"/>
    <pivotField showAll="0"/>
    <pivotField showAll="0"/>
    <pivotField dataField="1" showAll="0"/>
    <pivotField showAll="0"/>
    <pivotField showAll="0"/>
    <pivotField showAll="0"/>
    <pivotField showAll="0"/>
    <pivotField axis="axisCol" showAll="0">
      <items count="12">
        <item h="1" x="1"/>
        <item h="1" x="3"/>
        <item x="0"/>
        <item x="7"/>
        <item x="2"/>
        <item x="5"/>
        <item x="4"/>
        <item x="6"/>
        <item h="1" x="10"/>
        <item h="1" x="8"/>
        <item x="9"/>
        <item t="default"/>
      </items>
    </pivotField>
    <pivotField showAll="0"/>
    <pivotField showAll="0"/>
    <pivotField showAll="0"/>
    <pivotField axis="axisRow" numFmtId="168" showAll="0">
      <items count="24">
        <item h="1" x="6"/>
        <item h="1" x="0"/>
        <item x="1"/>
        <item x="2"/>
        <item x="3"/>
        <item x="4"/>
        <item x="5"/>
        <item x="7"/>
        <item x="8"/>
        <item x="9"/>
        <item x="10"/>
        <item x="11"/>
        <item x="12"/>
        <item x="13"/>
        <item x="14"/>
        <item x="15"/>
        <item x="16"/>
        <item x="17"/>
        <item x="18"/>
        <item x="19"/>
        <item x="20"/>
        <item x="21"/>
        <item h="1" x="22"/>
        <item t="default"/>
      </items>
    </pivotField>
    <pivotField showAll="0"/>
    <pivotField showAll="0"/>
  </pivotFields>
  <rowFields count="1">
    <field x="13"/>
  </rowFields>
  <rowItems count="21">
    <i>
      <x v="2"/>
    </i>
    <i>
      <x v="3"/>
    </i>
    <i>
      <x v="4"/>
    </i>
    <i>
      <x v="5"/>
    </i>
    <i>
      <x v="6"/>
    </i>
    <i>
      <x v="7"/>
    </i>
    <i>
      <x v="8"/>
    </i>
    <i>
      <x v="9"/>
    </i>
    <i>
      <x v="10"/>
    </i>
    <i>
      <x v="11"/>
    </i>
    <i>
      <x v="12"/>
    </i>
    <i>
      <x v="13"/>
    </i>
    <i>
      <x v="14"/>
    </i>
    <i>
      <x v="15"/>
    </i>
    <i>
      <x v="16"/>
    </i>
    <i>
      <x v="17"/>
    </i>
    <i>
      <x v="18"/>
    </i>
    <i>
      <x v="19"/>
    </i>
    <i>
      <x v="20"/>
    </i>
    <i>
      <x v="21"/>
    </i>
    <i t="grand">
      <x/>
    </i>
  </rowItems>
  <colFields count="1">
    <field x="9"/>
  </colFields>
  <colItems count="8">
    <i>
      <x v="2"/>
    </i>
    <i>
      <x v="3"/>
    </i>
    <i>
      <x v="4"/>
    </i>
    <i>
      <x v="5"/>
    </i>
    <i>
      <x v="6"/>
    </i>
    <i>
      <x v="7"/>
    </i>
    <i>
      <x v="10"/>
    </i>
    <i t="grand">
      <x/>
    </i>
  </colItems>
  <dataFields count="1">
    <dataField name="Cobranzas GyG" fld="4" baseField="3" baseItem="0" numFmtId="3"/>
  </dataFields>
  <formats count="12">
    <format dxfId="11">
      <pivotArea dataOnly="0" labelOnly="1" fieldPosition="0">
        <references count="1">
          <reference field="13" count="0"/>
        </references>
      </pivotArea>
    </format>
    <format dxfId="10">
      <pivotArea dataOnly="0" labelOnly="1" grandRow="1" outline="0" fieldPosition="0"/>
    </format>
    <format dxfId="9">
      <pivotArea outline="0" collapsedLevelsAreSubtotals="1" fieldPosition="0"/>
    </format>
    <format dxfId="8">
      <pivotArea dataOnly="0" labelOnly="1" fieldPosition="0">
        <references count="1">
          <reference field="9" count="0"/>
        </references>
      </pivotArea>
    </format>
    <format dxfId="7">
      <pivotArea dataOnly="0" labelOnly="1" grandCol="1" outline="0" fieldPosition="0"/>
    </format>
    <format dxfId="6">
      <pivotArea dataOnly="0" labelOnly="1" fieldPosition="0">
        <references count="1">
          <reference field="9" count="0"/>
        </references>
      </pivotArea>
    </format>
    <format dxfId="5">
      <pivotArea dataOnly="0" labelOnly="1" grandCol="1" outline="0" fieldPosition="0"/>
    </format>
    <format dxfId="4">
      <pivotArea dataOnly="0" labelOnly="1" fieldPosition="0">
        <references count="1">
          <reference field="9" count="0"/>
        </references>
      </pivotArea>
    </format>
    <format dxfId="3">
      <pivotArea dataOnly="0" labelOnly="1" grandCol="1" outline="0" fieldPosition="0"/>
    </format>
    <format dxfId="2">
      <pivotArea outline="0" collapsedLevelsAreSubtotals="1" fieldPosition="0">
        <references count="1">
          <reference field="9" count="1" selected="0">
            <x v="2"/>
          </reference>
        </references>
      </pivotArea>
    </format>
    <format dxfId="1">
      <pivotArea field="9" type="button" dataOnly="0" labelOnly="1" outline="0" axis="axisCol" fieldPosition="0"/>
    </format>
    <format dxfId="0">
      <pivotArea dataOnly="0" labelOnly="1" fieldPosition="0">
        <references count="1">
          <reference field="9" count="1">
            <x v="2"/>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Familia">
  <location ref="A3:C17" firstHeaderRow="1" firstDataRow="2" firstDataCol="1"/>
  <pivotFields count="16">
    <pivotField numFmtId="164" showAll="0"/>
    <pivotField showAll="0"/>
    <pivotField showAll="0"/>
    <pivotField showAll="0"/>
    <pivotField showAll="0"/>
    <pivotField axis="axisRow" showAll="0">
      <items count="97">
        <item x="26"/>
        <item h="1" x="77"/>
        <item x="49"/>
        <item x="27"/>
        <item x="19"/>
        <item x="90"/>
        <item x="7"/>
        <item h="1" x="73"/>
        <item x="58"/>
        <item m="1" x="95"/>
        <item x="36"/>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x="35"/>
        <item x="31"/>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x="82"/>
        <item x="53"/>
        <item x="59"/>
        <item x="61"/>
        <item x="71"/>
        <item x="15"/>
        <item x="89"/>
        <item h="1" x="9"/>
        <item x="28"/>
        <item x="68"/>
        <item x="55"/>
        <item x="62"/>
        <item x="22"/>
        <item x="16"/>
        <item x="70"/>
        <item x="47"/>
        <item h="1" x="91"/>
        <item h="1" x="94"/>
        <item h="1" x="75"/>
        <item h="1" x="92"/>
        <item h="1" x="93"/>
        <item t="default"/>
      </items>
    </pivotField>
    <pivotField axis="axisCol" showAll="0">
      <items count="90">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x="88"/>
        <item h="1" x="85"/>
        <item h="1" x="86"/>
        <item h="1" x="87"/>
        <item t="default"/>
      </items>
    </pivotField>
    <pivotField showAll="0"/>
    <pivotField showAll="0"/>
    <pivotField showAll="0"/>
    <pivotField showAll="0"/>
    <pivotField showAll="0"/>
    <pivotField showAll="0"/>
    <pivotField numFmtId="168" showAll="0"/>
    <pivotField showAll="0"/>
    <pivotField showAll="0"/>
  </pivotFields>
  <rowFields count="1">
    <field x="5"/>
  </rowFields>
  <rowItems count="13">
    <i>
      <x v="35"/>
    </i>
    <i>
      <x v="37"/>
    </i>
    <i>
      <x v="41"/>
    </i>
    <i>
      <x v="44"/>
    </i>
    <i>
      <x v="47"/>
    </i>
    <i>
      <x v="51"/>
    </i>
    <i>
      <x v="64"/>
    </i>
    <i>
      <x v="68"/>
    </i>
    <i>
      <x v="71"/>
    </i>
    <i>
      <x v="75"/>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Q1380"/>
  <sheetViews>
    <sheetView tabSelected="1" workbookViewId="0">
      <pane ySplit="1" topLeftCell="A1361" activePane="bottomLeft" state="frozen"/>
      <selection activeCell="A14" sqref="A14"/>
      <selection pane="bottomLeft" activeCell="A1381" sqref="A1381"/>
    </sheetView>
  </sheetViews>
  <sheetFormatPr baseColWidth="10" defaultColWidth="10.7109375" defaultRowHeight="15" x14ac:dyDescent="0.25"/>
  <cols>
    <col min="1" max="1" width="8.28515625" style="1" customWidth="1"/>
    <col min="2" max="2" width="6" style="397" customWidth="1"/>
    <col min="3" max="3" width="6.42578125" style="12" bestFit="1" customWidth="1"/>
    <col min="4" max="4" width="11.42578125" style="2"/>
    <col min="5" max="5" width="13.7109375" style="3" customWidth="1"/>
    <col min="6" max="6" width="23" bestFit="1" customWidth="1"/>
    <col min="7" max="7" width="14.140625" customWidth="1"/>
    <col min="8" max="8" width="12.85546875" bestFit="1" customWidth="1"/>
    <col min="9" max="9" width="40.85546875" style="10" bestFit="1" customWidth="1"/>
    <col min="10" max="10" width="13.85546875" style="169" bestFit="1" customWidth="1"/>
    <col min="11" max="11" width="14.140625" style="20" customWidth="1"/>
    <col min="12" max="12" width="7" style="9" bestFit="1" customWidth="1"/>
    <col min="13" max="13" width="10.7109375" style="9" bestFit="1" customWidth="1"/>
    <col min="14" max="14" width="9.28515625" style="39" bestFit="1" customWidth="1"/>
    <col min="15" max="15" width="11" style="9" bestFit="1" customWidth="1"/>
    <col min="16" max="16" width="17.7109375" style="8" customWidth="1"/>
    <col min="17" max="17" width="10.7109375" style="403"/>
  </cols>
  <sheetData>
    <row r="1" spans="1:17" ht="30" x14ac:dyDescent="0.25">
      <c r="A1" s="15" t="s">
        <v>0</v>
      </c>
      <c r="B1" s="396" t="s">
        <v>1</v>
      </c>
      <c r="C1" s="15" t="s">
        <v>2</v>
      </c>
      <c r="D1" s="4" t="s">
        <v>3</v>
      </c>
      <c r="E1" s="5" t="s">
        <v>4</v>
      </c>
      <c r="F1" s="6" t="s">
        <v>5</v>
      </c>
      <c r="G1" s="16" t="s">
        <v>6</v>
      </c>
      <c r="H1" s="6" t="s">
        <v>7</v>
      </c>
      <c r="I1" s="7" t="s">
        <v>8</v>
      </c>
      <c r="J1" s="166" t="s">
        <v>9</v>
      </c>
      <c r="K1" s="19" t="s">
        <v>10</v>
      </c>
      <c r="L1" s="17" t="s">
        <v>11</v>
      </c>
      <c r="M1" s="17" t="s">
        <v>12</v>
      </c>
      <c r="N1" s="17" t="s">
        <v>13</v>
      </c>
      <c r="O1" s="17" t="s">
        <v>14</v>
      </c>
      <c r="P1" s="18" t="s">
        <v>15</v>
      </c>
      <c r="Q1" s="17" t="s">
        <v>16</v>
      </c>
    </row>
    <row r="2" spans="1:17" x14ac:dyDescent="0.25">
      <c r="A2" s="1">
        <v>1</v>
      </c>
      <c r="C2" s="12" t="s">
        <v>17</v>
      </c>
      <c r="D2" s="2">
        <v>42713</v>
      </c>
      <c r="E2" s="3">
        <v>10500</v>
      </c>
      <c r="F2" t="s">
        <v>18</v>
      </c>
      <c r="G2" t="s">
        <v>19</v>
      </c>
      <c r="H2" t="s">
        <v>20</v>
      </c>
      <c r="I2" s="10" t="s">
        <v>21</v>
      </c>
      <c r="J2" s="167" t="s">
        <v>22</v>
      </c>
      <c r="K2" s="20" t="s">
        <v>23</v>
      </c>
      <c r="L2" s="9" t="str">
        <f t="shared" ref="L2:L65" si="0">IF(ISBLANK(A2),"",TEXT(A2,"00000"))</f>
        <v>00001</v>
      </c>
      <c r="M2" s="71" t="str">
        <f t="shared" ref="M2:M65" si="1">IF(ISBLANK(D2),"",TEXT(D2,"dd")&amp;" de "&amp;TEXT(D2,"mmmm")&amp;" de "&amp;TEXT(YEAR(D2),"0"))</f>
        <v>09 de diciembre de 2016</v>
      </c>
      <c r="N2" s="39">
        <f t="shared" ref="N2:N65" si="2">DATE(YEAR(D2),MONTH(D2),1)</f>
        <v>42705</v>
      </c>
      <c r="O2" s="9" t="str">
        <f t="shared" ref="O2:O65" si="3">TEXT(E2,"#.##0,00")</f>
        <v>10.500,00</v>
      </c>
      <c r="P2" s="8" t="str">
        <f t="shared" ref="P2:P65" si="4">CONVERTIRNUM(E2)</f>
        <v>Diez Mil Quinientos Bolívares con 00/100</v>
      </c>
      <c r="Q2" s="403" t="str">
        <f>IF(C2="û","Anulado","")</f>
        <v/>
      </c>
    </row>
    <row r="3" spans="1:17" x14ac:dyDescent="0.25">
      <c r="A3" s="1">
        <f>A2+1</f>
        <v>2</v>
      </c>
      <c r="C3" s="12" t="s">
        <v>17</v>
      </c>
      <c r="D3" s="2">
        <v>42717</v>
      </c>
      <c r="E3" s="3">
        <v>10500</v>
      </c>
      <c r="F3" t="s">
        <v>24</v>
      </c>
      <c r="G3" t="s">
        <v>25</v>
      </c>
      <c r="H3" t="s">
        <v>26</v>
      </c>
      <c r="I3" s="10" t="s">
        <v>21</v>
      </c>
      <c r="J3" s="167" t="s">
        <v>22</v>
      </c>
      <c r="K3" s="20" t="s">
        <v>27</v>
      </c>
      <c r="L3" s="9" t="str">
        <f t="shared" si="0"/>
        <v>00002</v>
      </c>
      <c r="M3" s="71" t="str">
        <f t="shared" si="1"/>
        <v>13 de diciembre de 2016</v>
      </c>
      <c r="N3" s="39">
        <f t="shared" si="2"/>
        <v>42705</v>
      </c>
      <c r="O3" s="9" t="str">
        <f t="shared" si="3"/>
        <v>10.500,00</v>
      </c>
      <c r="P3" s="8" t="str">
        <f t="shared" si="4"/>
        <v>Diez Mil Quinientos Bolívares con 00/100</v>
      </c>
      <c r="Q3" s="403" t="str">
        <f t="shared" ref="Q3:Q66" si="5">IF(C3="û","Anulado","")</f>
        <v/>
      </c>
    </row>
    <row r="4" spans="1:17" x14ac:dyDescent="0.25">
      <c r="A4" s="1">
        <f t="shared" ref="A4:A67" si="6">A3+1</f>
        <v>3</v>
      </c>
      <c r="C4" s="12" t="s">
        <v>17</v>
      </c>
      <c r="D4" s="2">
        <v>42724</v>
      </c>
      <c r="E4" s="3">
        <v>4500</v>
      </c>
      <c r="F4" t="s">
        <v>28</v>
      </c>
      <c r="G4" t="s">
        <v>29</v>
      </c>
      <c r="H4" t="s">
        <v>30</v>
      </c>
      <c r="I4" s="10" t="s">
        <v>21</v>
      </c>
      <c r="J4" s="167" t="s">
        <v>22</v>
      </c>
      <c r="K4" s="20" t="s">
        <v>31</v>
      </c>
      <c r="L4" s="9" t="str">
        <f t="shared" si="0"/>
        <v>00003</v>
      </c>
      <c r="M4" s="71" t="str">
        <f t="shared" si="1"/>
        <v>20 de diciembre de 2016</v>
      </c>
      <c r="N4" s="39">
        <f t="shared" si="2"/>
        <v>42705</v>
      </c>
      <c r="O4" s="9" t="str">
        <f t="shared" si="3"/>
        <v>4.500,00</v>
      </c>
      <c r="P4" s="8" t="str">
        <f t="shared" si="4"/>
        <v>Cuatro Mil Quinientos Bolívares con 00/100</v>
      </c>
      <c r="Q4" s="403" t="str">
        <f t="shared" si="5"/>
        <v/>
      </c>
    </row>
    <row r="5" spans="1:17" x14ac:dyDescent="0.25">
      <c r="A5" s="1">
        <f t="shared" si="6"/>
        <v>4</v>
      </c>
      <c r="C5" s="12" t="s">
        <v>17</v>
      </c>
      <c r="D5" s="2">
        <v>42737</v>
      </c>
      <c r="E5" s="3">
        <v>10500</v>
      </c>
      <c r="F5" t="s">
        <v>32</v>
      </c>
      <c r="G5" t="s">
        <v>33</v>
      </c>
      <c r="H5" t="s">
        <v>34</v>
      </c>
      <c r="I5" s="10" t="s">
        <v>21</v>
      </c>
      <c r="J5" s="167" t="s">
        <v>22</v>
      </c>
      <c r="K5" s="20" t="s">
        <v>35</v>
      </c>
      <c r="L5" s="9" t="str">
        <f t="shared" si="0"/>
        <v>00004</v>
      </c>
      <c r="M5" s="71" t="str">
        <f t="shared" si="1"/>
        <v>02 de enero de 2017</v>
      </c>
      <c r="N5" s="39">
        <f t="shared" si="2"/>
        <v>42736</v>
      </c>
      <c r="O5" s="9" t="str">
        <f t="shared" si="3"/>
        <v>10.500,00</v>
      </c>
      <c r="P5" s="8" t="str">
        <f t="shared" si="4"/>
        <v>Diez Mil Quinientos Bolívares con 00/100</v>
      </c>
      <c r="Q5" s="403" t="str">
        <f t="shared" si="5"/>
        <v/>
      </c>
    </row>
    <row r="6" spans="1:17" x14ac:dyDescent="0.25">
      <c r="A6" s="1">
        <f t="shared" si="6"/>
        <v>5</v>
      </c>
      <c r="C6" s="12" t="s">
        <v>17</v>
      </c>
      <c r="D6" s="2">
        <v>42741</v>
      </c>
      <c r="E6" s="3">
        <v>10500</v>
      </c>
      <c r="F6" t="s">
        <v>36</v>
      </c>
      <c r="G6" t="s">
        <v>37</v>
      </c>
      <c r="H6" t="s">
        <v>38</v>
      </c>
      <c r="I6" s="10" t="s">
        <v>21</v>
      </c>
      <c r="J6" s="167" t="s">
        <v>22</v>
      </c>
      <c r="K6" s="20" t="s">
        <v>39</v>
      </c>
      <c r="L6" s="9" t="str">
        <f t="shared" si="0"/>
        <v>00005</v>
      </c>
      <c r="M6" s="71" t="str">
        <f t="shared" si="1"/>
        <v>06 de enero de 2017</v>
      </c>
      <c r="N6" s="39">
        <f t="shared" si="2"/>
        <v>42736</v>
      </c>
      <c r="O6" s="9" t="str">
        <f t="shared" si="3"/>
        <v>10.500,00</v>
      </c>
      <c r="P6" s="8" t="str">
        <f t="shared" si="4"/>
        <v>Diez Mil Quinientos Bolívares con 00/100</v>
      </c>
      <c r="Q6" s="403" t="str">
        <f t="shared" si="5"/>
        <v/>
      </c>
    </row>
    <row r="7" spans="1:17" x14ac:dyDescent="0.25">
      <c r="A7" s="1">
        <f t="shared" si="6"/>
        <v>6</v>
      </c>
      <c r="C7" s="12" t="s">
        <v>17</v>
      </c>
      <c r="D7" s="2">
        <v>42742</v>
      </c>
      <c r="E7" s="14">
        <v>10500</v>
      </c>
      <c r="F7" t="s">
        <v>40</v>
      </c>
      <c r="G7" t="s">
        <v>41</v>
      </c>
      <c r="H7" t="s">
        <v>42</v>
      </c>
      <c r="I7" s="13" t="s">
        <v>21</v>
      </c>
      <c r="J7" s="167" t="s">
        <v>22</v>
      </c>
      <c r="K7" s="20" t="s">
        <v>43</v>
      </c>
      <c r="L7" s="9" t="str">
        <f t="shared" si="0"/>
        <v>00006</v>
      </c>
      <c r="M7" s="71" t="str">
        <f t="shared" si="1"/>
        <v>07 de enero de 2017</v>
      </c>
      <c r="N7" s="39">
        <f t="shared" si="2"/>
        <v>42736</v>
      </c>
      <c r="O7" s="9" t="str">
        <f t="shared" si="3"/>
        <v>10.500,00</v>
      </c>
      <c r="P7" s="8" t="str">
        <f t="shared" si="4"/>
        <v>Diez Mil Quinientos Bolívares con 00/100</v>
      </c>
      <c r="Q7" s="403" t="str">
        <f t="shared" si="5"/>
        <v/>
      </c>
    </row>
    <row r="8" spans="1:17" x14ac:dyDescent="0.25">
      <c r="A8" s="1">
        <f t="shared" si="6"/>
        <v>7</v>
      </c>
      <c r="C8" s="12" t="s">
        <v>17</v>
      </c>
      <c r="D8" s="2">
        <v>42745</v>
      </c>
      <c r="E8" s="14">
        <v>10000</v>
      </c>
      <c r="F8" t="s">
        <v>44</v>
      </c>
      <c r="G8" t="s">
        <v>45</v>
      </c>
      <c r="H8" t="s">
        <v>46</v>
      </c>
      <c r="I8" s="13" t="s">
        <v>21</v>
      </c>
      <c r="J8" s="167" t="s">
        <v>22</v>
      </c>
      <c r="K8" s="20" t="s">
        <v>47</v>
      </c>
      <c r="L8" s="9" t="str">
        <f t="shared" si="0"/>
        <v>00007</v>
      </c>
      <c r="M8" s="71" t="str">
        <f t="shared" si="1"/>
        <v>10 de enero de 2017</v>
      </c>
      <c r="N8" s="39">
        <f t="shared" si="2"/>
        <v>42736</v>
      </c>
      <c r="O8" s="9" t="str">
        <f t="shared" si="3"/>
        <v>10.000,00</v>
      </c>
      <c r="P8" s="8" t="str">
        <f t="shared" si="4"/>
        <v>Diez Mil Bolívares con 00/100</v>
      </c>
      <c r="Q8" s="403" t="str">
        <f t="shared" si="5"/>
        <v/>
      </c>
    </row>
    <row r="9" spans="1:17" x14ac:dyDescent="0.25">
      <c r="A9" s="1">
        <f t="shared" si="6"/>
        <v>8</v>
      </c>
      <c r="C9" s="12" t="s">
        <v>17</v>
      </c>
      <c r="D9" s="2">
        <v>42746</v>
      </c>
      <c r="E9" s="3">
        <v>5000</v>
      </c>
      <c r="F9" t="s">
        <v>48</v>
      </c>
      <c r="G9" t="s">
        <v>49</v>
      </c>
      <c r="H9" t="s">
        <v>50</v>
      </c>
      <c r="I9" s="10" t="s">
        <v>51</v>
      </c>
      <c r="J9" s="167" t="s">
        <v>22</v>
      </c>
      <c r="K9" s="20" t="s">
        <v>52</v>
      </c>
      <c r="L9" s="9" t="str">
        <f t="shared" si="0"/>
        <v>00008</v>
      </c>
      <c r="M9" s="71" t="str">
        <f t="shared" si="1"/>
        <v>11 de enero de 2017</v>
      </c>
      <c r="N9" s="39">
        <f t="shared" si="2"/>
        <v>42736</v>
      </c>
      <c r="O9" s="9" t="str">
        <f t="shared" si="3"/>
        <v>5.000,00</v>
      </c>
      <c r="P9" s="8" t="str">
        <f t="shared" si="4"/>
        <v>Cinco Mil Bolívares con 00/100</v>
      </c>
      <c r="Q9" s="403" t="str">
        <f t="shared" si="5"/>
        <v/>
      </c>
    </row>
    <row r="10" spans="1:17" ht="15.75" thickBot="1" x14ac:dyDescent="0.3">
      <c r="A10" s="1">
        <f t="shared" si="6"/>
        <v>9</v>
      </c>
      <c r="C10" s="12" t="s">
        <v>17</v>
      </c>
      <c r="D10" s="2">
        <v>42746</v>
      </c>
      <c r="E10" s="3">
        <v>10500</v>
      </c>
      <c r="F10" t="s">
        <v>53</v>
      </c>
      <c r="G10" t="s">
        <v>54</v>
      </c>
      <c r="H10" t="s">
        <v>55</v>
      </c>
      <c r="I10" s="10" t="s">
        <v>21</v>
      </c>
      <c r="J10" s="167" t="s">
        <v>22</v>
      </c>
      <c r="K10" s="20" t="s">
        <v>56</v>
      </c>
      <c r="L10" s="9" t="str">
        <f t="shared" si="0"/>
        <v>00009</v>
      </c>
      <c r="M10" s="71" t="str">
        <f t="shared" si="1"/>
        <v>11 de enero de 2017</v>
      </c>
      <c r="N10" s="39">
        <f t="shared" si="2"/>
        <v>42736</v>
      </c>
      <c r="O10" s="9" t="str">
        <f t="shared" si="3"/>
        <v>10.500,00</v>
      </c>
      <c r="P10" s="8" t="str">
        <f t="shared" si="4"/>
        <v>Diez Mil Quinientos Bolívares con 00/100</v>
      </c>
      <c r="Q10" s="403" t="str">
        <f t="shared" si="5"/>
        <v/>
      </c>
    </row>
    <row r="11" spans="1:17" ht="15.75" thickBot="1" x14ac:dyDescent="0.3">
      <c r="A11" s="1">
        <f t="shared" si="6"/>
        <v>10</v>
      </c>
      <c r="C11" s="12" t="s">
        <v>17</v>
      </c>
      <c r="D11" s="2">
        <v>42750</v>
      </c>
      <c r="E11" s="3">
        <v>12000</v>
      </c>
      <c r="F11" s="31" t="s">
        <v>57</v>
      </c>
      <c r="G11" s="27" t="s">
        <v>58</v>
      </c>
      <c r="H11" s="32" t="s">
        <v>59</v>
      </c>
      <c r="I11" s="10" t="s">
        <v>60</v>
      </c>
      <c r="J11" s="167" t="s">
        <v>22</v>
      </c>
      <c r="K11" s="33" t="s">
        <v>61</v>
      </c>
      <c r="L11" s="9" t="str">
        <f t="shared" si="0"/>
        <v>00010</v>
      </c>
      <c r="M11" s="71" t="str">
        <f t="shared" si="1"/>
        <v>15 de enero de 2017</v>
      </c>
      <c r="N11" s="39">
        <f t="shared" si="2"/>
        <v>42736</v>
      </c>
      <c r="O11" s="9" t="str">
        <f t="shared" si="3"/>
        <v>12.000,00</v>
      </c>
      <c r="P11" s="8" t="str">
        <f t="shared" si="4"/>
        <v>Doce Mil Bolívares con 00/100</v>
      </c>
      <c r="Q11" s="403" t="str">
        <f t="shared" si="5"/>
        <v/>
      </c>
    </row>
    <row r="12" spans="1:17" x14ac:dyDescent="0.25">
      <c r="A12" s="1">
        <f t="shared" si="6"/>
        <v>11</v>
      </c>
      <c r="C12" s="12" t="s">
        <v>17</v>
      </c>
      <c r="D12" s="2">
        <v>42748</v>
      </c>
      <c r="E12" s="3">
        <v>10500</v>
      </c>
      <c r="F12" t="s">
        <v>62</v>
      </c>
      <c r="G12" t="s">
        <v>63</v>
      </c>
      <c r="H12" t="s">
        <v>64</v>
      </c>
      <c r="I12" s="10" t="s">
        <v>21</v>
      </c>
      <c r="J12" s="167" t="s">
        <v>22</v>
      </c>
      <c r="K12" s="20" t="s">
        <v>65</v>
      </c>
      <c r="L12" s="9" t="str">
        <f t="shared" si="0"/>
        <v>00011</v>
      </c>
      <c r="M12" s="71" t="str">
        <f t="shared" si="1"/>
        <v>13 de enero de 2017</v>
      </c>
      <c r="N12" s="39">
        <f t="shared" si="2"/>
        <v>42736</v>
      </c>
      <c r="O12" s="9" t="str">
        <f t="shared" si="3"/>
        <v>10.500,00</v>
      </c>
      <c r="P12" s="8" t="str">
        <f t="shared" si="4"/>
        <v>Diez Mil Quinientos Bolívares con 00/100</v>
      </c>
      <c r="Q12" s="403" t="str">
        <f t="shared" si="5"/>
        <v/>
      </c>
    </row>
    <row r="13" spans="1:17" x14ac:dyDescent="0.25">
      <c r="A13" s="1">
        <f t="shared" si="6"/>
        <v>12</v>
      </c>
      <c r="C13" s="12" t="s">
        <v>17</v>
      </c>
      <c r="D13" s="2">
        <v>42750</v>
      </c>
      <c r="E13" s="14">
        <v>10500</v>
      </c>
      <c r="F13" t="s">
        <v>66</v>
      </c>
      <c r="G13" t="s">
        <v>67</v>
      </c>
      <c r="H13" t="s">
        <v>68</v>
      </c>
      <c r="I13" s="13" t="s">
        <v>21</v>
      </c>
      <c r="J13" s="167" t="s">
        <v>22</v>
      </c>
      <c r="K13" s="20" t="s">
        <v>69</v>
      </c>
      <c r="L13" s="9" t="str">
        <f t="shared" si="0"/>
        <v>00012</v>
      </c>
      <c r="M13" s="71" t="str">
        <f t="shared" si="1"/>
        <v>15 de enero de 2017</v>
      </c>
      <c r="N13" s="39">
        <f t="shared" si="2"/>
        <v>42736</v>
      </c>
      <c r="O13" s="9" t="str">
        <f t="shared" si="3"/>
        <v>10.500,00</v>
      </c>
      <c r="P13" s="8" t="str">
        <f t="shared" si="4"/>
        <v>Diez Mil Quinientos Bolívares con 00/100</v>
      </c>
      <c r="Q13" s="403" t="str">
        <f t="shared" si="5"/>
        <v/>
      </c>
    </row>
    <row r="14" spans="1:17" ht="15.75" thickBot="1" x14ac:dyDescent="0.3">
      <c r="A14" s="1">
        <f t="shared" si="6"/>
        <v>13</v>
      </c>
      <c r="C14" s="12" t="s">
        <v>17</v>
      </c>
      <c r="D14" s="2">
        <v>42754</v>
      </c>
      <c r="E14" s="3">
        <v>10500</v>
      </c>
      <c r="F14" t="s">
        <v>70</v>
      </c>
      <c r="G14" t="s">
        <v>71</v>
      </c>
      <c r="H14" t="s">
        <v>72</v>
      </c>
      <c r="I14" s="10" t="s">
        <v>21</v>
      </c>
      <c r="J14" s="167" t="s">
        <v>22</v>
      </c>
      <c r="K14" s="20" t="s">
        <v>73</v>
      </c>
      <c r="L14" s="9" t="str">
        <f t="shared" si="0"/>
        <v>00013</v>
      </c>
      <c r="M14" s="71" t="str">
        <f t="shared" si="1"/>
        <v>19 de enero de 2017</v>
      </c>
      <c r="N14" s="39">
        <f t="shared" si="2"/>
        <v>42736</v>
      </c>
      <c r="O14" s="9" t="str">
        <f t="shared" si="3"/>
        <v>10.500,00</v>
      </c>
      <c r="P14" s="8" t="str">
        <f t="shared" si="4"/>
        <v>Diez Mil Quinientos Bolívares con 00/100</v>
      </c>
      <c r="Q14" s="403" t="str">
        <f t="shared" si="5"/>
        <v/>
      </c>
    </row>
    <row r="15" spans="1:17" ht="15.75" thickBot="1" x14ac:dyDescent="0.3">
      <c r="A15" s="1">
        <f t="shared" si="6"/>
        <v>14</v>
      </c>
      <c r="C15" s="12" t="s">
        <v>17</v>
      </c>
      <c r="D15" s="2">
        <v>42754</v>
      </c>
      <c r="E15" s="3">
        <v>4500</v>
      </c>
      <c r="F15" t="s">
        <v>74</v>
      </c>
      <c r="G15" s="27" t="s">
        <v>58</v>
      </c>
      <c r="H15" t="s">
        <v>75</v>
      </c>
      <c r="I15" s="10" t="s">
        <v>51</v>
      </c>
      <c r="J15" s="167" t="s">
        <v>22</v>
      </c>
      <c r="K15" s="20" t="s">
        <v>76</v>
      </c>
      <c r="L15" s="9" t="str">
        <f t="shared" si="0"/>
        <v>00014</v>
      </c>
      <c r="M15" s="71" t="str">
        <f t="shared" si="1"/>
        <v>19 de enero de 2017</v>
      </c>
      <c r="N15" s="39">
        <f t="shared" si="2"/>
        <v>42736</v>
      </c>
      <c r="O15" s="9" t="str">
        <f t="shared" si="3"/>
        <v>4.500,00</v>
      </c>
      <c r="P15" s="8" t="str">
        <f t="shared" si="4"/>
        <v>Cuatro Mil Quinientos Bolívares con 00/100</v>
      </c>
      <c r="Q15" s="403" t="str">
        <f t="shared" si="5"/>
        <v/>
      </c>
    </row>
    <row r="16" spans="1:17" x14ac:dyDescent="0.25">
      <c r="A16" s="1">
        <f t="shared" si="6"/>
        <v>15</v>
      </c>
      <c r="C16" s="12" t="s">
        <v>17</v>
      </c>
      <c r="D16" s="2">
        <v>42755</v>
      </c>
      <c r="E16" s="3">
        <v>6500</v>
      </c>
      <c r="F16" t="s">
        <v>70</v>
      </c>
      <c r="G16" t="s">
        <v>71</v>
      </c>
      <c r="H16" t="s">
        <v>72</v>
      </c>
      <c r="I16" s="10" t="s">
        <v>77</v>
      </c>
      <c r="J16" s="167" t="s">
        <v>22</v>
      </c>
      <c r="K16" s="20" t="s">
        <v>78</v>
      </c>
      <c r="L16" s="9" t="str">
        <f t="shared" si="0"/>
        <v>00015</v>
      </c>
      <c r="M16" s="71" t="str">
        <f t="shared" si="1"/>
        <v>20 de enero de 2017</v>
      </c>
      <c r="N16" s="39">
        <f t="shared" si="2"/>
        <v>42736</v>
      </c>
      <c r="O16" s="9" t="str">
        <f t="shared" si="3"/>
        <v>6.500,00</v>
      </c>
      <c r="P16" s="8" t="str">
        <f t="shared" si="4"/>
        <v>Seis Mil Quinientos Bolívares con 00/100</v>
      </c>
      <c r="Q16" s="403" t="str">
        <f t="shared" si="5"/>
        <v/>
      </c>
    </row>
    <row r="17" spans="1:17" x14ac:dyDescent="0.25">
      <c r="A17" s="1">
        <f t="shared" si="6"/>
        <v>16</v>
      </c>
      <c r="C17" s="12" t="s">
        <v>17</v>
      </c>
      <c r="D17" s="2">
        <v>42755</v>
      </c>
      <c r="E17" s="3">
        <v>6500</v>
      </c>
      <c r="F17" t="s">
        <v>18</v>
      </c>
      <c r="G17" t="s">
        <v>19</v>
      </c>
      <c r="H17" t="s">
        <v>20</v>
      </c>
      <c r="I17" s="10" t="s">
        <v>77</v>
      </c>
      <c r="J17" s="167" t="s">
        <v>22</v>
      </c>
      <c r="K17" s="20" t="s">
        <v>79</v>
      </c>
      <c r="L17" s="9" t="str">
        <f t="shared" si="0"/>
        <v>00016</v>
      </c>
      <c r="M17" s="71" t="str">
        <f t="shared" si="1"/>
        <v>20 de enero de 2017</v>
      </c>
      <c r="N17" s="39">
        <f t="shared" si="2"/>
        <v>42736</v>
      </c>
      <c r="O17" s="9" t="str">
        <f t="shared" si="3"/>
        <v>6.500,00</v>
      </c>
      <c r="P17" s="8" t="str">
        <f t="shared" si="4"/>
        <v>Seis Mil Quinientos Bolívares con 00/100</v>
      </c>
      <c r="Q17" s="403" t="str">
        <f t="shared" si="5"/>
        <v/>
      </c>
    </row>
    <row r="18" spans="1:17" x14ac:dyDescent="0.25">
      <c r="A18" s="1">
        <f t="shared" si="6"/>
        <v>17</v>
      </c>
      <c r="C18" s="12" t="s">
        <v>17</v>
      </c>
      <c r="D18" s="2">
        <v>42755</v>
      </c>
      <c r="E18" s="3">
        <v>17000</v>
      </c>
      <c r="F18" t="s">
        <v>80</v>
      </c>
      <c r="G18" t="s">
        <v>81</v>
      </c>
      <c r="H18" t="s">
        <v>82</v>
      </c>
      <c r="I18" s="10" t="s">
        <v>60</v>
      </c>
      <c r="J18" s="167" t="s">
        <v>22</v>
      </c>
      <c r="K18" s="20" t="s">
        <v>83</v>
      </c>
      <c r="L18" s="9" t="str">
        <f t="shared" si="0"/>
        <v>00017</v>
      </c>
      <c r="M18" s="71" t="str">
        <f t="shared" si="1"/>
        <v>20 de enero de 2017</v>
      </c>
      <c r="N18" s="39">
        <f t="shared" si="2"/>
        <v>42736</v>
      </c>
      <c r="O18" s="9" t="str">
        <f t="shared" si="3"/>
        <v>17.000,00</v>
      </c>
      <c r="P18" s="8" t="str">
        <f t="shared" si="4"/>
        <v>Diecisiete Mil Bolívares con 00/100</v>
      </c>
      <c r="Q18" s="403" t="str">
        <f t="shared" si="5"/>
        <v/>
      </c>
    </row>
    <row r="19" spans="1:17" x14ac:dyDescent="0.25">
      <c r="A19" s="1">
        <f t="shared" si="6"/>
        <v>18</v>
      </c>
      <c r="C19" s="12" t="s">
        <v>17</v>
      </c>
      <c r="D19" s="2">
        <v>42755</v>
      </c>
      <c r="E19" s="3">
        <v>6000</v>
      </c>
      <c r="F19" t="s">
        <v>84</v>
      </c>
      <c r="G19" t="s">
        <v>85</v>
      </c>
      <c r="H19" t="s">
        <v>86</v>
      </c>
      <c r="I19" s="10" t="s">
        <v>51</v>
      </c>
      <c r="J19" s="167" t="s">
        <v>22</v>
      </c>
      <c r="K19" s="20" t="s">
        <v>87</v>
      </c>
      <c r="L19" s="9" t="str">
        <f t="shared" si="0"/>
        <v>00018</v>
      </c>
      <c r="M19" s="71" t="str">
        <f t="shared" si="1"/>
        <v>20 de enero de 2017</v>
      </c>
      <c r="N19" s="39">
        <f t="shared" si="2"/>
        <v>42736</v>
      </c>
      <c r="O19" s="9" t="str">
        <f t="shared" si="3"/>
        <v>6.000,00</v>
      </c>
      <c r="P19" s="8" t="str">
        <f t="shared" si="4"/>
        <v>Seis Mil Bolívares con 00/100</v>
      </c>
      <c r="Q19" s="403" t="str">
        <f t="shared" si="5"/>
        <v/>
      </c>
    </row>
    <row r="20" spans="1:17" x14ac:dyDescent="0.25">
      <c r="A20" s="1">
        <f t="shared" si="6"/>
        <v>19</v>
      </c>
      <c r="C20" s="12" t="s">
        <v>17</v>
      </c>
      <c r="D20" s="2">
        <v>42759</v>
      </c>
      <c r="E20" s="3">
        <v>6500</v>
      </c>
      <c r="F20" t="s">
        <v>24</v>
      </c>
      <c r="G20" t="s">
        <v>25</v>
      </c>
      <c r="H20" t="s">
        <v>26</v>
      </c>
      <c r="I20" s="10" t="s">
        <v>77</v>
      </c>
      <c r="J20" s="167" t="s">
        <v>22</v>
      </c>
      <c r="K20" s="20" t="s">
        <v>88</v>
      </c>
      <c r="L20" s="9" t="str">
        <f t="shared" si="0"/>
        <v>00019</v>
      </c>
      <c r="M20" s="71" t="str">
        <f t="shared" si="1"/>
        <v>24 de enero de 2017</v>
      </c>
      <c r="N20" s="39">
        <f t="shared" si="2"/>
        <v>42736</v>
      </c>
      <c r="O20" s="9" t="str">
        <f t="shared" si="3"/>
        <v>6.500,00</v>
      </c>
      <c r="P20" s="8" t="str">
        <f t="shared" si="4"/>
        <v>Seis Mil Quinientos Bolívares con 00/100</v>
      </c>
      <c r="Q20" s="403" t="str">
        <f t="shared" si="5"/>
        <v/>
      </c>
    </row>
    <row r="21" spans="1:17" x14ac:dyDescent="0.25">
      <c r="A21" s="1">
        <f t="shared" si="6"/>
        <v>20</v>
      </c>
      <c r="C21" s="12" t="s">
        <v>17</v>
      </c>
      <c r="D21" s="2">
        <v>42759</v>
      </c>
      <c r="E21" s="3">
        <v>10000</v>
      </c>
      <c r="F21" t="s">
        <v>28</v>
      </c>
      <c r="G21" t="s">
        <v>29</v>
      </c>
      <c r="H21" t="s">
        <v>30</v>
      </c>
      <c r="I21" s="10" t="s">
        <v>21</v>
      </c>
      <c r="J21" s="167" t="s">
        <v>22</v>
      </c>
      <c r="K21" s="20" t="s">
        <v>89</v>
      </c>
      <c r="L21" s="9" t="str">
        <f t="shared" si="0"/>
        <v>00020</v>
      </c>
      <c r="M21" s="71" t="str">
        <f t="shared" si="1"/>
        <v>24 de enero de 2017</v>
      </c>
      <c r="N21" s="39">
        <f t="shared" si="2"/>
        <v>42736</v>
      </c>
      <c r="O21" s="9" t="str">
        <f t="shared" si="3"/>
        <v>10.000,00</v>
      </c>
      <c r="P21" s="8" t="str">
        <f t="shared" si="4"/>
        <v>Diez Mil Bolívares con 00/100</v>
      </c>
      <c r="Q21" s="403" t="str">
        <f t="shared" si="5"/>
        <v/>
      </c>
    </row>
    <row r="22" spans="1:17" x14ac:dyDescent="0.25">
      <c r="A22" s="1">
        <f t="shared" si="6"/>
        <v>21</v>
      </c>
      <c r="C22" s="12" t="s">
        <v>17</v>
      </c>
      <c r="D22" s="2">
        <v>42759</v>
      </c>
      <c r="E22" s="3">
        <v>17000</v>
      </c>
      <c r="F22" t="s">
        <v>90</v>
      </c>
      <c r="G22" t="s">
        <v>91</v>
      </c>
      <c r="H22" t="s">
        <v>92</v>
      </c>
      <c r="I22" s="10" t="s">
        <v>60</v>
      </c>
      <c r="J22" s="167" t="s">
        <v>22</v>
      </c>
      <c r="K22" s="20" t="s">
        <v>93</v>
      </c>
      <c r="L22" s="9" t="str">
        <f t="shared" si="0"/>
        <v>00021</v>
      </c>
      <c r="M22" s="71" t="str">
        <f t="shared" si="1"/>
        <v>24 de enero de 2017</v>
      </c>
      <c r="N22" s="39">
        <f t="shared" si="2"/>
        <v>42736</v>
      </c>
      <c r="O22" s="9" t="str">
        <f t="shared" si="3"/>
        <v>17.000,00</v>
      </c>
      <c r="P22" s="8" t="str">
        <f t="shared" si="4"/>
        <v>Diecisiete Mil Bolívares con 00/100</v>
      </c>
      <c r="Q22" s="403" t="str">
        <f t="shared" si="5"/>
        <v/>
      </c>
    </row>
    <row r="23" spans="1:17" x14ac:dyDescent="0.25">
      <c r="A23" s="1">
        <f t="shared" si="6"/>
        <v>22</v>
      </c>
      <c r="C23" s="12" t="s">
        <v>17</v>
      </c>
      <c r="D23" s="2">
        <v>42760</v>
      </c>
      <c r="E23" s="3">
        <v>2000</v>
      </c>
      <c r="F23" t="s">
        <v>94</v>
      </c>
      <c r="G23" t="s">
        <v>95</v>
      </c>
      <c r="H23" t="s">
        <v>96</v>
      </c>
      <c r="I23" s="10" t="s">
        <v>51</v>
      </c>
      <c r="J23" s="167" t="s">
        <v>22</v>
      </c>
      <c r="K23" s="20" t="s">
        <v>97</v>
      </c>
      <c r="L23" s="9" t="str">
        <f t="shared" si="0"/>
        <v>00022</v>
      </c>
      <c r="M23" s="71" t="str">
        <f t="shared" si="1"/>
        <v>25 de enero de 2017</v>
      </c>
      <c r="N23" s="39">
        <f t="shared" si="2"/>
        <v>42736</v>
      </c>
      <c r="O23" s="9" t="str">
        <f t="shared" si="3"/>
        <v>2.000,00</v>
      </c>
      <c r="P23" s="8" t="str">
        <f t="shared" si="4"/>
        <v>Dos Mil Bolívares con 00/100</v>
      </c>
      <c r="Q23" s="403" t="str">
        <f t="shared" si="5"/>
        <v/>
      </c>
    </row>
    <row r="24" spans="1:17" x14ac:dyDescent="0.25">
      <c r="A24" s="1">
        <f t="shared" si="6"/>
        <v>23</v>
      </c>
      <c r="C24" s="12" t="s">
        <v>17</v>
      </c>
      <c r="D24" s="2">
        <v>42760</v>
      </c>
      <c r="E24" s="3">
        <v>6500</v>
      </c>
      <c r="F24" t="s">
        <v>32</v>
      </c>
      <c r="G24" t="s">
        <v>33</v>
      </c>
      <c r="H24" t="s">
        <v>34</v>
      </c>
      <c r="I24" s="10" t="s">
        <v>98</v>
      </c>
      <c r="J24" s="167" t="s">
        <v>22</v>
      </c>
      <c r="K24" s="20" t="s">
        <v>99</v>
      </c>
      <c r="L24" s="9" t="str">
        <f t="shared" si="0"/>
        <v>00023</v>
      </c>
      <c r="M24" s="71" t="str">
        <f t="shared" si="1"/>
        <v>25 de enero de 2017</v>
      </c>
      <c r="N24" s="39">
        <f t="shared" si="2"/>
        <v>42736</v>
      </c>
      <c r="O24" s="9" t="str">
        <f t="shared" si="3"/>
        <v>6.500,00</v>
      </c>
      <c r="P24" s="8" t="str">
        <f t="shared" si="4"/>
        <v>Seis Mil Quinientos Bolívares con 00/100</v>
      </c>
      <c r="Q24" s="403" t="str">
        <f t="shared" si="5"/>
        <v/>
      </c>
    </row>
    <row r="25" spans="1:17" x14ac:dyDescent="0.25">
      <c r="A25" s="1">
        <f t="shared" si="6"/>
        <v>24</v>
      </c>
      <c r="C25" s="12" t="s">
        <v>17</v>
      </c>
      <c r="D25" s="2">
        <v>42760</v>
      </c>
      <c r="E25" s="3">
        <v>17000</v>
      </c>
      <c r="F25" t="s">
        <v>100</v>
      </c>
      <c r="G25" t="s">
        <v>95</v>
      </c>
      <c r="H25" t="s">
        <v>101</v>
      </c>
      <c r="I25" s="10" t="s">
        <v>60</v>
      </c>
      <c r="J25" s="167" t="s">
        <v>22</v>
      </c>
      <c r="K25" s="20" t="s">
        <v>102</v>
      </c>
      <c r="L25" s="9" t="str">
        <f t="shared" si="0"/>
        <v>00024</v>
      </c>
      <c r="M25" s="71" t="str">
        <f t="shared" si="1"/>
        <v>25 de enero de 2017</v>
      </c>
      <c r="N25" s="39">
        <f t="shared" si="2"/>
        <v>42736</v>
      </c>
      <c r="O25" s="9" t="str">
        <f t="shared" si="3"/>
        <v>17.000,00</v>
      </c>
      <c r="P25" s="8" t="str">
        <f t="shared" si="4"/>
        <v>Diecisiete Mil Bolívares con 00/100</v>
      </c>
      <c r="Q25" s="403" t="str">
        <f t="shared" si="5"/>
        <v/>
      </c>
    </row>
    <row r="26" spans="1:17" x14ac:dyDescent="0.25">
      <c r="A26" s="1">
        <f t="shared" si="6"/>
        <v>25</v>
      </c>
      <c r="C26" s="12" t="s">
        <v>17</v>
      </c>
      <c r="D26" s="2">
        <v>42761</v>
      </c>
      <c r="E26" s="3">
        <v>17000</v>
      </c>
      <c r="F26" t="s">
        <v>103</v>
      </c>
      <c r="G26" t="s">
        <v>104</v>
      </c>
      <c r="H26" t="s">
        <v>105</v>
      </c>
      <c r="I26" s="10" t="s">
        <v>60</v>
      </c>
      <c r="J26" s="167" t="s">
        <v>22</v>
      </c>
      <c r="K26" s="20" t="s">
        <v>106</v>
      </c>
      <c r="L26" s="9" t="str">
        <f t="shared" si="0"/>
        <v>00025</v>
      </c>
      <c r="M26" s="71" t="str">
        <f t="shared" si="1"/>
        <v>26 de enero de 2017</v>
      </c>
      <c r="N26" s="39">
        <f t="shared" si="2"/>
        <v>42736</v>
      </c>
      <c r="O26" s="9" t="str">
        <f t="shared" si="3"/>
        <v>17.000,00</v>
      </c>
      <c r="P26" s="8" t="str">
        <f t="shared" si="4"/>
        <v>Diecisiete Mil Bolívares con 00/100</v>
      </c>
      <c r="Q26" s="403" t="str">
        <f t="shared" si="5"/>
        <v/>
      </c>
    </row>
    <row r="27" spans="1:17" x14ac:dyDescent="0.25">
      <c r="A27" s="1">
        <f t="shared" si="6"/>
        <v>26</v>
      </c>
      <c r="C27" s="12" t="s">
        <v>17</v>
      </c>
      <c r="D27" s="2">
        <v>42762</v>
      </c>
      <c r="E27" s="3">
        <v>17000</v>
      </c>
      <c r="F27" t="s">
        <v>107</v>
      </c>
      <c r="G27" t="s">
        <v>108</v>
      </c>
      <c r="H27" t="s">
        <v>109</v>
      </c>
      <c r="I27" s="10" t="s">
        <v>60</v>
      </c>
      <c r="J27" s="167" t="s">
        <v>22</v>
      </c>
      <c r="K27" s="20" t="s">
        <v>110</v>
      </c>
      <c r="L27" s="9" t="str">
        <f t="shared" si="0"/>
        <v>00026</v>
      </c>
      <c r="M27" s="71" t="str">
        <f t="shared" si="1"/>
        <v>27 de enero de 2017</v>
      </c>
      <c r="N27" s="39">
        <f t="shared" si="2"/>
        <v>42736</v>
      </c>
      <c r="O27" s="9" t="str">
        <f t="shared" si="3"/>
        <v>17.000,00</v>
      </c>
      <c r="P27" s="8" t="str">
        <f t="shared" si="4"/>
        <v>Diecisiete Mil Bolívares con 00/100</v>
      </c>
      <c r="Q27" s="403" t="str">
        <f t="shared" si="5"/>
        <v/>
      </c>
    </row>
    <row r="28" spans="1:17" x14ac:dyDescent="0.25">
      <c r="A28" s="1">
        <f t="shared" si="6"/>
        <v>27</v>
      </c>
      <c r="C28" s="12" t="s">
        <v>17</v>
      </c>
      <c r="D28" s="2">
        <v>42765</v>
      </c>
      <c r="E28" s="3">
        <v>6500</v>
      </c>
      <c r="F28" t="s">
        <v>36</v>
      </c>
      <c r="G28" t="s">
        <v>37</v>
      </c>
      <c r="H28" t="s">
        <v>38</v>
      </c>
      <c r="I28" s="10" t="s">
        <v>77</v>
      </c>
      <c r="J28" s="167" t="s">
        <v>22</v>
      </c>
      <c r="K28" s="20" t="s">
        <v>111</v>
      </c>
      <c r="L28" s="9" t="str">
        <f t="shared" si="0"/>
        <v>00027</v>
      </c>
      <c r="M28" s="71" t="str">
        <f t="shared" si="1"/>
        <v>30 de enero de 2017</v>
      </c>
      <c r="N28" s="39">
        <f t="shared" si="2"/>
        <v>42736</v>
      </c>
      <c r="O28" s="9" t="str">
        <f t="shared" si="3"/>
        <v>6.500,00</v>
      </c>
      <c r="P28" s="8" t="str">
        <f t="shared" si="4"/>
        <v>Seis Mil Quinientos Bolívares con 00/100</v>
      </c>
      <c r="Q28" s="403" t="str">
        <f t="shared" si="5"/>
        <v/>
      </c>
    </row>
    <row r="29" spans="1:17" x14ac:dyDescent="0.25">
      <c r="A29" s="1">
        <f t="shared" si="6"/>
        <v>28</v>
      </c>
      <c r="C29" s="12" t="s">
        <v>17</v>
      </c>
      <c r="D29" s="2">
        <v>42765</v>
      </c>
      <c r="E29" s="3">
        <v>7488</v>
      </c>
      <c r="F29" t="s">
        <v>36</v>
      </c>
      <c r="G29" t="s">
        <v>37</v>
      </c>
      <c r="H29" t="s">
        <v>38</v>
      </c>
      <c r="I29" s="10" t="s">
        <v>112</v>
      </c>
      <c r="J29" s="167" t="s">
        <v>22</v>
      </c>
      <c r="K29" s="20" t="s">
        <v>113</v>
      </c>
      <c r="L29" s="9" t="str">
        <f t="shared" si="0"/>
        <v>00028</v>
      </c>
      <c r="M29" s="71" t="str">
        <f t="shared" si="1"/>
        <v>30 de enero de 2017</v>
      </c>
      <c r="N29" s="39">
        <f t="shared" si="2"/>
        <v>42736</v>
      </c>
      <c r="O29" s="9" t="str">
        <f t="shared" si="3"/>
        <v>7.488,00</v>
      </c>
      <c r="P29" s="8" t="str">
        <f t="shared" si="4"/>
        <v>Siete Mil Cuatrocientos Ochenta y Ocho Bolívares con 00/100</v>
      </c>
      <c r="Q29" s="403" t="str">
        <f t="shared" si="5"/>
        <v/>
      </c>
    </row>
    <row r="30" spans="1:17" x14ac:dyDescent="0.25">
      <c r="A30" s="1">
        <f t="shared" si="6"/>
        <v>29</v>
      </c>
      <c r="C30" s="12" t="s">
        <v>17</v>
      </c>
      <c r="D30" s="2">
        <v>42766</v>
      </c>
      <c r="E30" s="3">
        <v>17000</v>
      </c>
      <c r="F30" t="s">
        <v>114</v>
      </c>
      <c r="G30" t="s">
        <v>115</v>
      </c>
      <c r="H30" t="s">
        <v>116</v>
      </c>
      <c r="I30" s="10" t="s">
        <v>60</v>
      </c>
      <c r="J30" s="167" t="s">
        <v>22</v>
      </c>
      <c r="K30" s="20" t="s">
        <v>117</v>
      </c>
      <c r="L30" s="9" t="str">
        <f t="shared" si="0"/>
        <v>00029</v>
      </c>
      <c r="M30" s="71" t="str">
        <f t="shared" si="1"/>
        <v>31 de enero de 2017</v>
      </c>
      <c r="N30" s="39">
        <f t="shared" si="2"/>
        <v>42736</v>
      </c>
      <c r="O30" s="9" t="str">
        <f t="shared" si="3"/>
        <v>17.000,00</v>
      </c>
      <c r="P30" s="8" t="str">
        <f t="shared" si="4"/>
        <v>Diecisiete Mil Bolívares con 00/100</v>
      </c>
      <c r="Q30" s="403" t="str">
        <f t="shared" si="5"/>
        <v/>
      </c>
    </row>
    <row r="31" spans="1:17" x14ac:dyDescent="0.25">
      <c r="A31" s="1">
        <f t="shared" si="6"/>
        <v>30</v>
      </c>
      <c r="C31" s="12" t="s">
        <v>17</v>
      </c>
      <c r="D31" s="2">
        <v>42766</v>
      </c>
      <c r="E31" s="3">
        <v>7960</v>
      </c>
      <c r="F31" t="s">
        <v>118</v>
      </c>
      <c r="G31" t="s">
        <v>119</v>
      </c>
      <c r="H31" t="s">
        <v>120</v>
      </c>
      <c r="I31" s="10" t="s">
        <v>51</v>
      </c>
      <c r="J31" s="167" t="s">
        <v>22</v>
      </c>
      <c r="K31" s="20" t="s">
        <v>121</v>
      </c>
      <c r="L31" s="9" t="str">
        <f t="shared" si="0"/>
        <v>00030</v>
      </c>
      <c r="M31" s="71" t="str">
        <f t="shared" si="1"/>
        <v>31 de enero de 2017</v>
      </c>
      <c r="N31" s="39">
        <f t="shared" si="2"/>
        <v>42736</v>
      </c>
      <c r="O31" s="9" t="str">
        <f t="shared" si="3"/>
        <v>7.960,00</v>
      </c>
      <c r="P31" s="8" t="str">
        <f t="shared" si="4"/>
        <v>Siete Mil Novecientos Sesenta Bolívares con 00/100</v>
      </c>
      <c r="Q31" s="403" t="str">
        <f t="shared" si="5"/>
        <v/>
      </c>
    </row>
    <row r="32" spans="1:17" x14ac:dyDescent="0.25">
      <c r="A32" s="1">
        <f t="shared" si="6"/>
        <v>31</v>
      </c>
      <c r="C32" s="12" t="s">
        <v>17</v>
      </c>
      <c r="D32" s="2">
        <v>42767</v>
      </c>
      <c r="E32" s="3">
        <v>17000</v>
      </c>
      <c r="F32" t="s">
        <v>122</v>
      </c>
      <c r="G32" t="s">
        <v>123</v>
      </c>
      <c r="H32" t="s">
        <v>124</v>
      </c>
      <c r="I32" s="10" t="s">
        <v>60</v>
      </c>
      <c r="J32" s="167" t="s">
        <v>22</v>
      </c>
      <c r="K32" s="20" t="s">
        <v>125</v>
      </c>
      <c r="L32" s="9" t="str">
        <f t="shared" si="0"/>
        <v>00031</v>
      </c>
      <c r="M32" s="71" t="str">
        <f t="shared" si="1"/>
        <v>01 de febrero de 2017</v>
      </c>
      <c r="N32" s="39">
        <f t="shared" si="2"/>
        <v>42767</v>
      </c>
      <c r="O32" s="9" t="str">
        <f t="shared" si="3"/>
        <v>17.000,00</v>
      </c>
      <c r="P32" s="8" t="str">
        <f t="shared" si="4"/>
        <v>Diecisiete Mil Bolívares con 00/100</v>
      </c>
      <c r="Q32" s="403" t="str">
        <f t="shared" si="5"/>
        <v/>
      </c>
    </row>
    <row r="33" spans="1:17" x14ac:dyDescent="0.25">
      <c r="A33" s="1">
        <f t="shared" si="6"/>
        <v>32</v>
      </c>
      <c r="C33" s="12" t="s">
        <v>17</v>
      </c>
      <c r="D33" s="2">
        <v>42767</v>
      </c>
      <c r="E33" s="3">
        <v>17000</v>
      </c>
      <c r="F33" t="s">
        <v>126</v>
      </c>
      <c r="G33" t="s">
        <v>127</v>
      </c>
      <c r="H33" t="s">
        <v>128</v>
      </c>
      <c r="I33" s="10" t="s">
        <v>60</v>
      </c>
      <c r="J33" s="167" t="s">
        <v>22</v>
      </c>
      <c r="K33" s="20" t="s">
        <v>129</v>
      </c>
      <c r="L33" s="9" t="str">
        <f t="shared" si="0"/>
        <v>00032</v>
      </c>
      <c r="M33" s="71" t="str">
        <f t="shared" si="1"/>
        <v>01 de febrero de 2017</v>
      </c>
      <c r="N33" s="39">
        <f t="shared" si="2"/>
        <v>42767</v>
      </c>
      <c r="O33" s="9" t="str">
        <f t="shared" si="3"/>
        <v>17.000,00</v>
      </c>
      <c r="P33" s="8" t="str">
        <f t="shared" si="4"/>
        <v>Diecisiete Mil Bolívares con 00/100</v>
      </c>
      <c r="Q33" s="403" t="str">
        <f t="shared" si="5"/>
        <v/>
      </c>
    </row>
    <row r="34" spans="1:17" x14ac:dyDescent="0.25">
      <c r="A34" s="1">
        <f t="shared" si="6"/>
        <v>33</v>
      </c>
      <c r="C34" s="12" t="s">
        <v>17</v>
      </c>
      <c r="D34" s="2">
        <v>42767</v>
      </c>
      <c r="E34" s="3">
        <v>10500</v>
      </c>
      <c r="F34" t="s">
        <v>130</v>
      </c>
      <c r="G34" t="s">
        <v>131</v>
      </c>
      <c r="H34" t="s">
        <v>132</v>
      </c>
      <c r="I34" s="10" t="s">
        <v>51</v>
      </c>
      <c r="J34" s="167" t="s">
        <v>22</v>
      </c>
      <c r="K34" s="20" t="s">
        <v>133</v>
      </c>
      <c r="L34" s="9" t="str">
        <f t="shared" si="0"/>
        <v>00033</v>
      </c>
      <c r="M34" s="71" t="str">
        <f t="shared" si="1"/>
        <v>01 de febrero de 2017</v>
      </c>
      <c r="N34" s="39">
        <f t="shared" si="2"/>
        <v>42767</v>
      </c>
      <c r="O34" s="9" t="str">
        <f t="shared" si="3"/>
        <v>10.500,00</v>
      </c>
      <c r="P34" s="8" t="str">
        <f t="shared" si="4"/>
        <v>Diez Mil Quinientos Bolívares con 00/100</v>
      </c>
      <c r="Q34" s="403" t="str">
        <f t="shared" si="5"/>
        <v/>
      </c>
    </row>
    <row r="35" spans="1:17" x14ac:dyDescent="0.25">
      <c r="A35" s="1">
        <f t="shared" si="6"/>
        <v>34</v>
      </c>
      <c r="C35" s="12" t="s">
        <v>17</v>
      </c>
      <c r="D35" s="2">
        <v>42768</v>
      </c>
      <c r="E35" s="3">
        <v>17000</v>
      </c>
      <c r="F35" t="s">
        <v>134</v>
      </c>
      <c r="G35" t="s">
        <v>135</v>
      </c>
      <c r="H35" t="s">
        <v>136</v>
      </c>
      <c r="I35" s="10" t="s">
        <v>60</v>
      </c>
      <c r="J35" s="167" t="s">
        <v>22</v>
      </c>
      <c r="K35" s="20" t="s">
        <v>137</v>
      </c>
      <c r="L35" s="9" t="str">
        <f t="shared" si="0"/>
        <v>00034</v>
      </c>
      <c r="M35" s="71" t="str">
        <f t="shared" si="1"/>
        <v>02 de febrero de 2017</v>
      </c>
      <c r="N35" s="39">
        <f t="shared" si="2"/>
        <v>42767</v>
      </c>
      <c r="O35" s="9" t="str">
        <f t="shared" si="3"/>
        <v>17.000,00</v>
      </c>
      <c r="P35" s="8" t="str">
        <f t="shared" si="4"/>
        <v>Diecisiete Mil Bolívares con 00/100</v>
      </c>
      <c r="Q35" s="403" t="str">
        <f t="shared" si="5"/>
        <v/>
      </c>
    </row>
    <row r="36" spans="1:17" x14ac:dyDescent="0.25">
      <c r="A36" s="1">
        <f t="shared" si="6"/>
        <v>35</v>
      </c>
      <c r="C36" s="12" t="s">
        <v>17</v>
      </c>
      <c r="D36" s="2">
        <v>42768</v>
      </c>
      <c r="E36" s="3">
        <v>17000</v>
      </c>
      <c r="F36" t="s">
        <v>138</v>
      </c>
      <c r="G36" t="s">
        <v>139</v>
      </c>
      <c r="H36" t="s">
        <v>140</v>
      </c>
      <c r="I36" s="10" t="s">
        <v>60</v>
      </c>
      <c r="J36" s="167" t="s">
        <v>22</v>
      </c>
      <c r="K36" s="20" t="s">
        <v>141</v>
      </c>
      <c r="L36" s="9" t="str">
        <f t="shared" si="0"/>
        <v>00035</v>
      </c>
      <c r="M36" s="71" t="str">
        <f t="shared" si="1"/>
        <v>02 de febrero de 2017</v>
      </c>
      <c r="N36" s="39">
        <f t="shared" si="2"/>
        <v>42767</v>
      </c>
      <c r="O36" s="9" t="str">
        <f t="shared" si="3"/>
        <v>17.000,00</v>
      </c>
      <c r="P36" s="8" t="str">
        <f t="shared" si="4"/>
        <v>Diecisiete Mil Bolívares con 00/100</v>
      </c>
      <c r="Q36" s="403" t="str">
        <f t="shared" si="5"/>
        <v/>
      </c>
    </row>
    <row r="37" spans="1:17" x14ac:dyDescent="0.25">
      <c r="A37" s="1">
        <f t="shared" si="6"/>
        <v>36</v>
      </c>
      <c r="C37" s="12" t="s">
        <v>17</v>
      </c>
      <c r="D37" s="2">
        <v>42768</v>
      </c>
      <c r="E37" s="3">
        <v>17000</v>
      </c>
      <c r="F37" t="s">
        <v>44</v>
      </c>
      <c r="G37" t="s">
        <v>45</v>
      </c>
      <c r="H37" t="s">
        <v>46</v>
      </c>
      <c r="I37" s="10" t="s">
        <v>142</v>
      </c>
      <c r="J37" s="167" t="s">
        <v>22</v>
      </c>
      <c r="K37" s="20" t="s">
        <v>143</v>
      </c>
      <c r="L37" s="9" t="str">
        <f t="shared" si="0"/>
        <v>00036</v>
      </c>
      <c r="M37" s="71" t="str">
        <f t="shared" si="1"/>
        <v>02 de febrero de 2017</v>
      </c>
      <c r="N37" s="39">
        <f t="shared" si="2"/>
        <v>42767</v>
      </c>
      <c r="O37" s="9" t="str">
        <f t="shared" si="3"/>
        <v>17.000,00</v>
      </c>
      <c r="P37" s="8" t="str">
        <f t="shared" si="4"/>
        <v>Diecisiete Mil Bolívares con 00/100</v>
      </c>
      <c r="Q37" s="403" t="str">
        <f t="shared" si="5"/>
        <v/>
      </c>
    </row>
    <row r="38" spans="1:17" x14ac:dyDescent="0.25">
      <c r="A38" s="1">
        <f t="shared" si="6"/>
        <v>37</v>
      </c>
      <c r="C38" s="12" t="s">
        <v>17</v>
      </c>
      <c r="D38" s="2">
        <v>42768</v>
      </c>
      <c r="E38" s="3">
        <v>3000</v>
      </c>
      <c r="F38" t="s">
        <v>144</v>
      </c>
      <c r="G38" t="s">
        <v>145</v>
      </c>
      <c r="H38" t="s">
        <v>146</v>
      </c>
      <c r="I38" s="10" t="s">
        <v>51</v>
      </c>
      <c r="J38" s="167" t="s">
        <v>22</v>
      </c>
      <c r="K38" s="20" t="s">
        <v>147</v>
      </c>
      <c r="L38" s="9" t="str">
        <f t="shared" si="0"/>
        <v>00037</v>
      </c>
      <c r="M38" s="71" t="str">
        <f t="shared" si="1"/>
        <v>02 de febrero de 2017</v>
      </c>
      <c r="N38" s="39">
        <f t="shared" si="2"/>
        <v>42767</v>
      </c>
      <c r="O38" s="9" t="str">
        <f t="shared" si="3"/>
        <v>3.000,00</v>
      </c>
      <c r="P38" s="8" t="str">
        <f t="shared" si="4"/>
        <v>Tres Mil Bolívares con 00/100</v>
      </c>
      <c r="Q38" s="403" t="str">
        <f t="shared" si="5"/>
        <v/>
      </c>
    </row>
    <row r="39" spans="1:17" x14ac:dyDescent="0.25">
      <c r="A39" s="1">
        <f t="shared" si="6"/>
        <v>38</v>
      </c>
      <c r="C39" s="12" t="s">
        <v>17</v>
      </c>
      <c r="D39" s="2">
        <v>42769</v>
      </c>
      <c r="E39" s="3">
        <v>17000</v>
      </c>
      <c r="F39" t="s">
        <v>148</v>
      </c>
      <c r="G39" t="s">
        <v>149</v>
      </c>
      <c r="H39" t="s">
        <v>150</v>
      </c>
      <c r="I39" s="10" t="s">
        <v>60</v>
      </c>
      <c r="J39" s="167" t="s">
        <v>22</v>
      </c>
      <c r="K39" s="20" t="s">
        <v>151</v>
      </c>
      <c r="L39" s="9" t="str">
        <f t="shared" si="0"/>
        <v>00038</v>
      </c>
      <c r="M39" s="71" t="str">
        <f t="shared" si="1"/>
        <v>03 de febrero de 2017</v>
      </c>
      <c r="N39" s="39">
        <f t="shared" si="2"/>
        <v>42767</v>
      </c>
      <c r="O39" s="9" t="str">
        <f t="shared" si="3"/>
        <v>17.000,00</v>
      </c>
      <c r="P39" s="8" t="str">
        <f t="shared" si="4"/>
        <v>Diecisiete Mil Bolívares con 00/100</v>
      </c>
      <c r="Q39" s="403" t="str">
        <f t="shared" si="5"/>
        <v/>
      </c>
    </row>
    <row r="40" spans="1:17" x14ac:dyDescent="0.25">
      <c r="A40" s="1">
        <f t="shared" si="6"/>
        <v>39</v>
      </c>
      <c r="C40" s="12" t="s">
        <v>17</v>
      </c>
      <c r="D40" s="2">
        <v>42769</v>
      </c>
      <c r="E40" s="3">
        <v>17000</v>
      </c>
      <c r="F40" t="s">
        <v>152</v>
      </c>
      <c r="G40" t="s">
        <v>153</v>
      </c>
      <c r="H40" t="s">
        <v>154</v>
      </c>
      <c r="I40" s="10" t="s">
        <v>60</v>
      </c>
      <c r="J40" s="167" t="s">
        <v>22</v>
      </c>
      <c r="K40" s="20" t="s">
        <v>155</v>
      </c>
      <c r="L40" s="9" t="str">
        <f t="shared" si="0"/>
        <v>00039</v>
      </c>
      <c r="M40" s="71" t="str">
        <f t="shared" si="1"/>
        <v>03 de febrero de 2017</v>
      </c>
      <c r="N40" s="39">
        <f t="shared" si="2"/>
        <v>42767</v>
      </c>
      <c r="O40" s="9" t="str">
        <f t="shared" si="3"/>
        <v>17.000,00</v>
      </c>
      <c r="P40" s="8" t="str">
        <f t="shared" si="4"/>
        <v>Diecisiete Mil Bolívares con 00/100</v>
      </c>
      <c r="Q40" s="403" t="str">
        <f t="shared" si="5"/>
        <v/>
      </c>
    </row>
    <row r="41" spans="1:17" x14ac:dyDescent="0.25">
      <c r="A41" s="1">
        <f t="shared" si="6"/>
        <v>40</v>
      </c>
      <c r="C41" s="12" t="s">
        <v>17</v>
      </c>
      <c r="D41" s="2">
        <v>42770</v>
      </c>
      <c r="E41" s="3">
        <f>17000-7488</f>
        <v>9512</v>
      </c>
      <c r="F41" t="s">
        <v>36</v>
      </c>
      <c r="G41" t="s">
        <v>37</v>
      </c>
      <c r="H41" t="s">
        <v>38</v>
      </c>
      <c r="I41" s="10" t="s">
        <v>156</v>
      </c>
      <c r="J41" s="167" t="s">
        <v>22</v>
      </c>
      <c r="K41" s="20" t="s">
        <v>157</v>
      </c>
      <c r="L41" s="9" t="str">
        <f t="shared" si="0"/>
        <v>00040</v>
      </c>
      <c r="M41" s="71" t="str">
        <f t="shared" si="1"/>
        <v>04 de febrero de 2017</v>
      </c>
      <c r="N41" s="39">
        <f t="shared" si="2"/>
        <v>42767</v>
      </c>
      <c r="O41" s="9" t="str">
        <f t="shared" si="3"/>
        <v>9.512,00</v>
      </c>
      <c r="P41" s="8" t="str">
        <f t="shared" si="4"/>
        <v>Nueve Mil Quinientos Doce Bolívares con 00/100</v>
      </c>
      <c r="Q41" s="403" t="str">
        <f t="shared" si="5"/>
        <v/>
      </c>
    </row>
    <row r="42" spans="1:17" x14ac:dyDescent="0.25">
      <c r="A42" s="1">
        <f t="shared" si="6"/>
        <v>41</v>
      </c>
      <c r="C42" s="12" t="s">
        <v>17</v>
      </c>
      <c r="D42" s="2">
        <v>42771</v>
      </c>
      <c r="E42" s="3">
        <v>5000</v>
      </c>
      <c r="F42" t="s">
        <v>48</v>
      </c>
      <c r="G42" t="s">
        <v>49</v>
      </c>
      <c r="H42" t="s">
        <v>50</v>
      </c>
      <c r="I42" s="10" t="s">
        <v>158</v>
      </c>
      <c r="J42" s="167" t="s">
        <v>22</v>
      </c>
      <c r="K42" s="20" t="s">
        <v>159</v>
      </c>
      <c r="L42" s="9" t="str">
        <f t="shared" si="0"/>
        <v>00041</v>
      </c>
      <c r="M42" s="71" t="str">
        <f t="shared" si="1"/>
        <v>05 de febrero de 2017</v>
      </c>
      <c r="N42" s="39">
        <f t="shared" si="2"/>
        <v>42767</v>
      </c>
      <c r="O42" s="9" t="str">
        <f t="shared" si="3"/>
        <v>5.000,00</v>
      </c>
      <c r="P42" s="8" t="str">
        <f t="shared" si="4"/>
        <v>Cinco Mil Bolívares con 00/100</v>
      </c>
      <c r="Q42" s="403" t="str">
        <f t="shared" si="5"/>
        <v/>
      </c>
    </row>
    <row r="43" spans="1:17" x14ac:dyDescent="0.25">
      <c r="A43" s="1">
        <f t="shared" si="6"/>
        <v>42</v>
      </c>
      <c r="C43" s="12" t="s">
        <v>17</v>
      </c>
      <c r="D43" s="2">
        <v>42771</v>
      </c>
      <c r="E43" s="3">
        <v>4000</v>
      </c>
      <c r="F43" t="s">
        <v>84</v>
      </c>
      <c r="G43" t="s">
        <v>85</v>
      </c>
      <c r="H43" t="s">
        <v>86</v>
      </c>
      <c r="I43" s="10" t="s">
        <v>51</v>
      </c>
      <c r="J43" s="167" t="s">
        <v>22</v>
      </c>
      <c r="K43" s="20" t="s">
        <v>160</v>
      </c>
      <c r="L43" s="9" t="str">
        <f t="shared" si="0"/>
        <v>00042</v>
      </c>
      <c r="M43" s="71" t="str">
        <f t="shared" si="1"/>
        <v>05 de febrero de 2017</v>
      </c>
      <c r="N43" s="39">
        <f t="shared" si="2"/>
        <v>42767</v>
      </c>
      <c r="O43" s="9" t="str">
        <f t="shared" si="3"/>
        <v>4.000,00</v>
      </c>
      <c r="P43" s="8" t="str">
        <f t="shared" si="4"/>
        <v>Cuatro Mil Bolívares con 00/100</v>
      </c>
      <c r="Q43" s="403" t="str">
        <f t="shared" si="5"/>
        <v/>
      </c>
    </row>
    <row r="44" spans="1:17" x14ac:dyDescent="0.25">
      <c r="A44" s="1">
        <f t="shared" si="6"/>
        <v>43</v>
      </c>
      <c r="C44" s="12" t="s">
        <v>17</v>
      </c>
      <c r="D44" s="2">
        <v>42773</v>
      </c>
      <c r="E44" s="3">
        <v>17000</v>
      </c>
      <c r="F44" t="s">
        <v>24</v>
      </c>
      <c r="G44" t="s">
        <v>25</v>
      </c>
      <c r="H44" t="s">
        <v>26</v>
      </c>
      <c r="I44" s="10" t="s">
        <v>142</v>
      </c>
      <c r="J44" s="167" t="s">
        <v>22</v>
      </c>
      <c r="K44" s="20" t="s">
        <v>161</v>
      </c>
      <c r="L44" s="9" t="str">
        <f t="shared" si="0"/>
        <v>00043</v>
      </c>
      <c r="M44" s="71" t="str">
        <f t="shared" si="1"/>
        <v>07 de febrero de 2017</v>
      </c>
      <c r="N44" s="39">
        <f t="shared" si="2"/>
        <v>42767</v>
      </c>
      <c r="O44" s="9" t="str">
        <f t="shared" si="3"/>
        <v>17.000,00</v>
      </c>
      <c r="P44" s="8" t="str">
        <f t="shared" si="4"/>
        <v>Diecisiete Mil Bolívares con 00/100</v>
      </c>
      <c r="Q44" s="403" t="str">
        <f t="shared" si="5"/>
        <v/>
      </c>
    </row>
    <row r="45" spans="1:17" x14ac:dyDescent="0.25">
      <c r="A45" s="1">
        <f t="shared" si="6"/>
        <v>44</v>
      </c>
      <c r="C45" s="12" t="s">
        <v>17</v>
      </c>
      <c r="D45" s="2">
        <v>42774</v>
      </c>
      <c r="E45" s="3">
        <v>17000</v>
      </c>
      <c r="F45" t="s">
        <v>162</v>
      </c>
      <c r="G45" t="s">
        <v>163</v>
      </c>
      <c r="H45" t="s">
        <v>164</v>
      </c>
      <c r="I45" s="10" t="s">
        <v>60</v>
      </c>
      <c r="J45" s="167" t="s">
        <v>22</v>
      </c>
      <c r="K45" s="20" t="s">
        <v>165</v>
      </c>
      <c r="L45" s="9" t="str">
        <f t="shared" si="0"/>
        <v>00044</v>
      </c>
      <c r="M45" s="71" t="str">
        <f t="shared" si="1"/>
        <v>08 de febrero de 2017</v>
      </c>
      <c r="N45" s="39">
        <f t="shared" si="2"/>
        <v>42767</v>
      </c>
      <c r="O45" s="9" t="str">
        <f t="shared" si="3"/>
        <v>17.000,00</v>
      </c>
      <c r="P45" s="8" t="str">
        <f t="shared" si="4"/>
        <v>Diecisiete Mil Bolívares con 00/100</v>
      </c>
      <c r="Q45" s="403" t="str">
        <f t="shared" si="5"/>
        <v/>
      </c>
    </row>
    <row r="46" spans="1:17" x14ac:dyDescent="0.25">
      <c r="A46" s="1">
        <f t="shared" si="6"/>
        <v>45</v>
      </c>
      <c r="C46" s="12" t="s">
        <v>17</v>
      </c>
      <c r="D46" s="2">
        <v>42774</v>
      </c>
      <c r="E46" s="3">
        <v>12000</v>
      </c>
      <c r="F46" t="s">
        <v>162</v>
      </c>
      <c r="G46" t="s">
        <v>163</v>
      </c>
      <c r="H46" t="s">
        <v>164</v>
      </c>
      <c r="I46" s="10" t="s">
        <v>112</v>
      </c>
      <c r="J46" s="167" t="s">
        <v>22</v>
      </c>
      <c r="K46" s="20" t="s">
        <v>166</v>
      </c>
      <c r="L46" s="9" t="str">
        <f t="shared" si="0"/>
        <v>00045</v>
      </c>
      <c r="M46" s="71" t="str">
        <f t="shared" si="1"/>
        <v>08 de febrero de 2017</v>
      </c>
      <c r="N46" s="39">
        <f t="shared" si="2"/>
        <v>42767</v>
      </c>
      <c r="O46" s="9" t="str">
        <f t="shared" si="3"/>
        <v>12.000,00</v>
      </c>
      <c r="P46" s="8" t="str">
        <f t="shared" si="4"/>
        <v>Doce Mil Bolívares con 00/100</v>
      </c>
      <c r="Q46" s="403" t="str">
        <f t="shared" si="5"/>
        <v/>
      </c>
    </row>
    <row r="47" spans="1:17" ht="15.75" thickBot="1" x14ac:dyDescent="0.3">
      <c r="A47" s="1">
        <f t="shared" si="6"/>
        <v>46</v>
      </c>
      <c r="C47" s="12" t="s">
        <v>17</v>
      </c>
      <c r="D47" s="2">
        <v>42774</v>
      </c>
      <c r="E47" s="3">
        <v>17000</v>
      </c>
      <c r="F47" t="s">
        <v>167</v>
      </c>
      <c r="G47" t="s">
        <v>168</v>
      </c>
      <c r="H47" t="s">
        <v>169</v>
      </c>
      <c r="I47" s="10" t="s">
        <v>60</v>
      </c>
      <c r="J47" s="167" t="s">
        <v>22</v>
      </c>
      <c r="K47" s="20" t="s">
        <v>170</v>
      </c>
      <c r="L47" s="9" t="str">
        <f t="shared" si="0"/>
        <v>00046</v>
      </c>
      <c r="M47" s="71" t="str">
        <f t="shared" si="1"/>
        <v>08 de febrero de 2017</v>
      </c>
      <c r="N47" s="39">
        <f t="shared" si="2"/>
        <v>42767</v>
      </c>
      <c r="O47" s="9" t="str">
        <f t="shared" si="3"/>
        <v>17.000,00</v>
      </c>
      <c r="P47" s="8" t="str">
        <f t="shared" si="4"/>
        <v>Diecisiete Mil Bolívares con 00/100</v>
      </c>
      <c r="Q47" s="403" t="str">
        <f t="shared" si="5"/>
        <v/>
      </c>
    </row>
    <row r="48" spans="1:17" ht="15.75" thickBot="1" x14ac:dyDescent="0.3">
      <c r="A48" s="1">
        <f t="shared" si="6"/>
        <v>47</v>
      </c>
      <c r="C48" s="12" t="s">
        <v>17</v>
      </c>
      <c r="D48" s="2">
        <v>42774</v>
      </c>
      <c r="E48" s="3">
        <v>2000</v>
      </c>
      <c r="F48" t="s">
        <v>171</v>
      </c>
      <c r="G48" s="27" t="s">
        <v>58</v>
      </c>
      <c r="H48" t="s">
        <v>172</v>
      </c>
      <c r="I48" s="10" t="s">
        <v>51</v>
      </c>
      <c r="J48" s="167" t="s">
        <v>22</v>
      </c>
      <c r="K48" s="20" t="s">
        <v>173</v>
      </c>
      <c r="L48" s="9" t="str">
        <f t="shared" si="0"/>
        <v>00047</v>
      </c>
      <c r="M48" s="71" t="str">
        <f t="shared" si="1"/>
        <v>08 de febrero de 2017</v>
      </c>
      <c r="N48" s="39">
        <f t="shared" si="2"/>
        <v>42767</v>
      </c>
      <c r="O48" s="9" t="str">
        <f t="shared" si="3"/>
        <v>2.000,00</v>
      </c>
      <c r="P48" s="8" t="str">
        <f t="shared" si="4"/>
        <v>Dos Mil Bolívares con 00/100</v>
      </c>
      <c r="Q48" s="403" t="str">
        <f t="shared" si="5"/>
        <v/>
      </c>
    </row>
    <row r="49" spans="1:17" x14ac:dyDescent="0.25">
      <c r="A49" s="1">
        <f t="shared" si="6"/>
        <v>48</v>
      </c>
      <c r="C49" s="12" t="s">
        <v>17</v>
      </c>
      <c r="D49" s="2">
        <v>42774</v>
      </c>
      <c r="E49" s="3">
        <v>3000</v>
      </c>
      <c r="F49" t="s">
        <v>144</v>
      </c>
      <c r="G49" t="s">
        <v>145</v>
      </c>
      <c r="H49" t="s">
        <v>146</v>
      </c>
      <c r="I49" s="10" t="s">
        <v>158</v>
      </c>
      <c r="J49" s="167" t="s">
        <v>22</v>
      </c>
      <c r="K49" s="20" t="s">
        <v>174</v>
      </c>
      <c r="L49" s="9" t="str">
        <f t="shared" si="0"/>
        <v>00048</v>
      </c>
      <c r="M49" s="71" t="str">
        <f t="shared" si="1"/>
        <v>08 de febrero de 2017</v>
      </c>
      <c r="N49" s="39">
        <f t="shared" si="2"/>
        <v>42767</v>
      </c>
      <c r="O49" s="9" t="str">
        <f t="shared" si="3"/>
        <v>3.000,00</v>
      </c>
      <c r="P49" s="8" t="str">
        <f t="shared" si="4"/>
        <v>Tres Mil Bolívares con 00/100</v>
      </c>
      <c r="Q49" s="403" t="str">
        <f t="shared" si="5"/>
        <v/>
      </c>
    </row>
    <row r="50" spans="1:17" ht="15.75" thickBot="1" x14ac:dyDescent="0.3">
      <c r="A50" s="1">
        <f t="shared" si="6"/>
        <v>49</v>
      </c>
      <c r="C50" s="12" t="s">
        <v>17</v>
      </c>
      <c r="D50" s="2">
        <v>42774</v>
      </c>
      <c r="E50" s="3">
        <v>17000</v>
      </c>
      <c r="F50" t="s">
        <v>90</v>
      </c>
      <c r="G50" t="s">
        <v>91</v>
      </c>
      <c r="H50" t="s">
        <v>92</v>
      </c>
      <c r="I50" s="10" t="s">
        <v>142</v>
      </c>
      <c r="J50" s="167" t="s">
        <v>22</v>
      </c>
      <c r="K50" s="20" t="s">
        <v>175</v>
      </c>
      <c r="L50" s="9" t="str">
        <f t="shared" si="0"/>
        <v>00049</v>
      </c>
      <c r="M50" s="71" t="str">
        <f t="shared" si="1"/>
        <v>08 de febrero de 2017</v>
      </c>
      <c r="N50" s="39">
        <f t="shared" si="2"/>
        <v>42767</v>
      </c>
      <c r="O50" s="9" t="str">
        <f t="shared" si="3"/>
        <v>17.000,00</v>
      </c>
      <c r="P50" s="8" t="str">
        <f t="shared" si="4"/>
        <v>Diecisiete Mil Bolívares con 00/100</v>
      </c>
      <c r="Q50" s="403" t="str">
        <f t="shared" si="5"/>
        <v/>
      </c>
    </row>
    <row r="51" spans="1:17" ht="15.75" thickBot="1" x14ac:dyDescent="0.3">
      <c r="A51" s="1">
        <f t="shared" si="6"/>
        <v>50</v>
      </c>
      <c r="C51" s="12" t="s">
        <v>17</v>
      </c>
      <c r="D51" s="2">
        <v>42775</v>
      </c>
      <c r="E51" s="3">
        <v>4500</v>
      </c>
      <c r="F51" t="s">
        <v>74</v>
      </c>
      <c r="G51" s="27" t="s">
        <v>58</v>
      </c>
      <c r="H51" t="s">
        <v>75</v>
      </c>
      <c r="I51" s="10" t="s">
        <v>158</v>
      </c>
      <c r="J51" s="167" t="s">
        <v>22</v>
      </c>
      <c r="K51" s="20" t="s">
        <v>176</v>
      </c>
      <c r="L51" s="9" t="str">
        <f t="shared" si="0"/>
        <v>00050</v>
      </c>
      <c r="M51" s="71" t="str">
        <f t="shared" si="1"/>
        <v>09 de febrero de 2017</v>
      </c>
      <c r="N51" s="39">
        <f t="shared" si="2"/>
        <v>42767</v>
      </c>
      <c r="O51" s="9" t="str">
        <f t="shared" si="3"/>
        <v>4.500,00</v>
      </c>
      <c r="P51" s="8" t="str">
        <f t="shared" si="4"/>
        <v>Cuatro Mil Quinientos Bolívares con 00/100</v>
      </c>
      <c r="Q51" s="403" t="str">
        <f t="shared" si="5"/>
        <v/>
      </c>
    </row>
    <row r="52" spans="1:17" x14ac:dyDescent="0.25">
      <c r="A52" s="1">
        <f t="shared" si="6"/>
        <v>51</v>
      </c>
      <c r="C52" s="12" t="s">
        <v>17</v>
      </c>
      <c r="D52" s="2">
        <v>42775</v>
      </c>
      <c r="E52" s="3">
        <v>10500</v>
      </c>
      <c r="F52" t="s">
        <v>177</v>
      </c>
      <c r="G52" t="s">
        <v>178</v>
      </c>
      <c r="H52" t="s">
        <v>179</v>
      </c>
      <c r="I52" s="10" t="s">
        <v>51</v>
      </c>
      <c r="J52" s="167" t="s">
        <v>22</v>
      </c>
      <c r="K52" s="20" t="s">
        <v>180</v>
      </c>
      <c r="L52" s="9" t="str">
        <f t="shared" si="0"/>
        <v>00051</v>
      </c>
      <c r="M52" s="71" t="str">
        <f t="shared" si="1"/>
        <v>09 de febrero de 2017</v>
      </c>
      <c r="N52" s="39">
        <f t="shared" si="2"/>
        <v>42767</v>
      </c>
      <c r="O52" s="9" t="str">
        <f t="shared" si="3"/>
        <v>10.500,00</v>
      </c>
      <c r="P52" s="8" t="str">
        <f t="shared" si="4"/>
        <v>Diez Mil Quinientos Bolívares con 00/100</v>
      </c>
      <c r="Q52" s="403" t="str">
        <f t="shared" si="5"/>
        <v/>
      </c>
    </row>
    <row r="53" spans="1:17" x14ac:dyDescent="0.25">
      <c r="A53" s="1">
        <f t="shared" si="6"/>
        <v>52</v>
      </c>
      <c r="C53" s="12" t="s">
        <v>17</v>
      </c>
      <c r="D53" s="2">
        <v>42775</v>
      </c>
      <c r="E53" s="3">
        <v>10000</v>
      </c>
      <c r="F53" t="s">
        <v>181</v>
      </c>
      <c r="G53" t="s">
        <v>182</v>
      </c>
      <c r="H53" t="s">
        <v>183</v>
      </c>
      <c r="I53" s="10" t="s">
        <v>51</v>
      </c>
      <c r="J53" s="167" t="s">
        <v>22</v>
      </c>
      <c r="K53" s="20" t="s">
        <v>184</v>
      </c>
      <c r="L53" s="9" t="str">
        <f t="shared" si="0"/>
        <v>00052</v>
      </c>
      <c r="M53" s="71" t="str">
        <f t="shared" si="1"/>
        <v>09 de febrero de 2017</v>
      </c>
      <c r="N53" s="39">
        <f t="shared" si="2"/>
        <v>42767</v>
      </c>
      <c r="O53" s="9" t="str">
        <f t="shared" si="3"/>
        <v>10.000,00</v>
      </c>
      <c r="P53" s="8" t="str">
        <f t="shared" si="4"/>
        <v>Diez Mil Bolívares con 00/100</v>
      </c>
      <c r="Q53" s="403" t="str">
        <f t="shared" si="5"/>
        <v/>
      </c>
    </row>
    <row r="54" spans="1:17" x14ac:dyDescent="0.25">
      <c r="A54" s="1">
        <f t="shared" si="6"/>
        <v>53</v>
      </c>
      <c r="C54" s="12" t="s">
        <v>17</v>
      </c>
      <c r="D54" s="2">
        <v>42777</v>
      </c>
      <c r="E54" s="3">
        <v>17000</v>
      </c>
      <c r="F54" t="s">
        <v>185</v>
      </c>
      <c r="G54" t="s">
        <v>186</v>
      </c>
      <c r="H54" t="s">
        <v>187</v>
      </c>
      <c r="I54" s="10" t="s">
        <v>60</v>
      </c>
      <c r="J54" s="167" t="s">
        <v>22</v>
      </c>
      <c r="K54" s="20" t="s">
        <v>188</v>
      </c>
      <c r="L54" s="9" t="str">
        <f t="shared" si="0"/>
        <v>00053</v>
      </c>
      <c r="M54" s="71" t="str">
        <f t="shared" si="1"/>
        <v>11 de febrero de 2017</v>
      </c>
      <c r="N54" s="39">
        <f t="shared" si="2"/>
        <v>42767</v>
      </c>
      <c r="O54" s="9" t="str">
        <f t="shared" si="3"/>
        <v>17.000,00</v>
      </c>
      <c r="P54" s="8" t="str">
        <f t="shared" si="4"/>
        <v>Diecisiete Mil Bolívares con 00/100</v>
      </c>
      <c r="Q54" s="403" t="str">
        <f t="shared" si="5"/>
        <v/>
      </c>
    </row>
    <row r="55" spans="1:17" x14ac:dyDescent="0.25">
      <c r="A55" s="1">
        <f t="shared" si="6"/>
        <v>54</v>
      </c>
      <c r="C55" s="12" t="s">
        <v>17</v>
      </c>
      <c r="D55" s="2">
        <v>42778</v>
      </c>
      <c r="E55" s="3">
        <v>17000</v>
      </c>
      <c r="F55" t="s">
        <v>80</v>
      </c>
      <c r="G55" t="s">
        <v>81</v>
      </c>
      <c r="H55" t="s">
        <v>82</v>
      </c>
      <c r="I55" s="10" t="s">
        <v>142</v>
      </c>
      <c r="J55" s="167" t="s">
        <v>22</v>
      </c>
      <c r="K55" s="20" t="s">
        <v>189</v>
      </c>
      <c r="L55" s="9" t="str">
        <f t="shared" si="0"/>
        <v>00054</v>
      </c>
      <c r="M55" s="71" t="str">
        <f t="shared" si="1"/>
        <v>12 de febrero de 2017</v>
      </c>
      <c r="N55" s="39">
        <f t="shared" si="2"/>
        <v>42767</v>
      </c>
      <c r="O55" s="9" t="str">
        <f t="shared" si="3"/>
        <v>17.000,00</v>
      </c>
      <c r="P55" s="8" t="str">
        <f t="shared" si="4"/>
        <v>Diecisiete Mil Bolívares con 00/100</v>
      </c>
      <c r="Q55" s="403" t="str">
        <f t="shared" si="5"/>
        <v/>
      </c>
    </row>
    <row r="56" spans="1:17" x14ac:dyDescent="0.25">
      <c r="A56" s="1">
        <f t="shared" si="6"/>
        <v>55</v>
      </c>
      <c r="C56" s="12" t="s">
        <v>17</v>
      </c>
      <c r="D56" s="2">
        <v>42778</v>
      </c>
      <c r="E56" s="3">
        <v>17000</v>
      </c>
      <c r="F56" t="s">
        <v>66</v>
      </c>
      <c r="G56" t="s">
        <v>67</v>
      </c>
      <c r="H56" t="s">
        <v>68</v>
      </c>
      <c r="I56" s="10" t="s">
        <v>142</v>
      </c>
      <c r="J56" s="167" t="s">
        <v>22</v>
      </c>
      <c r="K56" s="20" t="s">
        <v>190</v>
      </c>
      <c r="L56" s="9" t="str">
        <f t="shared" si="0"/>
        <v>00055</v>
      </c>
      <c r="M56" s="71" t="str">
        <f t="shared" si="1"/>
        <v>12 de febrero de 2017</v>
      </c>
      <c r="N56" s="39">
        <f t="shared" si="2"/>
        <v>42767</v>
      </c>
      <c r="O56" s="9" t="str">
        <f t="shared" si="3"/>
        <v>17.000,00</v>
      </c>
      <c r="P56" s="8" t="str">
        <f t="shared" si="4"/>
        <v>Diecisiete Mil Bolívares con 00/100</v>
      </c>
      <c r="Q56" s="403" t="str">
        <f t="shared" si="5"/>
        <v/>
      </c>
    </row>
    <row r="57" spans="1:17" x14ac:dyDescent="0.25">
      <c r="A57" s="1">
        <f t="shared" si="6"/>
        <v>56</v>
      </c>
      <c r="C57" s="12" t="s">
        <v>17</v>
      </c>
      <c r="D57" s="2">
        <v>42778</v>
      </c>
      <c r="E57" s="3">
        <v>2040</v>
      </c>
      <c r="F57" t="s">
        <v>118</v>
      </c>
      <c r="G57" t="s">
        <v>119</v>
      </c>
      <c r="H57" t="s">
        <v>120</v>
      </c>
      <c r="I57" s="10" t="s">
        <v>51</v>
      </c>
      <c r="J57" s="167" t="s">
        <v>22</v>
      </c>
      <c r="K57" s="20" t="s">
        <v>191</v>
      </c>
      <c r="L57" s="9" t="str">
        <f t="shared" si="0"/>
        <v>00056</v>
      </c>
      <c r="M57" s="71" t="str">
        <f t="shared" si="1"/>
        <v>12 de febrero de 2017</v>
      </c>
      <c r="N57" s="39">
        <f t="shared" si="2"/>
        <v>42767</v>
      </c>
      <c r="O57" s="9" t="str">
        <f t="shared" si="3"/>
        <v>2.040,00</v>
      </c>
      <c r="P57" s="8" t="str">
        <f t="shared" si="4"/>
        <v>Dos Mil Cuarenta Bolívares con 00/100</v>
      </c>
      <c r="Q57" s="403" t="str">
        <f t="shared" si="5"/>
        <v/>
      </c>
    </row>
    <row r="58" spans="1:17" x14ac:dyDescent="0.25">
      <c r="A58" s="1">
        <f t="shared" si="6"/>
        <v>57</v>
      </c>
      <c r="C58" s="12" t="s">
        <v>17</v>
      </c>
      <c r="D58" s="2">
        <v>42779</v>
      </c>
      <c r="E58" s="3">
        <v>10000</v>
      </c>
      <c r="F58" t="s">
        <v>84</v>
      </c>
      <c r="G58" t="s">
        <v>85</v>
      </c>
      <c r="H58" t="s">
        <v>86</v>
      </c>
      <c r="I58" s="10" t="s">
        <v>158</v>
      </c>
      <c r="J58" s="167" t="s">
        <v>22</v>
      </c>
      <c r="K58" s="20" t="s">
        <v>192</v>
      </c>
      <c r="L58" s="9" t="str">
        <f t="shared" si="0"/>
        <v>00057</v>
      </c>
      <c r="M58" s="71" t="str">
        <f t="shared" si="1"/>
        <v>13 de febrero de 2017</v>
      </c>
      <c r="N58" s="39">
        <f t="shared" si="2"/>
        <v>42767</v>
      </c>
      <c r="O58" s="9" t="str">
        <f t="shared" si="3"/>
        <v>10.000,00</v>
      </c>
      <c r="P58" s="8" t="str">
        <f t="shared" si="4"/>
        <v>Diez Mil Bolívares con 00/100</v>
      </c>
      <c r="Q58" s="403" t="str">
        <f t="shared" si="5"/>
        <v/>
      </c>
    </row>
    <row r="59" spans="1:17" x14ac:dyDescent="0.25">
      <c r="A59" s="1">
        <f t="shared" si="6"/>
        <v>58</v>
      </c>
      <c r="C59" s="12" t="s">
        <v>17</v>
      </c>
      <c r="D59" s="2">
        <v>42780</v>
      </c>
      <c r="E59" s="3">
        <v>17000</v>
      </c>
      <c r="F59" t="s">
        <v>138</v>
      </c>
      <c r="G59" t="s">
        <v>139</v>
      </c>
      <c r="H59" t="s">
        <v>140</v>
      </c>
      <c r="I59" s="10" t="s">
        <v>142</v>
      </c>
      <c r="J59" s="167" t="s">
        <v>22</v>
      </c>
      <c r="K59" s="20" t="s">
        <v>193</v>
      </c>
      <c r="L59" s="9" t="str">
        <f t="shared" si="0"/>
        <v>00058</v>
      </c>
      <c r="M59" s="71" t="str">
        <f t="shared" si="1"/>
        <v>14 de febrero de 2017</v>
      </c>
      <c r="N59" s="39">
        <f t="shared" si="2"/>
        <v>42767</v>
      </c>
      <c r="O59" s="9" t="str">
        <f t="shared" si="3"/>
        <v>17.000,00</v>
      </c>
      <c r="P59" s="8" t="str">
        <f t="shared" si="4"/>
        <v>Diecisiete Mil Bolívares con 00/100</v>
      </c>
      <c r="Q59" s="403" t="str">
        <f t="shared" si="5"/>
        <v/>
      </c>
    </row>
    <row r="60" spans="1:17" x14ac:dyDescent="0.25">
      <c r="A60" s="1">
        <f t="shared" si="6"/>
        <v>59</v>
      </c>
      <c r="C60" s="12" t="s">
        <v>17</v>
      </c>
      <c r="D60" s="2">
        <v>42780</v>
      </c>
      <c r="E60" s="3">
        <v>17000</v>
      </c>
      <c r="F60" t="s">
        <v>103</v>
      </c>
      <c r="G60" t="s">
        <v>104</v>
      </c>
      <c r="H60" t="s">
        <v>105</v>
      </c>
      <c r="I60" s="10" t="s">
        <v>142</v>
      </c>
      <c r="J60" s="167" t="s">
        <v>22</v>
      </c>
      <c r="K60" s="20" t="s">
        <v>194</v>
      </c>
      <c r="L60" s="9" t="str">
        <f t="shared" si="0"/>
        <v>00059</v>
      </c>
      <c r="M60" s="71" t="str">
        <f t="shared" si="1"/>
        <v>14 de febrero de 2017</v>
      </c>
      <c r="N60" s="39">
        <f t="shared" si="2"/>
        <v>42767</v>
      </c>
      <c r="O60" s="9" t="str">
        <f t="shared" si="3"/>
        <v>17.000,00</v>
      </c>
      <c r="P60" s="8" t="str">
        <f t="shared" si="4"/>
        <v>Diecisiete Mil Bolívares con 00/100</v>
      </c>
      <c r="Q60" s="403" t="str">
        <f t="shared" si="5"/>
        <v/>
      </c>
    </row>
    <row r="61" spans="1:17" x14ac:dyDescent="0.25">
      <c r="A61" s="1">
        <f t="shared" si="6"/>
        <v>60</v>
      </c>
      <c r="C61" s="12" t="s">
        <v>17</v>
      </c>
      <c r="D61" s="2">
        <v>42780</v>
      </c>
      <c r="E61" s="3">
        <v>34000</v>
      </c>
      <c r="F61" t="s">
        <v>18</v>
      </c>
      <c r="G61" t="s">
        <v>19</v>
      </c>
      <c r="H61" t="s">
        <v>20</v>
      </c>
      <c r="I61" s="10" t="s">
        <v>195</v>
      </c>
      <c r="J61" s="167" t="s">
        <v>22</v>
      </c>
      <c r="K61" s="20" t="s">
        <v>196</v>
      </c>
      <c r="L61" s="9" t="str">
        <f t="shared" si="0"/>
        <v>00060</v>
      </c>
      <c r="M61" s="71" t="str">
        <f t="shared" si="1"/>
        <v>14 de febrero de 2017</v>
      </c>
      <c r="N61" s="39">
        <f t="shared" si="2"/>
        <v>42767</v>
      </c>
      <c r="O61" s="9" t="str">
        <f t="shared" si="3"/>
        <v>34.000,00</v>
      </c>
      <c r="P61" s="8" t="str">
        <f t="shared" si="4"/>
        <v>Treinta y Cuatro Mil Bolívares con 00/100</v>
      </c>
      <c r="Q61" s="403" t="str">
        <f t="shared" si="5"/>
        <v/>
      </c>
    </row>
    <row r="62" spans="1:17" x14ac:dyDescent="0.25">
      <c r="A62" s="1">
        <f t="shared" si="6"/>
        <v>61</v>
      </c>
      <c r="C62" s="12" t="s">
        <v>17</v>
      </c>
      <c r="D62" s="2">
        <v>42780</v>
      </c>
      <c r="E62" s="3">
        <v>17000</v>
      </c>
      <c r="F62" t="s">
        <v>197</v>
      </c>
      <c r="G62" t="s">
        <v>198</v>
      </c>
      <c r="H62" t="s">
        <v>199</v>
      </c>
      <c r="I62" s="10" t="s">
        <v>60</v>
      </c>
      <c r="J62" s="167" t="s">
        <v>22</v>
      </c>
      <c r="K62" s="20" t="s">
        <v>200</v>
      </c>
      <c r="L62" s="9" t="str">
        <f t="shared" si="0"/>
        <v>00061</v>
      </c>
      <c r="M62" s="71" t="str">
        <f t="shared" si="1"/>
        <v>14 de febrero de 2017</v>
      </c>
      <c r="N62" s="39">
        <f t="shared" si="2"/>
        <v>42767</v>
      </c>
      <c r="O62" s="9" t="str">
        <f t="shared" si="3"/>
        <v>17.000,00</v>
      </c>
      <c r="P62" s="8" t="str">
        <f t="shared" si="4"/>
        <v>Diecisiete Mil Bolívares con 00/100</v>
      </c>
      <c r="Q62" s="403" t="str">
        <f t="shared" si="5"/>
        <v/>
      </c>
    </row>
    <row r="63" spans="1:17" x14ac:dyDescent="0.25">
      <c r="A63" s="1">
        <f t="shared" si="6"/>
        <v>62</v>
      </c>
      <c r="C63" s="12" t="s">
        <v>17</v>
      </c>
      <c r="D63" s="2">
        <v>42780</v>
      </c>
      <c r="E63" s="3">
        <v>17000</v>
      </c>
      <c r="F63" t="s">
        <v>201</v>
      </c>
      <c r="G63" t="s">
        <v>202</v>
      </c>
      <c r="H63" t="s">
        <v>203</v>
      </c>
      <c r="I63" s="10" t="s">
        <v>60</v>
      </c>
      <c r="J63" s="167" t="s">
        <v>22</v>
      </c>
      <c r="K63" s="20" t="s">
        <v>204</v>
      </c>
      <c r="L63" s="9" t="str">
        <f t="shared" si="0"/>
        <v>00062</v>
      </c>
      <c r="M63" s="71" t="str">
        <f t="shared" si="1"/>
        <v>14 de febrero de 2017</v>
      </c>
      <c r="N63" s="39">
        <f t="shared" si="2"/>
        <v>42767</v>
      </c>
      <c r="O63" s="9" t="str">
        <f t="shared" si="3"/>
        <v>17.000,00</v>
      </c>
      <c r="P63" s="8" t="str">
        <f t="shared" si="4"/>
        <v>Diecisiete Mil Bolívares con 00/100</v>
      </c>
      <c r="Q63" s="403" t="str">
        <f t="shared" si="5"/>
        <v/>
      </c>
    </row>
    <row r="64" spans="1:17" x14ac:dyDescent="0.25">
      <c r="A64" s="1">
        <f t="shared" si="6"/>
        <v>63</v>
      </c>
      <c r="C64" s="12" t="s">
        <v>17</v>
      </c>
      <c r="D64" s="2">
        <v>42780</v>
      </c>
      <c r="E64" s="3">
        <v>17000</v>
      </c>
      <c r="F64" t="s">
        <v>114</v>
      </c>
      <c r="G64" t="s">
        <v>115</v>
      </c>
      <c r="H64" t="s">
        <v>116</v>
      </c>
      <c r="I64" s="10" t="s">
        <v>142</v>
      </c>
      <c r="J64" s="167" t="s">
        <v>22</v>
      </c>
      <c r="K64" s="20" t="s">
        <v>205</v>
      </c>
      <c r="L64" s="9" t="str">
        <f t="shared" si="0"/>
        <v>00063</v>
      </c>
      <c r="M64" s="71" t="str">
        <f t="shared" si="1"/>
        <v>14 de febrero de 2017</v>
      </c>
      <c r="N64" s="39">
        <f t="shared" si="2"/>
        <v>42767</v>
      </c>
      <c r="O64" s="9" t="str">
        <f t="shared" si="3"/>
        <v>17.000,00</v>
      </c>
      <c r="P64" s="8" t="str">
        <f t="shared" si="4"/>
        <v>Diecisiete Mil Bolívares con 00/100</v>
      </c>
      <c r="Q64" s="403" t="str">
        <f t="shared" si="5"/>
        <v/>
      </c>
    </row>
    <row r="65" spans="1:17" x14ac:dyDescent="0.25">
      <c r="A65" s="1">
        <f t="shared" si="6"/>
        <v>64</v>
      </c>
      <c r="C65" s="12" t="s">
        <v>17</v>
      </c>
      <c r="D65" s="2">
        <v>42781</v>
      </c>
      <c r="E65" s="3">
        <v>17000</v>
      </c>
      <c r="F65" t="s">
        <v>206</v>
      </c>
      <c r="G65" t="s">
        <v>207</v>
      </c>
      <c r="H65" t="s">
        <v>208</v>
      </c>
      <c r="I65" s="10" t="s">
        <v>60</v>
      </c>
      <c r="J65" s="167" t="s">
        <v>22</v>
      </c>
      <c r="K65" s="20" t="s">
        <v>209</v>
      </c>
      <c r="L65" s="9" t="str">
        <f t="shared" si="0"/>
        <v>00064</v>
      </c>
      <c r="M65" s="71" t="str">
        <f t="shared" si="1"/>
        <v>15 de febrero de 2017</v>
      </c>
      <c r="N65" s="39">
        <f t="shared" si="2"/>
        <v>42767</v>
      </c>
      <c r="O65" s="9" t="str">
        <f t="shared" si="3"/>
        <v>17.000,00</v>
      </c>
      <c r="P65" s="8" t="str">
        <f t="shared" si="4"/>
        <v>Diecisiete Mil Bolívares con 00/100</v>
      </c>
      <c r="Q65" s="403" t="str">
        <f t="shared" si="5"/>
        <v/>
      </c>
    </row>
    <row r="66" spans="1:17" x14ac:dyDescent="0.25">
      <c r="A66" s="1">
        <f t="shared" si="6"/>
        <v>65</v>
      </c>
      <c r="C66" s="12" t="s">
        <v>17</v>
      </c>
      <c r="D66" s="2">
        <v>42781</v>
      </c>
      <c r="E66" s="3">
        <v>17000</v>
      </c>
      <c r="F66" t="s">
        <v>62</v>
      </c>
      <c r="G66" t="s">
        <v>63</v>
      </c>
      <c r="H66" t="s">
        <v>64</v>
      </c>
      <c r="I66" s="10" t="s">
        <v>142</v>
      </c>
      <c r="J66" s="167" t="s">
        <v>22</v>
      </c>
      <c r="K66" s="20" t="s">
        <v>210</v>
      </c>
      <c r="L66" s="9" t="str">
        <f t="shared" ref="L66:L129" si="7">IF(ISBLANK(A66),"",TEXT(A66,"00000"))</f>
        <v>00065</v>
      </c>
      <c r="M66" s="71" t="str">
        <f t="shared" ref="M66:M129" si="8">IF(ISBLANK(D66),"",TEXT(D66,"dd")&amp;" de "&amp;TEXT(D66,"mmmm")&amp;" de "&amp;TEXT(YEAR(D66),"0"))</f>
        <v>15 de febrero de 2017</v>
      </c>
      <c r="N66" s="39">
        <f t="shared" ref="N66:N129" si="9">DATE(YEAR(D66),MONTH(D66),1)</f>
        <v>42767</v>
      </c>
      <c r="O66" s="9" t="str">
        <f t="shared" ref="O66:O129" si="10">TEXT(E66,"#.##0,00")</f>
        <v>17.000,00</v>
      </c>
      <c r="P66" s="8" t="str">
        <f t="shared" ref="P66:P129" si="11">CONVERTIRNUM(E66)</f>
        <v>Diecisiete Mil Bolívares con 00/100</v>
      </c>
      <c r="Q66" s="403" t="str">
        <f t="shared" si="5"/>
        <v/>
      </c>
    </row>
    <row r="67" spans="1:17" x14ac:dyDescent="0.25">
      <c r="A67" s="1">
        <f t="shared" si="6"/>
        <v>66</v>
      </c>
      <c r="C67" s="12" t="s">
        <v>17</v>
      </c>
      <c r="D67" s="2">
        <v>42781</v>
      </c>
      <c r="E67" s="3">
        <v>17000</v>
      </c>
      <c r="F67" t="s">
        <v>211</v>
      </c>
      <c r="G67" t="s">
        <v>212</v>
      </c>
      <c r="H67" t="s">
        <v>213</v>
      </c>
      <c r="I67" s="10" t="s">
        <v>60</v>
      </c>
      <c r="J67" s="167" t="s">
        <v>22</v>
      </c>
      <c r="K67" s="20" t="s">
        <v>214</v>
      </c>
      <c r="L67" s="9" t="str">
        <f t="shared" si="7"/>
        <v>00066</v>
      </c>
      <c r="M67" s="71" t="str">
        <f t="shared" si="8"/>
        <v>15 de febrero de 2017</v>
      </c>
      <c r="N67" s="39">
        <f t="shared" si="9"/>
        <v>42767</v>
      </c>
      <c r="O67" s="9" t="str">
        <f t="shared" si="10"/>
        <v>17.000,00</v>
      </c>
      <c r="P67" s="8" t="str">
        <f t="shared" si="11"/>
        <v>Diecisiete Mil Bolívares con 00/100</v>
      </c>
      <c r="Q67" s="403" t="str">
        <f t="shared" ref="Q67:Q130" si="12">IF(C67="û","Anulado","")</f>
        <v/>
      </c>
    </row>
    <row r="68" spans="1:17" x14ac:dyDescent="0.25">
      <c r="A68" s="1">
        <f t="shared" ref="A68:A131" si="13">A67+1</f>
        <v>67</v>
      </c>
      <c r="C68" s="12" t="s">
        <v>17</v>
      </c>
      <c r="D68" s="2">
        <v>42781</v>
      </c>
      <c r="E68" s="3">
        <v>17000</v>
      </c>
      <c r="F68" t="s">
        <v>215</v>
      </c>
      <c r="G68" t="s">
        <v>216</v>
      </c>
      <c r="H68" t="s">
        <v>217</v>
      </c>
      <c r="I68" s="10" t="s">
        <v>60</v>
      </c>
      <c r="J68" s="167" t="s">
        <v>22</v>
      </c>
      <c r="K68" s="20" t="s">
        <v>218</v>
      </c>
      <c r="L68" s="9" t="str">
        <f t="shared" si="7"/>
        <v>00067</v>
      </c>
      <c r="M68" s="71" t="str">
        <f t="shared" si="8"/>
        <v>15 de febrero de 2017</v>
      </c>
      <c r="N68" s="39">
        <f t="shared" si="9"/>
        <v>42767</v>
      </c>
      <c r="O68" s="9" t="str">
        <f t="shared" si="10"/>
        <v>17.000,00</v>
      </c>
      <c r="P68" s="8" t="str">
        <f t="shared" si="11"/>
        <v>Diecisiete Mil Bolívares con 00/100</v>
      </c>
      <c r="Q68" s="403" t="str">
        <f t="shared" si="12"/>
        <v/>
      </c>
    </row>
    <row r="69" spans="1:17" x14ac:dyDescent="0.25">
      <c r="A69" s="1">
        <f t="shared" si="13"/>
        <v>68</v>
      </c>
      <c r="C69" s="12" t="s">
        <v>17</v>
      </c>
      <c r="D69" s="2">
        <v>42781</v>
      </c>
      <c r="E69" s="3">
        <f>17000*2</f>
        <v>34000</v>
      </c>
      <c r="F69" t="s">
        <v>219</v>
      </c>
      <c r="G69" t="s">
        <v>220</v>
      </c>
      <c r="H69" t="s">
        <v>221</v>
      </c>
      <c r="I69" s="10" t="s">
        <v>222</v>
      </c>
      <c r="J69" s="167" t="s">
        <v>22</v>
      </c>
      <c r="K69" s="20" t="s">
        <v>223</v>
      </c>
      <c r="L69" s="9" t="str">
        <f t="shared" si="7"/>
        <v>00068</v>
      </c>
      <c r="M69" s="71" t="str">
        <f t="shared" si="8"/>
        <v>15 de febrero de 2017</v>
      </c>
      <c r="N69" s="39">
        <f t="shared" si="9"/>
        <v>42767</v>
      </c>
      <c r="O69" s="9" t="str">
        <f t="shared" si="10"/>
        <v>34.000,00</v>
      </c>
      <c r="P69" s="8" t="str">
        <f t="shared" si="11"/>
        <v>Treinta y Cuatro Mil Bolívares con 00/100</v>
      </c>
      <c r="Q69" s="403" t="str">
        <f t="shared" si="12"/>
        <v/>
      </c>
    </row>
    <row r="70" spans="1:17" x14ac:dyDescent="0.25">
      <c r="A70" s="1">
        <f t="shared" si="13"/>
        <v>69</v>
      </c>
      <c r="C70" s="12" t="s">
        <v>17</v>
      </c>
      <c r="D70" s="2">
        <v>42781</v>
      </c>
      <c r="E70" s="3">
        <f>7760+2240</f>
        <v>10000</v>
      </c>
      <c r="F70" t="s">
        <v>118</v>
      </c>
      <c r="G70" t="s">
        <v>119</v>
      </c>
      <c r="H70" t="s">
        <v>120</v>
      </c>
      <c r="I70" s="10" t="s">
        <v>158</v>
      </c>
      <c r="J70" s="167" t="s">
        <v>22</v>
      </c>
      <c r="K70" s="20" t="s">
        <v>224</v>
      </c>
      <c r="L70" s="9" t="str">
        <f t="shared" si="7"/>
        <v>00069</v>
      </c>
      <c r="M70" s="71" t="str">
        <f t="shared" si="8"/>
        <v>15 de febrero de 2017</v>
      </c>
      <c r="N70" s="39">
        <f t="shared" si="9"/>
        <v>42767</v>
      </c>
      <c r="O70" s="9" t="str">
        <f t="shared" si="10"/>
        <v>10.000,00</v>
      </c>
      <c r="P70" s="8" t="str">
        <f t="shared" si="11"/>
        <v>Diez Mil Bolívares con 00/100</v>
      </c>
      <c r="Q70" s="403" t="str">
        <f t="shared" si="12"/>
        <v/>
      </c>
    </row>
    <row r="71" spans="1:17" x14ac:dyDescent="0.25">
      <c r="A71" s="1">
        <f t="shared" si="13"/>
        <v>70</v>
      </c>
      <c r="B71" s="398"/>
      <c r="C71" s="21" t="s">
        <v>225</v>
      </c>
      <c r="D71" s="26">
        <v>42782</v>
      </c>
      <c r="E71" s="22">
        <v>170000</v>
      </c>
      <c r="F71" s="23" t="s">
        <v>18</v>
      </c>
      <c r="G71" s="23" t="s">
        <v>19</v>
      </c>
      <c r="H71" s="23" t="s">
        <v>20</v>
      </c>
      <c r="I71" s="24" t="s">
        <v>226</v>
      </c>
      <c r="J71" s="168" t="s">
        <v>227</v>
      </c>
      <c r="K71" s="25" t="s">
        <v>228</v>
      </c>
      <c r="L71" s="9" t="str">
        <f t="shared" si="7"/>
        <v>00070</v>
      </c>
      <c r="M71" s="71" t="str">
        <f t="shared" si="8"/>
        <v>16 de febrero de 2017</v>
      </c>
      <c r="N71" s="39">
        <f t="shared" si="9"/>
        <v>42767</v>
      </c>
      <c r="O71" s="9" t="str">
        <f t="shared" si="10"/>
        <v>170.000,00</v>
      </c>
      <c r="P71" s="8" t="str">
        <f t="shared" si="11"/>
        <v>Ciento Setenta Mil Bolívares con 00/100</v>
      </c>
      <c r="Q71" s="403" t="str">
        <f t="shared" si="12"/>
        <v>Anulado</v>
      </c>
    </row>
    <row r="72" spans="1:17" x14ac:dyDescent="0.25">
      <c r="A72" s="1">
        <f t="shared" si="13"/>
        <v>71</v>
      </c>
      <c r="C72" s="12" t="s">
        <v>17</v>
      </c>
      <c r="D72" s="2">
        <v>42782</v>
      </c>
      <c r="E72" s="3">
        <v>17000</v>
      </c>
      <c r="F72" t="s">
        <v>148</v>
      </c>
      <c r="G72" t="s">
        <v>149</v>
      </c>
      <c r="H72" t="s">
        <v>150</v>
      </c>
      <c r="I72" s="10" t="s">
        <v>142</v>
      </c>
      <c r="J72" s="167" t="s">
        <v>22</v>
      </c>
      <c r="K72" s="20" t="s">
        <v>229</v>
      </c>
      <c r="L72" s="9" t="str">
        <f t="shared" si="7"/>
        <v>00071</v>
      </c>
      <c r="M72" s="71" t="str">
        <f t="shared" si="8"/>
        <v>16 de febrero de 2017</v>
      </c>
      <c r="N72" s="39">
        <f t="shared" si="9"/>
        <v>42767</v>
      </c>
      <c r="O72" s="9" t="str">
        <f t="shared" si="10"/>
        <v>17.000,00</v>
      </c>
      <c r="P72" s="8" t="str">
        <f t="shared" si="11"/>
        <v>Diecisiete Mil Bolívares con 00/100</v>
      </c>
      <c r="Q72" s="403" t="str">
        <f t="shared" si="12"/>
        <v/>
      </c>
    </row>
    <row r="73" spans="1:17" x14ac:dyDescent="0.25">
      <c r="A73" s="1">
        <f t="shared" si="13"/>
        <v>72</v>
      </c>
      <c r="C73" s="12" t="s">
        <v>17</v>
      </c>
      <c r="D73" s="2">
        <v>42782</v>
      </c>
      <c r="E73" s="3">
        <v>17000</v>
      </c>
      <c r="F73" t="s">
        <v>230</v>
      </c>
      <c r="G73" t="s">
        <v>231</v>
      </c>
      <c r="H73" t="s">
        <v>232</v>
      </c>
      <c r="I73" s="10" t="s">
        <v>60</v>
      </c>
      <c r="J73" s="167" t="s">
        <v>22</v>
      </c>
      <c r="K73" s="20" t="s">
        <v>233</v>
      </c>
      <c r="L73" s="9" t="str">
        <f t="shared" si="7"/>
        <v>00072</v>
      </c>
      <c r="M73" s="71" t="str">
        <f t="shared" si="8"/>
        <v>16 de febrero de 2017</v>
      </c>
      <c r="N73" s="39">
        <f t="shared" si="9"/>
        <v>42767</v>
      </c>
      <c r="O73" s="9" t="str">
        <f t="shared" si="10"/>
        <v>17.000,00</v>
      </c>
      <c r="P73" s="8" t="str">
        <f t="shared" si="11"/>
        <v>Diecisiete Mil Bolívares con 00/100</v>
      </c>
      <c r="Q73" s="403" t="str">
        <f t="shared" si="12"/>
        <v/>
      </c>
    </row>
    <row r="74" spans="1:17" x14ac:dyDescent="0.25">
      <c r="A74" s="1">
        <f t="shared" si="13"/>
        <v>73</v>
      </c>
      <c r="C74" s="12" t="s">
        <v>17</v>
      </c>
      <c r="D74" s="2">
        <v>42782</v>
      </c>
      <c r="E74" s="3">
        <v>17000</v>
      </c>
      <c r="F74" t="s">
        <v>107</v>
      </c>
      <c r="G74" t="s">
        <v>108</v>
      </c>
      <c r="H74" t="s">
        <v>109</v>
      </c>
      <c r="I74" s="10" t="s">
        <v>142</v>
      </c>
      <c r="J74" s="167" t="s">
        <v>22</v>
      </c>
      <c r="K74" s="20" t="s">
        <v>234</v>
      </c>
      <c r="L74" s="9" t="str">
        <f t="shared" si="7"/>
        <v>00073</v>
      </c>
      <c r="M74" s="71" t="str">
        <f t="shared" si="8"/>
        <v>16 de febrero de 2017</v>
      </c>
      <c r="N74" s="39">
        <f t="shared" si="9"/>
        <v>42767</v>
      </c>
      <c r="O74" s="9" t="str">
        <f t="shared" si="10"/>
        <v>17.000,00</v>
      </c>
      <c r="P74" s="8" t="str">
        <f t="shared" si="11"/>
        <v>Diecisiete Mil Bolívares con 00/100</v>
      </c>
      <c r="Q74" s="403" t="str">
        <f t="shared" si="12"/>
        <v/>
      </c>
    </row>
    <row r="75" spans="1:17" x14ac:dyDescent="0.25">
      <c r="A75" s="1">
        <f t="shared" si="13"/>
        <v>74</v>
      </c>
      <c r="C75" s="12" t="s">
        <v>17</v>
      </c>
      <c r="D75" s="2">
        <v>42783</v>
      </c>
      <c r="E75" s="3">
        <v>17000</v>
      </c>
      <c r="F75" t="s">
        <v>126</v>
      </c>
      <c r="G75" t="s">
        <v>127</v>
      </c>
      <c r="H75" t="s">
        <v>128</v>
      </c>
      <c r="I75" s="10" t="s">
        <v>142</v>
      </c>
      <c r="J75" s="167" t="s">
        <v>22</v>
      </c>
      <c r="K75" s="20" t="s">
        <v>235</v>
      </c>
      <c r="L75" s="9" t="str">
        <f t="shared" si="7"/>
        <v>00074</v>
      </c>
      <c r="M75" s="71" t="str">
        <f t="shared" si="8"/>
        <v>17 de febrero de 2017</v>
      </c>
      <c r="N75" s="39">
        <f t="shared" si="9"/>
        <v>42767</v>
      </c>
      <c r="O75" s="9" t="str">
        <f t="shared" si="10"/>
        <v>17.000,00</v>
      </c>
      <c r="P75" s="8" t="str">
        <f t="shared" si="11"/>
        <v>Diecisiete Mil Bolívares con 00/100</v>
      </c>
      <c r="Q75" s="403" t="str">
        <f t="shared" si="12"/>
        <v/>
      </c>
    </row>
    <row r="76" spans="1:17" x14ac:dyDescent="0.25">
      <c r="A76" s="1">
        <f t="shared" si="13"/>
        <v>75</v>
      </c>
      <c r="C76" s="12" t="s">
        <v>17</v>
      </c>
      <c r="D76" s="2">
        <v>42783</v>
      </c>
      <c r="E76" s="3">
        <v>17000</v>
      </c>
      <c r="F76" t="s">
        <v>201</v>
      </c>
      <c r="G76" t="s">
        <v>202</v>
      </c>
      <c r="H76" t="s">
        <v>203</v>
      </c>
      <c r="I76" s="10" t="s">
        <v>142</v>
      </c>
      <c r="J76" s="167" t="s">
        <v>22</v>
      </c>
      <c r="K76" s="20" t="s">
        <v>236</v>
      </c>
      <c r="L76" s="9" t="str">
        <f t="shared" si="7"/>
        <v>00075</v>
      </c>
      <c r="M76" s="71" t="str">
        <f t="shared" si="8"/>
        <v>17 de febrero de 2017</v>
      </c>
      <c r="N76" s="39">
        <f t="shared" si="9"/>
        <v>42767</v>
      </c>
      <c r="O76" s="9" t="str">
        <f t="shared" si="10"/>
        <v>17.000,00</v>
      </c>
      <c r="P76" s="8" t="str">
        <f t="shared" si="11"/>
        <v>Diecisiete Mil Bolívares con 00/100</v>
      </c>
      <c r="Q76" s="403" t="str">
        <f t="shared" si="12"/>
        <v/>
      </c>
    </row>
    <row r="77" spans="1:17" x14ac:dyDescent="0.25">
      <c r="A77" s="1">
        <f t="shared" si="13"/>
        <v>76</v>
      </c>
      <c r="C77" s="12" t="s">
        <v>17</v>
      </c>
      <c r="D77" s="2">
        <v>42784</v>
      </c>
      <c r="E77" s="3">
        <v>17000</v>
      </c>
      <c r="F77" t="s">
        <v>70</v>
      </c>
      <c r="G77" t="s">
        <v>71</v>
      </c>
      <c r="H77" t="s">
        <v>72</v>
      </c>
      <c r="I77" s="10" t="s">
        <v>142</v>
      </c>
      <c r="J77" s="167" t="s">
        <v>22</v>
      </c>
      <c r="K77" s="20" t="s">
        <v>237</v>
      </c>
      <c r="L77" s="9" t="str">
        <f t="shared" si="7"/>
        <v>00076</v>
      </c>
      <c r="M77" s="71" t="str">
        <f t="shared" si="8"/>
        <v>18 de febrero de 2017</v>
      </c>
      <c r="N77" s="39">
        <f t="shared" si="9"/>
        <v>42767</v>
      </c>
      <c r="O77" s="9" t="str">
        <f t="shared" si="10"/>
        <v>17.000,00</v>
      </c>
      <c r="P77" s="8" t="str">
        <f t="shared" si="11"/>
        <v>Diecisiete Mil Bolívares con 00/100</v>
      </c>
      <c r="Q77" s="403" t="str">
        <f t="shared" si="12"/>
        <v/>
      </c>
    </row>
    <row r="78" spans="1:17" x14ac:dyDescent="0.25">
      <c r="A78" s="1">
        <f t="shared" si="13"/>
        <v>77</v>
      </c>
      <c r="C78" s="12" t="s">
        <v>17</v>
      </c>
      <c r="D78" s="2">
        <v>42784</v>
      </c>
      <c r="E78" s="3">
        <v>17000</v>
      </c>
      <c r="F78" t="s">
        <v>53</v>
      </c>
      <c r="G78" t="s">
        <v>54</v>
      </c>
      <c r="H78" t="s">
        <v>55</v>
      </c>
      <c r="I78" s="10" t="s">
        <v>142</v>
      </c>
      <c r="J78" s="167" t="s">
        <v>22</v>
      </c>
      <c r="K78" s="20" t="s">
        <v>238</v>
      </c>
      <c r="L78" s="9" t="str">
        <f t="shared" si="7"/>
        <v>00077</v>
      </c>
      <c r="M78" s="71" t="str">
        <f t="shared" si="8"/>
        <v>18 de febrero de 2017</v>
      </c>
      <c r="N78" s="39">
        <f t="shared" si="9"/>
        <v>42767</v>
      </c>
      <c r="O78" s="9" t="str">
        <f t="shared" si="10"/>
        <v>17.000,00</v>
      </c>
      <c r="P78" s="8" t="str">
        <f t="shared" si="11"/>
        <v>Diecisiete Mil Bolívares con 00/100</v>
      </c>
      <c r="Q78" s="403" t="str">
        <f t="shared" si="12"/>
        <v/>
      </c>
    </row>
    <row r="79" spans="1:17" x14ac:dyDescent="0.25">
      <c r="A79" s="1">
        <f t="shared" si="13"/>
        <v>78</v>
      </c>
      <c r="C79" s="12" t="s">
        <v>17</v>
      </c>
      <c r="D79" s="2">
        <v>42784</v>
      </c>
      <c r="E79" s="3">
        <v>14000</v>
      </c>
      <c r="F79" t="s">
        <v>239</v>
      </c>
      <c r="G79" t="s">
        <v>240</v>
      </c>
      <c r="H79" t="s">
        <v>241</v>
      </c>
      <c r="I79" s="10" t="s">
        <v>21</v>
      </c>
      <c r="J79" s="167" t="s">
        <v>22</v>
      </c>
      <c r="K79" s="20" t="s">
        <v>242</v>
      </c>
      <c r="L79" s="9" t="str">
        <f t="shared" si="7"/>
        <v>00078</v>
      </c>
      <c r="M79" s="71" t="str">
        <f t="shared" si="8"/>
        <v>18 de febrero de 2017</v>
      </c>
      <c r="N79" s="39">
        <f t="shared" si="9"/>
        <v>42767</v>
      </c>
      <c r="O79" s="9" t="str">
        <f t="shared" si="10"/>
        <v>14.000,00</v>
      </c>
      <c r="P79" s="8" t="str">
        <f t="shared" si="11"/>
        <v>Catorce Mil Bolívares con 00/100</v>
      </c>
      <c r="Q79" s="403" t="str">
        <f t="shared" si="12"/>
        <v/>
      </c>
    </row>
    <row r="80" spans="1:17" x14ac:dyDescent="0.25">
      <c r="A80" s="1">
        <f t="shared" si="13"/>
        <v>79</v>
      </c>
      <c r="C80" s="12" t="s">
        <v>17</v>
      </c>
      <c r="D80" s="2">
        <v>42784</v>
      </c>
      <c r="E80" s="3">
        <v>10000</v>
      </c>
      <c r="F80" t="s">
        <v>243</v>
      </c>
      <c r="G80" t="s">
        <v>244</v>
      </c>
      <c r="H80" t="s">
        <v>245</v>
      </c>
      <c r="I80" s="10" t="s">
        <v>21</v>
      </c>
      <c r="J80" s="167" t="s">
        <v>22</v>
      </c>
      <c r="K80" s="20" t="s">
        <v>246</v>
      </c>
      <c r="L80" s="9" t="str">
        <f t="shared" si="7"/>
        <v>00079</v>
      </c>
      <c r="M80" s="71" t="str">
        <f t="shared" si="8"/>
        <v>18 de febrero de 2017</v>
      </c>
      <c r="N80" s="39">
        <f t="shared" si="9"/>
        <v>42767</v>
      </c>
      <c r="O80" s="9" t="str">
        <f t="shared" si="10"/>
        <v>10.000,00</v>
      </c>
      <c r="P80" s="8" t="str">
        <f t="shared" si="11"/>
        <v>Diez Mil Bolívares con 00/100</v>
      </c>
      <c r="Q80" s="403" t="str">
        <f t="shared" si="12"/>
        <v/>
      </c>
    </row>
    <row r="81" spans="1:17" x14ac:dyDescent="0.25">
      <c r="A81" s="1">
        <f t="shared" si="13"/>
        <v>80</v>
      </c>
      <c r="C81" s="12" t="s">
        <v>17</v>
      </c>
      <c r="D81" s="2">
        <v>42784</v>
      </c>
      <c r="E81" s="3">
        <v>17000</v>
      </c>
      <c r="F81" t="s">
        <v>152</v>
      </c>
      <c r="G81" t="s">
        <v>153</v>
      </c>
      <c r="H81" t="s">
        <v>154</v>
      </c>
      <c r="I81" s="10" t="s">
        <v>142</v>
      </c>
      <c r="J81" s="167" t="s">
        <v>22</v>
      </c>
      <c r="K81" s="20" t="s">
        <v>247</v>
      </c>
      <c r="L81" s="9" t="str">
        <f t="shared" si="7"/>
        <v>00080</v>
      </c>
      <c r="M81" s="71" t="str">
        <f t="shared" si="8"/>
        <v>18 de febrero de 2017</v>
      </c>
      <c r="N81" s="39">
        <f t="shared" si="9"/>
        <v>42767</v>
      </c>
      <c r="O81" s="9" t="str">
        <f t="shared" si="10"/>
        <v>17.000,00</v>
      </c>
      <c r="P81" s="8" t="str">
        <f t="shared" si="11"/>
        <v>Diecisiete Mil Bolívares con 00/100</v>
      </c>
      <c r="Q81" s="403" t="str">
        <f t="shared" si="12"/>
        <v/>
      </c>
    </row>
    <row r="82" spans="1:17" x14ac:dyDescent="0.25">
      <c r="A82" s="1">
        <f t="shared" si="13"/>
        <v>81</v>
      </c>
      <c r="C82" s="12" t="s">
        <v>17</v>
      </c>
      <c r="D82" s="2">
        <v>42784</v>
      </c>
      <c r="E82" s="3">
        <f>17000*2</f>
        <v>34000</v>
      </c>
      <c r="F82" t="s">
        <v>248</v>
      </c>
      <c r="G82" t="s">
        <v>249</v>
      </c>
      <c r="H82" t="s">
        <v>250</v>
      </c>
      <c r="I82" s="10" t="s">
        <v>222</v>
      </c>
      <c r="J82" s="167" t="s">
        <v>22</v>
      </c>
      <c r="K82" s="20" t="s">
        <v>251</v>
      </c>
      <c r="L82" s="9" t="str">
        <f t="shared" si="7"/>
        <v>00081</v>
      </c>
      <c r="M82" s="71" t="str">
        <f t="shared" si="8"/>
        <v>18 de febrero de 2017</v>
      </c>
      <c r="N82" s="39">
        <f t="shared" si="9"/>
        <v>42767</v>
      </c>
      <c r="O82" s="9" t="str">
        <f t="shared" si="10"/>
        <v>34.000,00</v>
      </c>
      <c r="P82" s="8" t="str">
        <f t="shared" si="11"/>
        <v>Treinta y Cuatro Mil Bolívares con 00/100</v>
      </c>
      <c r="Q82" s="403" t="str">
        <f t="shared" si="12"/>
        <v/>
      </c>
    </row>
    <row r="83" spans="1:17" x14ac:dyDescent="0.25">
      <c r="A83" s="1">
        <f t="shared" si="13"/>
        <v>82</v>
      </c>
      <c r="C83" s="12" t="s">
        <v>17</v>
      </c>
      <c r="D83" s="2">
        <v>42785</v>
      </c>
      <c r="E83" s="3">
        <v>6000</v>
      </c>
      <c r="F83" t="s">
        <v>252</v>
      </c>
      <c r="G83" t="s">
        <v>253</v>
      </c>
      <c r="H83" t="s">
        <v>254</v>
      </c>
      <c r="I83" s="10" t="s">
        <v>158</v>
      </c>
      <c r="J83" s="167" t="s">
        <v>22</v>
      </c>
      <c r="K83" s="20" t="s">
        <v>255</v>
      </c>
      <c r="L83" s="9" t="str">
        <f t="shared" si="7"/>
        <v>00082</v>
      </c>
      <c r="M83" s="71" t="str">
        <f t="shared" si="8"/>
        <v>19 de febrero de 2017</v>
      </c>
      <c r="N83" s="39">
        <f t="shared" si="9"/>
        <v>42767</v>
      </c>
      <c r="O83" s="9" t="str">
        <f t="shared" si="10"/>
        <v>6.000,00</v>
      </c>
      <c r="P83" s="8" t="str">
        <f t="shared" si="11"/>
        <v>Seis Mil Bolívares con 00/100</v>
      </c>
      <c r="Q83" s="403" t="str">
        <f t="shared" si="12"/>
        <v/>
      </c>
    </row>
    <row r="84" spans="1:17" x14ac:dyDescent="0.25">
      <c r="A84" s="1">
        <f t="shared" si="13"/>
        <v>83</v>
      </c>
      <c r="C84" s="12" t="s">
        <v>17</v>
      </c>
      <c r="D84" s="2">
        <v>42786</v>
      </c>
      <c r="E84" s="3">
        <v>2000</v>
      </c>
      <c r="F84" t="s">
        <v>94</v>
      </c>
      <c r="G84" t="s">
        <v>95</v>
      </c>
      <c r="H84" t="s">
        <v>96</v>
      </c>
      <c r="I84" s="10" t="s">
        <v>158</v>
      </c>
      <c r="J84" s="167" t="s">
        <v>22</v>
      </c>
      <c r="K84" s="20" t="s">
        <v>256</v>
      </c>
      <c r="L84" s="9" t="str">
        <f t="shared" si="7"/>
        <v>00083</v>
      </c>
      <c r="M84" s="71" t="str">
        <f t="shared" si="8"/>
        <v>20 de febrero de 2017</v>
      </c>
      <c r="N84" s="39">
        <f t="shared" si="9"/>
        <v>42767</v>
      </c>
      <c r="O84" s="9" t="str">
        <f t="shared" si="10"/>
        <v>2.000,00</v>
      </c>
      <c r="P84" s="8" t="str">
        <f t="shared" si="11"/>
        <v>Dos Mil Bolívares con 00/100</v>
      </c>
      <c r="Q84" s="403" t="str">
        <f t="shared" si="12"/>
        <v/>
      </c>
    </row>
    <row r="85" spans="1:17" x14ac:dyDescent="0.25">
      <c r="A85" s="1">
        <f t="shared" si="13"/>
        <v>84</v>
      </c>
      <c r="C85" s="12" t="s">
        <v>17</v>
      </c>
      <c r="D85" s="2">
        <v>42786</v>
      </c>
      <c r="E85" s="3">
        <v>17000</v>
      </c>
      <c r="F85" t="s">
        <v>230</v>
      </c>
      <c r="G85" t="s">
        <v>231</v>
      </c>
      <c r="H85" t="s">
        <v>232</v>
      </c>
      <c r="I85" s="10" t="s">
        <v>142</v>
      </c>
      <c r="J85" s="167" t="s">
        <v>22</v>
      </c>
      <c r="K85" s="20" t="s">
        <v>257</v>
      </c>
      <c r="L85" s="9" t="str">
        <f t="shared" si="7"/>
        <v>00084</v>
      </c>
      <c r="M85" s="71" t="str">
        <f t="shared" si="8"/>
        <v>20 de febrero de 2017</v>
      </c>
      <c r="N85" s="39">
        <f t="shared" si="9"/>
        <v>42767</v>
      </c>
      <c r="O85" s="9" t="str">
        <f t="shared" si="10"/>
        <v>17.000,00</v>
      </c>
      <c r="P85" s="8" t="str">
        <f t="shared" si="11"/>
        <v>Diecisiete Mil Bolívares con 00/100</v>
      </c>
      <c r="Q85" s="403" t="str">
        <f t="shared" si="12"/>
        <v/>
      </c>
    </row>
    <row r="86" spans="1:17" x14ac:dyDescent="0.25">
      <c r="A86" s="1">
        <f t="shared" si="13"/>
        <v>85</v>
      </c>
      <c r="C86" s="12" t="s">
        <v>17</v>
      </c>
      <c r="D86" s="2">
        <v>42786</v>
      </c>
      <c r="E86" s="3">
        <v>10000</v>
      </c>
      <c r="F86" t="s">
        <v>181</v>
      </c>
      <c r="G86" t="s">
        <v>182</v>
      </c>
      <c r="H86" t="s">
        <v>183</v>
      </c>
      <c r="I86" s="10" t="s">
        <v>158</v>
      </c>
      <c r="J86" s="167" t="s">
        <v>22</v>
      </c>
      <c r="K86" s="20" t="s">
        <v>258</v>
      </c>
      <c r="L86" s="9" t="str">
        <f t="shared" si="7"/>
        <v>00085</v>
      </c>
      <c r="M86" s="71" t="str">
        <f t="shared" si="8"/>
        <v>20 de febrero de 2017</v>
      </c>
      <c r="N86" s="39">
        <f t="shared" si="9"/>
        <v>42767</v>
      </c>
      <c r="O86" s="9" t="str">
        <f t="shared" si="10"/>
        <v>10.000,00</v>
      </c>
      <c r="P86" s="8" t="str">
        <f t="shared" si="11"/>
        <v>Diez Mil Bolívares con 00/100</v>
      </c>
      <c r="Q86" s="403" t="str">
        <f t="shared" si="12"/>
        <v/>
      </c>
    </row>
    <row r="87" spans="1:17" x14ac:dyDescent="0.25">
      <c r="A87" s="1">
        <f t="shared" si="13"/>
        <v>86</v>
      </c>
      <c r="C87" s="12" t="s">
        <v>17</v>
      </c>
      <c r="D87" s="2">
        <v>42786</v>
      </c>
      <c r="E87" s="3">
        <v>17000</v>
      </c>
      <c r="F87" t="s">
        <v>259</v>
      </c>
      <c r="G87" t="s">
        <v>260</v>
      </c>
      <c r="H87" t="s">
        <v>261</v>
      </c>
      <c r="I87" s="10" t="s">
        <v>142</v>
      </c>
      <c r="J87" s="167" t="s">
        <v>22</v>
      </c>
      <c r="K87" s="20" t="s">
        <v>262</v>
      </c>
      <c r="L87" s="9" t="str">
        <f t="shared" si="7"/>
        <v>00086</v>
      </c>
      <c r="M87" s="71" t="str">
        <f t="shared" si="8"/>
        <v>20 de febrero de 2017</v>
      </c>
      <c r="N87" s="39">
        <f t="shared" si="9"/>
        <v>42767</v>
      </c>
      <c r="O87" s="9" t="str">
        <f t="shared" si="10"/>
        <v>17.000,00</v>
      </c>
      <c r="P87" s="8" t="str">
        <f t="shared" si="11"/>
        <v>Diecisiete Mil Bolívares con 00/100</v>
      </c>
      <c r="Q87" s="403" t="str">
        <f t="shared" si="12"/>
        <v/>
      </c>
    </row>
    <row r="88" spans="1:17" x14ac:dyDescent="0.25">
      <c r="A88" s="1">
        <f t="shared" si="13"/>
        <v>87</v>
      </c>
      <c r="C88" s="12" t="s">
        <v>17</v>
      </c>
      <c r="D88" s="2">
        <v>42786</v>
      </c>
      <c r="E88" s="3">
        <v>17000</v>
      </c>
      <c r="F88" t="s">
        <v>100</v>
      </c>
      <c r="G88" t="s">
        <v>95</v>
      </c>
      <c r="H88" t="s">
        <v>101</v>
      </c>
      <c r="I88" s="10" t="s">
        <v>142</v>
      </c>
      <c r="J88" s="167" t="s">
        <v>22</v>
      </c>
      <c r="K88" s="20" t="s">
        <v>263</v>
      </c>
      <c r="L88" s="9" t="str">
        <f t="shared" si="7"/>
        <v>00087</v>
      </c>
      <c r="M88" s="71" t="str">
        <f t="shared" si="8"/>
        <v>20 de febrero de 2017</v>
      </c>
      <c r="N88" s="39">
        <f t="shared" si="9"/>
        <v>42767</v>
      </c>
      <c r="O88" s="9" t="str">
        <f t="shared" si="10"/>
        <v>17.000,00</v>
      </c>
      <c r="P88" s="8" t="str">
        <f t="shared" si="11"/>
        <v>Diecisiete Mil Bolívares con 00/100</v>
      </c>
      <c r="Q88" s="403" t="str">
        <f t="shared" si="12"/>
        <v/>
      </c>
    </row>
    <row r="89" spans="1:17" x14ac:dyDescent="0.25">
      <c r="A89" s="1">
        <f t="shared" si="13"/>
        <v>88</v>
      </c>
      <c r="C89" s="12" t="s">
        <v>17</v>
      </c>
      <c r="D89" s="2">
        <v>42788</v>
      </c>
      <c r="E89" s="3">
        <f>17000*2</f>
        <v>34000</v>
      </c>
      <c r="F89" t="s">
        <v>264</v>
      </c>
      <c r="G89" t="s">
        <v>265</v>
      </c>
      <c r="H89" t="s">
        <v>266</v>
      </c>
      <c r="I89" s="10" t="s">
        <v>222</v>
      </c>
      <c r="J89" s="167" t="s">
        <v>22</v>
      </c>
      <c r="K89" s="20" t="s">
        <v>267</v>
      </c>
      <c r="L89" s="9" t="str">
        <f t="shared" si="7"/>
        <v>00088</v>
      </c>
      <c r="M89" s="71" t="str">
        <f t="shared" si="8"/>
        <v>22 de febrero de 2017</v>
      </c>
      <c r="N89" s="39">
        <f t="shared" si="9"/>
        <v>42767</v>
      </c>
      <c r="O89" s="9" t="str">
        <f t="shared" si="10"/>
        <v>34.000,00</v>
      </c>
      <c r="P89" s="8" t="str">
        <f t="shared" si="11"/>
        <v>Treinta y Cuatro Mil Bolívares con 00/100</v>
      </c>
      <c r="Q89" s="403" t="str">
        <f t="shared" si="12"/>
        <v/>
      </c>
    </row>
    <row r="90" spans="1:17" x14ac:dyDescent="0.25">
      <c r="A90" s="1">
        <f t="shared" si="13"/>
        <v>89</v>
      </c>
      <c r="C90" s="12" t="s">
        <v>17</v>
      </c>
      <c r="D90" s="2">
        <v>42788</v>
      </c>
      <c r="E90" s="3">
        <f>17000*2</f>
        <v>34000</v>
      </c>
      <c r="F90" t="s">
        <v>40</v>
      </c>
      <c r="G90" t="s">
        <v>41</v>
      </c>
      <c r="H90" t="s">
        <v>42</v>
      </c>
      <c r="I90" s="10" t="s">
        <v>195</v>
      </c>
      <c r="J90" s="167" t="s">
        <v>22</v>
      </c>
      <c r="K90" s="20" t="s">
        <v>268</v>
      </c>
      <c r="L90" s="9" t="str">
        <f t="shared" si="7"/>
        <v>00089</v>
      </c>
      <c r="M90" s="71" t="str">
        <f t="shared" si="8"/>
        <v>22 de febrero de 2017</v>
      </c>
      <c r="N90" s="39">
        <f t="shared" si="9"/>
        <v>42767</v>
      </c>
      <c r="O90" s="9" t="str">
        <f t="shared" si="10"/>
        <v>34.000,00</v>
      </c>
      <c r="P90" s="8" t="str">
        <f t="shared" si="11"/>
        <v>Treinta y Cuatro Mil Bolívares con 00/100</v>
      </c>
      <c r="Q90" s="403" t="str">
        <f t="shared" si="12"/>
        <v/>
      </c>
    </row>
    <row r="91" spans="1:17" x14ac:dyDescent="0.25">
      <c r="A91" s="1">
        <f t="shared" si="13"/>
        <v>90</v>
      </c>
      <c r="C91" s="12" t="s">
        <v>17</v>
      </c>
      <c r="D91" s="2">
        <v>42789</v>
      </c>
      <c r="E91" s="3">
        <v>17000</v>
      </c>
      <c r="F91" t="s">
        <v>134</v>
      </c>
      <c r="G91" t="s">
        <v>135</v>
      </c>
      <c r="H91" t="s">
        <v>136</v>
      </c>
      <c r="I91" s="10" t="s">
        <v>142</v>
      </c>
      <c r="J91" s="167" t="s">
        <v>22</v>
      </c>
      <c r="K91" s="20" t="s">
        <v>269</v>
      </c>
      <c r="L91" s="9" t="str">
        <f t="shared" si="7"/>
        <v>00090</v>
      </c>
      <c r="M91" s="71" t="str">
        <f t="shared" si="8"/>
        <v>23 de febrero de 2017</v>
      </c>
      <c r="N91" s="39">
        <f t="shared" si="9"/>
        <v>42767</v>
      </c>
      <c r="O91" s="9" t="str">
        <f t="shared" si="10"/>
        <v>17.000,00</v>
      </c>
      <c r="P91" s="8" t="str">
        <f t="shared" si="11"/>
        <v>Diecisiete Mil Bolívares con 00/100</v>
      </c>
      <c r="Q91" s="403" t="str">
        <f t="shared" si="12"/>
        <v/>
      </c>
    </row>
    <row r="92" spans="1:17" x14ac:dyDescent="0.25">
      <c r="A92" s="1">
        <f t="shared" si="13"/>
        <v>91</v>
      </c>
      <c r="C92" s="12" t="s">
        <v>17</v>
      </c>
      <c r="D92" s="2">
        <v>42789</v>
      </c>
      <c r="E92" s="3">
        <v>10500</v>
      </c>
      <c r="F92" t="s">
        <v>270</v>
      </c>
      <c r="G92" t="s">
        <v>271</v>
      </c>
      <c r="H92" t="s">
        <v>272</v>
      </c>
      <c r="I92" s="10" t="s">
        <v>51</v>
      </c>
      <c r="J92" s="167" t="s">
        <v>22</v>
      </c>
      <c r="K92" s="20" t="s">
        <v>273</v>
      </c>
      <c r="L92" s="9" t="str">
        <f t="shared" si="7"/>
        <v>00091</v>
      </c>
      <c r="M92" s="71" t="str">
        <f t="shared" si="8"/>
        <v>23 de febrero de 2017</v>
      </c>
      <c r="N92" s="39">
        <f t="shared" si="9"/>
        <v>42767</v>
      </c>
      <c r="O92" s="9" t="str">
        <f t="shared" si="10"/>
        <v>10.500,00</v>
      </c>
      <c r="P92" s="8" t="str">
        <f t="shared" si="11"/>
        <v>Diez Mil Quinientos Bolívares con 00/100</v>
      </c>
      <c r="Q92" s="403" t="str">
        <f t="shared" si="12"/>
        <v/>
      </c>
    </row>
    <row r="93" spans="1:17" x14ac:dyDescent="0.25">
      <c r="A93" s="1">
        <f t="shared" si="13"/>
        <v>92</v>
      </c>
      <c r="C93" s="12" t="s">
        <v>17</v>
      </c>
      <c r="D93" s="2">
        <v>42789</v>
      </c>
      <c r="E93" s="3">
        <v>17000</v>
      </c>
      <c r="F93" t="s">
        <v>167</v>
      </c>
      <c r="G93" t="s">
        <v>168</v>
      </c>
      <c r="H93" t="s">
        <v>169</v>
      </c>
      <c r="I93" s="10" t="s">
        <v>142</v>
      </c>
      <c r="J93" s="167" t="s">
        <v>22</v>
      </c>
      <c r="K93" s="20" t="s">
        <v>274</v>
      </c>
      <c r="L93" s="9" t="str">
        <f t="shared" si="7"/>
        <v>00092</v>
      </c>
      <c r="M93" s="71" t="str">
        <f t="shared" si="8"/>
        <v>23 de febrero de 2017</v>
      </c>
      <c r="N93" s="39">
        <f t="shared" si="9"/>
        <v>42767</v>
      </c>
      <c r="O93" s="9" t="str">
        <f t="shared" si="10"/>
        <v>17.000,00</v>
      </c>
      <c r="P93" s="8" t="str">
        <f t="shared" si="11"/>
        <v>Diecisiete Mil Bolívares con 00/100</v>
      </c>
      <c r="Q93" s="403" t="str">
        <f t="shared" si="12"/>
        <v/>
      </c>
    </row>
    <row r="94" spans="1:17" x14ac:dyDescent="0.25">
      <c r="A94" s="1">
        <f t="shared" si="13"/>
        <v>93</v>
      </c>
      <c r="C94" s="12" t="s">
        <v>17</v>
      </c>
      <c r="D94" s="2">
        <v>42790</v>
      </c>
      <c r="E94" s="3">
        <v>20000</v>
      </c>
      <c r="F94" t="s">
        <v>275</v>
      </c>
      <c r="G94" t="s">
        <v>276</v>
      </c>
      <c r="H94" t="s">
        <v>277</v>
      </c>
      <c r="I94" s="10" t="s">
        <v>278</v>
      </c>
      <c r="J94" s="167" t="s">
        <v>22</v>
      </c>
      <c r="K94" s="20" t="s">
        <v>279</v>
      </c>
      <c r="L94" s="9" t="str">
        <f t="shared" si="7"/>
        <v>00093</v>
      </c>
      <c r="M94" s="71" t="str">
        <f t="shared" si="8"/>
        <v>24 de febrero de 2017</v>
      </c>
      <c r="N94" s="39">
        <f t="shared" si="9"/>
        <v>42767</v>
      </c>
      <c r="O94" s="9" t="str">
        <f t="shared" si="10"/>
        <v>20.000,00</v>
      </c>
      <c r="P94" s="8" t="str">
        <f t="shared" si="11"/>
        <v>Veinte Mil Bolívares con 00/100</v>
      </c>
      <c r="Q94" s="403" t="str">
        <f t="shared" si="12"/>
        <v/>
      </c>
    </row>
    <row r="95" spans="1:17" x14ac:dyDescent="0.25">
      <c r="A95" s="1">
        <f t="shared" si="13"/>
        <v>94</v>
      </c>
      <c r="C95" s="12" t="s">
        <v>17</v>
      </c>
      <c r="D95" s="2">
        <v>42790</v>
      </c>
      <c r="E95" s="3">
        <v>16000</v>
      </c>
      <c r="F95" t="s">
        <v>280</v>
      </c>
      <c r="G95" t="s">
        <v>281</v>
      </c>
      <c r="H95" t="s">
        <v>282</v>
      </c>
      <c r="I95" s="10" t="s">
        <v>21</v>
      </c>
      <c r="J95" s="167" t="s">
        <v>22</v>
      </c>
      <c r="K95" s="20" t="s">
        <v>283</v>
      </c>
      <c r="L95" s="9" t="str">
        <f t="shared" si="7"/>
        <v>00094</v>
      </c>
      <c r="M95" s="71" t="str">
        <f t="shared" si="8"/>
        <v>24 de febrero de 2017</v>
      </c>
      <c r="N95" s="39">
        <f t="shared" si="9"/>
        <v>42767</v>
      </c>
      <c r="O95" s="9" t="str">
        <f t="shared" si="10"/>
        <v>16.000,00</v>
      </c>
      <c r="P95" s="8" t="str">
        <f t="shared" si="11"/>
        <v>Dieciséis Mil Bolívares con 00/100</v>
      </c>
      <c r="Q95" s="403" t="str">
        <f t="shared" si="12"/>
        <v/>
      </c>
    </row>
    <row r="96" spans="1:17" x14ac:dyDescent="0.25">
      <c r="A96" s="1">
        <f t="shared" si="13"/>
        <v>95</v>
      </c>
      <c r="C96" s="12" t="s">
        <v>17</v>
      </c>
      <c r="D96" s="2">
        <v>42789</v>
      </c>
      <c r="E96" s="3">
        <v>20000</v>
      </c>
      <c r="F96" t="s">
        <v>284</v>
      </c>
      <c r="G96" t="s">
        <v>276</v>
      </c>
      <c r="H96" t="s">
        <v>285</v>
      </c>
      <c r="I96" s="10" t="s">
        <v>278</v>
      </c>
      <c r="J96" s="167" t="s">
        <v>22</v>
      </c>
      <c r="K96" s="20" t="s">
        <v>286</v>
      </c>
      <c r="L96" s="9" t="str">
        <f t="shared" si="7"/>
        <v>00095</v>
      </c>
      <c r="M96" s="71" t="str">
        <f t="shared" si="8"/>
        <v>23 de febrero de 2017</v>
      </c>
      <c r="N96" s="39">
        <f t="shared" si="9"/>
        <v>42767</v>
      </c>
      <c r="O96" s="9" t="str">
        <f t="shared" si="10"/>
        <v>20.000,00</v>
      </c>
      <c r="P96" s="8" t="str">
        <f t="shared" si="11"/>
        <v>Veinte Mil Bolívares con 00/100</v>
      </c>
      <c r="Q96" s="403" t="str">
        <f t="shared" si="12"/>
        <v/>
      </c>
    </row>
    <row r="97" spans="1:17" x14ac:dyDescent="0.25">
      <c r="A97" s="1">
        <f t="shared" si="13"/>
        <v>96</v>
      </c>
      <c r="C97" s="12" t="s">
        <v>17</v>
      </c>
      <c r="D97" s="2">
        <v>42790</v>
      </c>
      <c r="E97" s="3">
        <f>17000*2</f>
        <v>34000</v>
      </c>
      <c r="F97" t="s">
        <v>287</v>
      </c>
      <c r="G97" t="s">
        <v>288</v>
      </c>
      <c r="H97" t="s">
        <v>289</v>
      </c>
      <c r="I97" s="10" t="s">
        <v>222</v>
      </c>
      <c r="J97" s="167" t="s">
        <v>22</v>
      </c>
      <c r="K97" s="20" t="s">
        <v>290</v>
      </c>
      <c r="L97" s="9" t="str">
        <f t="shared" si="7"/>
        <v>00096</v>
      </c>
      <c r="M97" s="71" t="str">
        <f t="shared" si="8"/>
        <v>24 de febrero de 2017</v>
      </c>
      <c r="N97" s="39">
        <f t="shared" si="9"/>
        <v>42767</v>
      </c>
      <c r="O97" s="9" t="str">
        <f t="shared" si="10"/>
        <v>34.000,00</v>
      </c>
      <c r="P97" s="8" t="str">
        <f t="shared" si="11"/>
        <v>Treinta y Cuatro Mil Bolívares con 00/100</v>
      </c>
      <c r="Q97" s="403" t="str">
        <f t="shared" si="12"/>
        <v/>
      </c>
    </row>
    <row r="98" spans="1:17" x14ac:dyDescent="0.25">
      <c r="A98" s="1">
        <f t="shared" si="13"/>
        <v>97</v>
      </c>
      <c r="C98" s="12" t="s">
        <v>17</v>
      </c>
      <c r="D98" s="2">
        <v>42790</v>
      </c>
      <c r="E98" s="3">
        <f>1500*2</f>
        <v>3000</v>
      </c>
      <c r="F98" t="s">
        <v>291</v>
      </c>
      <c r="G98" t="s">
        <v>292</v>
      </c>
      <c r="H98" t="s">
        <v>293</v>
      </c>
      <c r="I98" s="10" t="s">
        <v>294</v>
      </c>
      <c r="J98" s="167" t="s">
        <v>22</v>
      </c>
      <c r="K98" s="20" t="s">
        <v>295</v>
      </c>
      <c r="L98" s="9" t="str">
        <f t="shared" si="7"/>
        <v>00097</v>
      </c>
      <c r="M98" s="71" t="str">
        <f t="shared" si="8"/>
        <v>24 de febrero de 2017</v>
      </c>
      <c r="N98" s="39">
        <f t="shared" si="9"/>
        <v>42767</v>
      </c>
      <c r="O98" s="9" t="str">
        <f t="shared" si="10"/>
        <v>3.000,00</v>
      </c>
      <c r="P98" s="8" t="str">
        <f t="shared" si="11"/>
        <v>Tres Mil Bolívares con 00/100</v>
      </c>
      <c r="Q98" s="403" t="str">
        <f t="shared" si="12"/>
        <v/>
      </c>
    </row>
    <row r="99" spans="1:17" x14ac:dyDescent="0.25">
      <c r="A99" s="1">
        <f t="shared" si="13"/>
        <v>98</v>
      </c>
      <c r="C99" s="12" t="s">
        <v>17</v>
      </c>
      <c r="D99" s="2">
        <v>42791</v>
      </c>
      <c r="E99" s="3">
        <f>10000*2</f>
        <v>20000</v>
      </c>
      <c r="F99" t="s">
        <v>296</v>
      </c>
      <c r="G99" t="s">
        <v>297</v>
      </c>
      <c r="H99" t="s">
        <v>298</v>
      </c>
      <c r="I99" s="10" t="s">
        <v>294</v>
      </c>
      <c r="J99" s="167" t="s">
        <v>22</v>
      </c>
      <c r="K99" s="20" t="s">
        <v>299</v>
      </c>
      <c r="L99" s="9" t="str">
        <f t="shared" si="7"/>
        <v>00098</v>
      </c>
      <c r="M99" s="71" t="str">
        <f t="shared" si="8"/>
        <v>25 de febrero de 2017</v>
      </c>
      <c r="N99" s="39">
        <f t="shared" si="9"/>
        <v>42767</v>
      </c>
      <c r="O99" s="9" t="str">
        <f t="shared" si="10"/>
        <v>20.000,00</v>
      </c>
      <c r="P99" s="8" t="str">
        <f t="shared" si="11"/>
        <v>Veinte Mil Bolívares con 00/100</v>
      </c>
      <c r="Q99" s="403" t="str">
        <f t="shared" si="12"/>
        <v/>
      </c>
    </row>
    <row r="100" spans="1:17" x14ac:dyDescent="0.25">
      <c r="A100" s="1">
        <f t="shared" si="13"/>
        <v>99</v>
      </c>
      <c r="C100" s="12" t="s">
        <v>17</v>
      </c>
      <c r="D100" s="2">
        <v>42791</v>
      </c>
      <c r="E100" s="3">
        <v>10500</v>
      </c>
      <c r="F100" t="s">
        <v>28</v>
      </c>
      <c r="G100" t="s">
        <v>29</v>
      </c>
      <c r="H100" t="s">
        <v>30</v>
      </c>
      <c r="I100" s="10" t="s">
        <v>158</v>
      </c>
      <c r="J100" s="167" t="s">
        <v>22</v>
      </c>
      <c r="K100" s="20" t="s">
        <v>300</v>
      </c>
      <c r="L100" s="9" t="str">
        <f t="shared" si="7"/>
        <v>00099</v>
      </c>
      <c r="M100" s="71" t="str">
        <f t="shared" si="8"/>
        <v>25 de febrero de 2017</v>
      </c>
      <c r="N100" s="39">
        <f t="shared" si="9"/>
        <v>42767</v>
      </c>
      <c r="O100" s="9" t="str">
        <f t="shared" si="10"/>
        <v>10.500,00</v>
      </c>
      <c r="P100" s="8" t="str">
        <f t="shared" si="11"/>
        <v>Diez Mil Quinientos Bolívares con 00/100</v>
      </c>
      <c r="Q100" s="403" t="str">
        <f t="shared" si="12"/>
        <v/>
      </c>
    </row>
    <row r="101" spans="1:17" ht="15.75" thickBot="1" x14ac:dyDescent="0.3">
      <c r="A101" s="1">
        <f t="shared" si="13"/>
        <v>100</v>
      </c>
      <c r="C101" s="12" t="s">
        <v>17</v>
      </c>
      <c r="D101" s="2">
        <v>42795</v>
      </c>
      <c r="E101" s="3">
        <v>14200</v>
      </c>
      <c r="F101" t="s">
        <v>100</v>
      </c>
      <c r="G101" t="s">
        <v>95</v>
      </c>
      <c r="H101" t="s">
        <v>101</v>
      </c>
      <c r="I101" s="10" t="s">
        <v>301</v>
      </c>
      <c r="J101" s="167" t="s">
        <v>22</v>
      </c>
      <c r="K101" s="20" t="s">
        <v>302</v>
      </c>
      <c r="L101" s="9" t="str">
        <f t="shared" si="7"/>
        <v>00100</v>
      </c>
      <c r="M101" s="71" t="str">
        <f t="shared" si="8"/>
        <v>01 de marzo de 2017</v>
      </c>
      <c r="N101" s="39">
        <f t="shared" si="9"/>
        <v>42795</v>
      </c>
      <c r="O101" s="9" t="str">
        <f t="shared" si="10"/>
        <v>14.200,00</v>
      </c>
      <c r="P101" s="8" t="str">
        <f t="shared" si="11"/>
        <v>Catorce Mil Doscientos Bolívares con 00/100</v>
      </c>
      <c r="Q101" s="403" t="str">
        <f t="shared" si="12"/>
        <v/>
      </c>
    </row>
    <row r="102" spans="1:17" ht="15.75" thickBot="1" x14ac:dyDescent="0.3">
      <c r="A102" s="1">
        <f t="shared" si="13"/>
        <v>101</v>
      </c>
      <c r="C102" s="12" t="s">
        <v>17</v>
      </c>
      <c r="D102" s="2">
        <v>42796</v>
      </c>
      <c r="E102" s="3">
        <f>2*3000</f>
        <v>6000</v>
      </c>
      <c r="F102" t="s">
        <v>303</v>
      </c>
      <c r="G102" s="27" t="s">
        <v>58</v>
      </c>
      <c r="H102" t="s">
        <v>304</v>
      </c>
      <c r="I102" s="10" t="s">
        <v>294</v>
      </c>
      <c r="J102" s="167" t="s">
        <v>22</v>
      </c>
      <c r="K102" s="20" t="s">
        <v>305</v>
      </c>
      <c r="L102" s="9" t="str">
        <f t="shared" si="7"/>
        <v>00101</v>
      </c>
      <c r="M102" s="71" t="str">
        <f t="shared" si="8"/>
        <v>02 de marzo de 2017</v>
      </c>
      <c r="N102" s="39">
        <f t="shared" si="9"/>
        <v>42795</v>
      </c>
      <c r="O102" s="9" t="str">
        <f t="shared" si="10"/>
        <v>6.000,00</v>
      </c>
      <c r="P102" s="8" t="str">
        <f t="shared" si="11"/>
        <v>Seis Mil Bolívares con 00/100</v>
      </c>
      <c r="Q102" s="403" t="str">
        <f t="shared" si="12"/>
        <v/>
      </c>
    </row>
    <row r="103" spans="1:17" x14ac:dyDescent="0.25">
      <c r="A103" s="1">
        <f t="shared" si="13"/>
        <v>102</v>
      </c>
      <c r="C103" s="12" t="s">
        <v>17</v>
      </c>
      <c r="D103" s="2">
        <v>42796</v>
      </c>
      <c r="E103" s="3">
        <v>17000</v>
      </c>
      <c r="F103" t="s">
        <v>90</v>
      </c>
      <c r="G103" t="s">
        <v>91</v>
      </c>
      <c r="H103" t="s">
        <v>92</v>
      </c>
      <c r="I103" s="10" t="s">
        <v>306</v>
      </c>
      <c r="J103" s="167" t="s">
        <v>22</v>
      </c>
      <c r="K103" s="20" t="s">
        <v>307</v>
      </c>
      <c r="L103" s="9" t="str">
        <f t="shared" si="7"/>
        <v>00102</v>
      </c>
      <c r="M103" s="71" t="str">
        <f t="shared" si="8"/>
        <v>02 de marzo de 2017</v>
      </c>
      <c r="N103" s="39">
        <f t="shared" si="9"/>
        <v>42795</v>
      </c>
      <c r="O103" s="9" t="str">
        <f t="shared" si="10"/>
        <v>17.000,00</v>
      </c>
      <c r="P103" s="8" t="str">
        <f t="shared" si="11"/>
        <v>Diecisiete Mil Bolívares con 00/100</v>
      </c>
      <c r="Q103" s="403" t="str">
        <f t="shared" si="12"/>
        <v/>
      </c>
    </row>
    <row r="104" spans="1:17" x14ac:dyDescent="0.25">
      <c r="A104" s="1">
        <f t="shared" si="13"/>
        <v>103</v>
      </c>
      <c r="C104" s="12" t="s">
        <v>17</v>
      </c>
      <c r="D104" s="2">
        <v>42796</v>
      </c>
      <c r="E104" s="3">
        <v>2000</v>
      </c>
      <c r="F104" t="s">
        <v>90</v>
      </c>
      <c r="G104" t="s">
        <v>91</v>
      </c>
      <c r="H104" t="s">
        <v>92</v>
      </c>
      <c r="I104" s="10" t="s">
        <v>308</v>
      </c>
      <c r="J104" s="167" t="s">
        <v>22</v>
      </c>
      <c r="K104" s="20" t="s">
        <v>309</v>
      </c>
      <c r="L104" s="9" t="str">
        <f t="shared" si="7"/>
        <v>00103</v>
      </c>
      <c r="M104" s="71" t="str">
        <f t="shared" si="8"/>
        <v>02 de marzo de 2017</v>
      </c>
      <c r="N104" s="39">
        <f t="shared" si="9"/>
        <v>42795</v>
      </c>
      <c r="O104" s="9" t="str">
        <f t="shared" si="10"/>
        <v>2.000,00</v>
      </c>
      <c r="P104" s="8" t="str">
        <f t="shared" si="11"/>
        <v>Dos Mil Bolívares con 00/100</v>
      </c>
      <c r="Q104" s="403" t="str">
        <f t="shared" si="12"/>
        <v/>
      </c>
    </row>
    <row r="105" spans="1:17" x14ac:dyDescent="0.25">
      <c r="A105" s="1">
        <f t="shared" si="13"/>
        <v>104</v>
      </c>
      <c r="C105" s="12" t="s">
        <v>17</v>
      </c>
      <c r="D105" s="2">
        <v>42797</v>
      </c>
      <c r="E105" s="3">
        <f>17000+7000</f>
        <v>24000</v>
      </c>
      <c r="F105" t="s">
        <v>243</v>
      </c>
      <c r="G105" t="s">
        <v>244</v>
      </c>
      <c r="H105" t="s">
        <v>245</v>
      </c>
      <c r="I105" s="10" t="s">
        <v>310</v>
      </c>
      <c r="J105" s="167" t="s">
        <v>22</v>
      </c>
      <c r="K105" s="20" t="s">
        <v>311</v>
      </c>
      <c r="L105" s="9" t="str">
        <f t="shared" si="7"/>
        <v>00104</v>
      </c>
      <c r="M105" s="71" t="str">
        <f t="shared" si="8"/>
        <v>03 de marzo de 2017</v>
      </c>
      <c r="N105" s="39">
        <f t="shared" si="9"/>
        <v>42795</v>
      </c>
      <c r="O105" s="9" t="str">
        <f t="shared" si="10"/>
        <v>24.000,00</v>
      </c>
      <c r="P105" s="8" t="str">
        <f t="shared" si="11"/>
        <v>Veinticuatro Mil Bolívares con 00/100</v>
      </c>
      <c r="Q105" s="403" t="str">
        <f t="shared" si="12"/>
        <v/>
      </c>
    </row>
    <row r="106" spans="1:17" x14ac:dyDescent="0.25">
      <c r="A106" s="1">
        <f t="shared" si="13"/>
        <v>105</v>
      </c>
      <c r="C106" s="12" t="s">
        <v>17</v>
      </c>
      <c r="D106" s="2">
        <v>42797</v>
      </c>
      <c r="E106" s="3">
        <v>17000</v>
      </c>
      <c r="F106" t="s">
        <v>312</v>
      </c>
      <c r="G106" t="s">
        <v>313</v>
      </c>
      <c r="H106" t="s">
        <v>314</v>
      </c>
      <c r="I106" s="10" t="s">
        <v>315</v>
      </c>
      <c r="J106" s="167" t="s">
        <v>22</v>
      </c>
      <c r="K106" s="20" t="s">
        <v>316</v>
      </c>
      <c r="L106" s="9" t="str">
        <f t="shared" si="7"/>
        <v>00105</v>
      </c>
      <c r="M106" s="71" t="str">
        <f t="shared" si="8"/>
        <v>03 de marzo de 2017</v>
      </c>
      <c r="N106" s="39">
        <f t="shared" si="9"/>
        <v>42795</v>
      </c>
      <c r="O106" s="9" t="str">
        <f t="shared" si="10"/>
        <v>17.000,00</v>
      </c>
      <c r="P106" s="8" t="str">
        <f t="shared" si="11"/>
        <v>Diecisiete Mil Bolívares con 00/100</v>
      </c>
      <c r="Q106" s="403" t="str">
        <f t="shared" si="12"/>
        <v/>
      </c>
    </row>
    <row r="107" spans="1:17" ht="15.75" thickBot="1" x14ac:dyDescent="0.3">
      <c r="A107" s="1">
        <f t="shared" si="13"/>
        <v>106</v>
      </c>
      <c r="C107" s="12" t="s">
        <v>17</v>
      </c>
      <c r="D107" s="2">
        <v>42799</v>
      </c>
      <c r="E107" s="3">
        <v>7000</v>
      </c>
      <c r="F107" t="s">
        <v>48</v>
      </c>
      <c r="G107" t="s">
        <v>49</v>
      </c>
      <c r="H107" t="s">
        <v>50</v>
      </c>
      <c r="I107" s="10" t="s">
        <v>317</v>
      </c>
      <c r="J107" s="167" t="s">
        <v>22</v>
      </c>
      <c r="K107" s="20" t="s">
        <v>318</v>
      </c>
      <c r="L107" s="9" t="str">
        <f t="shared" si="7"/>
        <v>00106</v>
      </c>
      <c r="M107" s="71" t="str">
        <f t="shared" si="8"/>
        <v>05 de marzo de 2017</v>
      </c>
      <c r="N107" s="39">
        <f t="shared" si="9"/>
        <v>42795</v>
      </c>
      <c r="O107" s="9" t="str">
        <f t="shared" si="10"/>
        <v>7.000,00</v>
      </c>
      <c r="P107" s="8" t="str">
        <f t="shared" si="11"/>
        <v>Siete Mil Bolívares con 00/100</v>
      </c>
      <c r="Q107" s="403" t="str">
        <f t="shared" si="12"/>
        <v/>
      </c>
    </row>
    <row r="108" spans="1:17" ht="15.75" thickBot="1" x14ac:dyDescent="0.3">
      <c r="A108" s="1">
        <f t="shared" si="13"/>
        <v>107</v>
      </c>
      <c r="C108" s="12" t="s">
        <v>17</v>
      </c>
      <c r="D108" s="2">
        <v>42799</v>
      </c>
      <c r="E108" s="3">
        <f>17000*2</f>
        <v>34000</v>
      </c>
      <c r="F108" t="s">
        <v>319</v>
      </c>
      <c r="G108" s="27" t="s">
        <v>58</v>
      </c>
      <c r="H108" t="s">
        <v>320</v>
      </c>
      <c r="I108" s="10" t="s">
        <v>222</v>
      </c>
      <c r="J108" s="167" t="s">
        <v>22</v>
      </c>
      <c r="K108" s="20" t="s">
        <v>321</v>
      </c>
      <c r="L108" s="9" t="str">
        <f t="shared" si="7"/>
        <v>00107</v>
      </c>
      <c r="M108" s="71" t="str">
        <f t="shared" si="8"/>
        <v>05 de marzo de 2017</v>
      </c>
      <c r="N108" s="39">
        <f t="shared" si="9"/>
        <v>42795</v>
      </c>
      <c r="O108" s="9" t="str">
        <f t="shared" si="10"/>
        <v>34.000,00</v>
      </c>
      <c r="P108" s="8" t="str">
        <f t="shared" si="11"/>
        <v>Treinta y Cuatro Mil Bolívares con 00/100</v>
      </c>
      <c r="Q108" s="403" t="str">
        <f t="shared" si="12"/>
        <v/>
      </c>
    </row>
    <row r="109" spans="1:17" ht="15.75" thickBot="1" x14ac:dyDescent="0.3">
      <c r="A109" s="1">
        <f t="shared" si="13"/>
        <v>108</v>
      </c>
      <c r="C109" s="12" t="s">
        <v>17</v>
      </c>
      <c r="D109" s="2">
        <v>42799</v>
      </c>
      <c r="E109" s="3">
        <v>3000</v>
      </c>
      <c r="F109" t="s">
        <v>319</v>
      </c>
      <c r="G109" s="27" t="s">
        <v>58</v>
      </c>
      <c r="H109" t="s">
        <v>320</v>
      </c>
      <c r="I109" s="10" t="s">
        <v>322</v>
      </c>
      <c r="J109" s="167" t="s">
        <v>22</v>
      </c>
      <c r="K109" s="20" t="s">
        <v>323</v>
      </c>
      <c r="L109" s="9" t="str">
        <f t="shared" si="7"/>
        <v>00108</v>
      </c>
      <c r="M109" s="71" t="str">
        <f t="shared" si="8"/>
        <v>05 de marzo de 2017</v>
      </c>
      <c r="N109" s="39">
        <f t="shared" si="9"/>
        <v>42795</v>
      </c>
      <c r="O109" s="9" t="str">
        <f t="shared" si="10"/>
        <v>3.000,00</v>
      </c>
      <c r="P109" s="8" t="str">
        <f t="shared" si="11"/>
        <v>Tres Mil Bolívares con 00/100</v>
      </c>
      <c r="Q109" s="403" t="str">
        <f t="shared" si="12"/>
        <v/>
      </c>
    </row>
    <row r="110" spans="1:17" x14ac:dyDescent="0.25">
      <c r="A110" s="1">
        <f t="shared" si="13"/>
        <v>109</v>
      </c>
      <c r="C110" s="12" t="s">
        <v>17</v>
      </c>
      <c r="D110" s="2">
        <v>42800</v>
      </c>
      <c r="E110" s="3">
        <f>10500+16000</f>
        <v>26500</v>
      </c>
      <c r="F110" t="s">
        <v>324</v>
      </c>
      <c r="G110" t="s">
        <v>325</v>
      </c>
      <c r="H110" t="s">
        <v>326</v>
      </c>
      <c r="I110" s="10" t="s">
        <v>294</v>
      </c>
      <c r="J110" s="167" t="s">
        <v>22</v>
      </c>
      <c r="K110" s="20" t="s">
        <v>327</v>
      </c>
      <c r="L110" s="9" t="str">
        <f t="shared" si="7"/>
        <v>00109</v>
      </c>
      <c r="M110" s="71" t="str">
        <f t="shared" si="8"/>
        <v>06 de marzo de 2017</v>
      </c>
      <c r="N110" s="39">
        <f t="shared" si="9"/>
        <v>42795</v>
      </c>
      <c r="O110" s="9" t="str">
        <f t="shared" si="10"/>
        <v>26.500,00</v>
      </c>
      <c r="P110" s="8" t="str">
        <f t="shared" si="11"/>
        <v>Veintiseis Mil Quinientos Bolívares con 00/100</v>
      </c>
      <c r="Q110" s="403" t="str">
        <f t="shared" si="12"/>
        <v/>
      </c>
    </row>
    <row r="111" spans="1:17" x14ac:dyDescent="0.25">
      <c r="A111" s="1">
        <f t="shared" si="13"/>
        <v>110</v>
      </c>
      <c r="C111" s="12" t="s">
        <v>17</v>
      </c>
      <c r="D111" s="2">
        <v>42802</v>
      </c>
      <c r="E111" s="3">
        <v>17000</v>
      </c>
      <c r="F111" t="s">
        <v>24</v>
      </c>
      <c r="G111" t="s">
        <v>25</v>
      </c>
      <c r="H111" t="s">
        <v>26</v>
      </c>
      <c r="I111" s="10" t="s">
        <v>306</v>
      </c>
      <c r="J111" s="167" t="s">
        <v>22</v>
      </c>
      <c r="K111" s="20" t="s">
        <v>328</v>
      </c>
      <c r="L111" s="9" t="str">
        <f t="shared" si="7"/>
        <v>00110</v>
      </c>
      <c r="M111" s="71" t="str">
        <f t="shared" si="8"/>
        <v>08 de marzo de 2017</v>
      </c>
      <c r="N111" s="39">
        <f t="shared" si="9"/>
        <v>42795</v>
      </c>
      <c r="O111" s="9" t="str">
        <f t="shared" si="10"/>
        <v>17.000,00</v>
      </c>
      <c r="P111" s="8" t="str">
        <f t="shared" si="11"/>
        <v>Diecisiete Mil Bolívares con 00/100</v>
      </c>
      <c r="Q111" s="403" t="str">
        <f t="shared" si="12"/>
        <v/>
      </c>
    </row>
    <row r="112" spans="1:17" x14ac:dyDescent="0.25">
      <c r="A112" s="1">
        <f t="shared" si="13"/>
        <v>111</v>
      </c>
      <c r="C112" s="12" t="s">
        <v>17</v>
      </c>
      <c r="D112" s="2">
        <v>42802</v>
      </c>
      <c r="E112" s="3">
        <v>17000</v>
      </c>
      <c r="F112" t="s">
        <v>36</v>
      </c>
      <c r="G112" t="s">
        <v>37</v>
      </c>
      <c r="H112" t="s">
        <v>38</v>
      </c>
      <c r="I112" s="10" t="s">
        <v>306</v>
      </c>
      <c r="J112" s="167" t="s">
        <v>22</v>
      </c>
      <c r="K112" s="20" t="s">
        <v>329</v>
      </c>
      <c r="L112" s="9" t="str">
        <f t="shared" si="7"/>
        <v>00111</v>
      </c>
      <c r="M112" s="71" t="str">
        <f t="shared" si="8"/>
        <v>08 de marzo de 2017</v>
      </c>
      <c r="N112" s="39">
        <f t="shared" si="9"/>
        <v>42795</v>
      </c>
      <c r="O112" s="9" t="str">
        <f t="shared" si="10"/>
        <v>17.000,00</v>
      </c>
      <c r="P112" s="8" t="str">
        <f t="shared" si="11"/>
        <v>Diecisiete Mil Bolívares con 00/100</v>
      </c>
      <c r="Q112" s="403" t="str">
        <f t="shared" si="12"/>
        <v/>
      </c>
    </row>
    <row r="113" spans="1:17" x14ac:dyDescent="0.25">
      <c r="A113" s="1">
        <f t="shared" si="13"/>
        <v>112</v>
      </c>
      <c r="C113" s="12" t="s">
        <v>17</v>
      </c>
      <c r="D113" s="2">
        <v>42802</v>
      </c>
      <c r="E113" s="3">
        <v>17000</v>
      </c>
      <c r="F113" t="s">
        <v>197</v>
      </c>
      <c r="G113" t="s">
        <v>198</v>
      </c>
      <c r="H113" t="s">
        <v>199</v>
      </c>
      <c r="I113" s="10" t="s">
        <v>142</v>
      </c>
      <c r="J113" s="167" t="s">
        <v>22</v>
      </c>
      <c r="K113" s="20" t="s">
        <v>330</v>
      </c>
      <c r="L113" s="9" t="str">
        <f t="shared" si="7"/>
        <v>00112</v>
      </c>
      <c r="M113" s="71" t="str">
        <f t="shared" si="8"/>
        <v>08 de marzo de 2017</v>
      </c>
      <c r="N113" s="39">
        <f t="shared" si="9"/>
        <v>42795</v>
      </c>
      <c r="O113" s="9" t="str">
        <f t="shared" si="10"/>
        <v>17.000,00</v>
      </c>
      <c r="P113" s="8" t="str">
        <f t="shared" si="11"/>
        <v>Diecisiete Mil Bolívares con 00/100</v>
      </c>
      <c r="Q113" s="403" t="str">
        <f t="shared" si="12"/>
        <v/>
      </c>
    </row>
    <row r="114" spans="1:17" x14ac:dyDescent="0.25">
      <c r="A114" s="1">
        <f t="shared" si="13"/>
        <v>113</v>
      </c>
      <c r="C114" s="12" t="s">
        <v>17</v>
      </c>
      <c r="D114" s="2">
        <v>42802</v>
      </c>
      <c r="E114" s="3">
        <f>1000+17000*2</f>
        <v>35000</v>
      </c>
      <c r="F114" t="s">
        <v>280</v>
      </c>
      <c r="G114" t="s">
        <v>281</v>
      </c>
      <c r="H114" t="s">
        <v>282</v>
      </c>
      <c r="I114" s="10" t="s">
        <v>331</v>
      </c>
      <c r="J114" s="167" t="s">
        <v>22</v>
      </c>
      <c r="K114" s="20" t="s">
        <v>332</v>
      </c>
      <c r="L114" s="9" t="str">
        <f t="shared" si="7"/>
        <v>00113</v>
      </c>
      <c r="M114" s="71" t="str">
        <f t="shared" si="8"/>
        <v>08 de marzo de 2017</v>
      </c>
      <c r="N114" s="39">
        <f t="shared" si="9"/>
        <v>42795</v>
      </c>
      <c r="O114" s="9" t="str">
        <f t="shared" si="10"/>
        <v>35.000,00</v>
      </c>
      <c r="P114" s="8" t="str">
        <f t="shared" si="11"/>
        <v>Treinta y Cinco Mil Bolívares con 00/100</v>
      </c>
      <c r="Q114" s="403" t="str">
        <f t="shared" si="12"/>
        <v/>
      </c>
    </row>
    <row r="115" spans="1:17" x14ac:dyDescent="0.25">
      <c r="A115" s="1">
        <f t="shared" si="13"/>
        <v>114</v>
      </c>
      <c r="C115" s="12" t="s">
        <v>17</v>
      </c>
      <c r="D115" s="2">
        <v>42802</v>
      </c>
      <c r="E115" s="3">
        <v>17000</v>
      </c>
      <c r="F115" t="s">
        <v>107</v>
      </c>
      <c r="G115" t="s">
        <v>108</v>
      </c>
      <c r="H115" t="s">
        <v>109</v>
      </c>
      <c r="I115" s="10" t="s">
        <v>306</v>
      </c>
      <c r="J115" s="167" t="s">
        <v>22</v>
      </c>
      <c r="K115" s="20" t="s">
        <v>333</v>
      </c>
      <c r="L115" s="9" t="str">
        <f t="shared" si="7"/>
        <v>00114</v>
      </c>
      <c r="M115" s="71" t="str">
        <f t="shared" si="8"/>
        <v>08 de marzo de 2017</v>
      </c>
      <c r="N115" s="39">
        <f t="shared" si="9"/>
        <v>42795</v>
      </c>
      <c r="O115" s="9" t="str">
        <f t="shared" si="10"/>
        <v>17.000,00</v>
      </c>
      <c r="P115" s="8" t="str">
        <f t="shared" si="11"/>
        <v>Diecisiete Mil Bolívares con 00/100</v>
      </c>
      <c r="Q115" s="403" t="str">
        <f t="shared" si="12"/>
        <v/>
      </c>
    </row>
    <row r="116" spans="1:17" x14ac:dyDescent="0.25">
      <c r="A116" s="1">
        <f t="shared" si="13"/>
        <v>115</v>
      </c>
      <c r="C116" s="12" t="s">
        <v>17</v>
      </c>
      <c r="D116" s="2">
        <v>42802</v>
      </c>
      <c r="E116" s="3">
        <f>17000*2</f>
        <v>34000</v>
      </c>
      <c r="F116" t="s">
        <v>334</v>
      </c>
      <c r="G116" t="s">
        <v>85</v>
      </c>
      <c r="H116" t="s">
        <v>335</v>
      </c>
      <c r="I116" s="10" t="s">
        <v>222</v>
      </c>
      <c r="J116" s="167" t="s">
        <v>22</v>
      </c>
      <c r="K116" s="20" t="s">
        <v>336</v>
      </c>
      <c r="L116" s="9" t="str">
        <f t="shared" si="7"/>
        <v>00115</v>
      </c>
      <c r="M116" s="71" t="str">
        <f t="shared" si="8"/>
        <v>08 de marzo de 2017</v>
      </c>
      <c r="N116" s="39">
        <f t="shared" si="9"/>
        <v>42795</v>
      </c>
      <c r="O116" s="9" t="str">
        <f t="shared" si="10"/>
        <v>34.000,00</v>
      </c>
      <c r="P116" s="8" t="str">
        <f t="shared" si="11"/>
        <v>Treinta y Cuatro Mil Bolívares con 00/100</v>
      </c>
      <c r="Q116" s="403" t="str">
        <f t="shared" si="12"/>
        <v/>
      </c>
    </row>
    <row r="117" spans="1:17" x14ac:dyDescent="0.25">
      <c r="A117" s="1">
        <f t="shared" si="13"/>
        <v>116</v>
      </c>
      <c r="C117" s="12" t="s">
        <v>17</v>
      </c>
      <c r="D117" s="2">
        <v>42802</v>
      </c>
      <c r="E117" s="3">
        <f>17000*2</f>
        <v>34000</v>
      </c>
      <c r="F117" t="s">
        <v>337</v>
      </c>
      <c r="G117" t="s">
        <v>338</v>
      </c>
      <c r="H117" t="s">
        <v>339</v>
      </c>
      <c r="I117" s="10" t="s">
        <v>222</v>
      </c>
      <c r="J117" s="167" t="s">
        <v>22</v>
      </c>
      <c r="K117" s="20" t="s">
        <v>340</v>
      </c>
      <c r="L117" s="9" t="str">
        <f t="shared" si="7"/>
        <v>00116</v>
      </c>
      <c r="M117" s="71" t="str">
        <f t="shared" si="8"/>
        <v>08 de marzo de 2017</v>
      </c>
      <c r="N117" s="39">
        <f t="shared" si="9"/>
        <v>42795</v>
      </c>
      <c r="O117" s="9" t="str">
        <f t="shared" si="10"/>
        <v>34.000,00</v>
      </c>
      <c r="P117" s="8" t="str">
        <f t="shared" si="11"/>
        <v>Treinta y Cuatro Mil Bolívares con 00/100</v>
      </c>
      <c r="Q117" s="403" t="str">
        <f t="shared" si="12"/>
        <v/>
      </c>
    </row>
    <row r="118" spans="1:17" x14ac:dyDescent="0.25">
      <c r="A118" s="1">
        <f t="shared" si="13"/>
        <v>117</v>
      </c>
      <c r="C118" s="12" t="s">
        <v>17</v>
      </c>
      <c r="D118" s="2">
        <v>42804</v>
      </c>
      <c r="E118" s="3">
        <v>17000</v>
      </c>
      <c r="F118" t="s">
        <v>70</v>
      </c>
      <c r="G118" t="s">
        <v>71</v>
      </c>
      <c r="H118" t="s">
        <v>72</v>
      </c>
      <c r="I118" s="10" t="s">
        <v>306</v>
      </c>
      <c r="J118" s="167" t="s">
        <v>22</v>
      </c>
      <c r="K118" s="20" t="s">
        <v>341</v>
      </c>
      <c r="L118" s="9" t="str">
        <f t="shared" si="7"/>
        <v>00117</v>
      </c>
      <c r="M118" s="71" t="str">
        <f t="shared" si="8"/>
        <v>10 de marzo de 2017</v>
      </c>
      <c r="N118" s="39">
        <f t="shared" si="9"/>
        <v>42795</v>
      </c>
      <c r="O118" s="9" t="str">
        <f t="shared" si="10"/>
        <v>17.000,00</v>
      </c>
      <c r="P118" s="8" t="str">
        <f t="shared" si="11"/>
        <v>Diecisiete Mil Bolívares con 00/100</v>
      </c>
      <c r="Q118" s="403" t="str">
        <f t="shared" si="12"/>
        <v/>
      </c>
    </row>
    <row r="119" spans="1:17" x14ac:dyDescent="0.25">
      <c r="A119" s="1">
        <f t="shared" si="13"/>
        <v>118</v>
      </c>
      <c r="C119" s="12" t="s">
        <v>17</v>
      </c>
      <c r="D119" s="2">
        <v>42804</v>
      </c>
      <c r="E119" s="3">
        <f>15000*3</f>
        <v>45000</v>
      </c>
      <c r="F119" t="s">
        <v>342</v>
      </c>
      <c r="G119" t="s">
        <v>343</v>
      </c>
      <c r="H119" t="s">
        <v>344</v>
      </c>
      <c r="I119" s="10" t="s">
        <v>315</v>
      </c>
      <c r="J119" s="167" t="s">
        <v>22</v>
      </c>
      <c r="K119" s="20" t="s">
        <v>345</v>
      </c>
      <c r="L119" s="9" t="str">
        <f t="shared" si="7"/>
        <v>00118</v>
      </c>
      <c r="M119" s="71" t="str">
        <f t="shared" si="8"/>
        <v>10 de marzo de 2017</v>
      </c>
      <c r="N119" s="39">
        <f t="shared" si="9"/>
        <v>42795</v>
      </c>
      <c r="O119" s="9" t="str">
        <f t="shared" si="10"/>
        <v>45.000,00</v>
      </c>
      <c r="P119" s="8" t="str">
        <f t="shared" si="11"/>
        <v>Cuarenta y Cinco Mil Bolívares con 00/100</v>
      </c>
      <c r="Q119" s="403" t="str">
        <f t="shared" si="12"/>
        <v/>
      </c>
    </row>
    <row r="120" spans="1:17" x14ac:dyDescent="0.25">
      <c r="A120" s="1">
        <f t="shared" si="13"/>
        <v>119</v>
      </c>
      <c r="C120" s="12" t="s">
        <v>17</v>
      </c>
      <c r="D120" s="2">
        <v>42804</v>
      </c>
      <c r="E120" s="3">
        <v>13613</v>
      </c>
      <c r="F120" t="s">
        <v>32</v>
      </c>
      <c r="G120" t="s">
        <v>33</v>
      </c>
      <c r="H120" t="s">
        <v>34</v>
      </c>
      <c r="I120" s="10" t="s">
        <v>346</v>
      </c>
      <c r="J120" s="167" t="s">
        <v>22</v>
      </c>
      <c r="K120" s="20" t="s">
        <v>347</v>
      </c>
      <c r="L120" s="9" t="str">
        <f t="shared" si="7"/>
        <v>00119</v>
      </c>
      <c r="M120" s="71" t="str">
        <f t="shared" si="8"/>
        <v>10 de marzo de 2017</v>
      </c>
      <c r="N120" s="39">
        <f t="shared" si="9"/>
        <v>42795</v>
      </c>
      <c r="O120" s="9" t="str">
        <f t="shared" si="10"/>
        <v>13.613,00</v>
      </c>
      <c r="P120" s="8" t="str">
        <f t="shared" si="11"/>
        <v>Trece Mil Seiscientos Trece Bolívares con 00/100</v>
      </c>
      <c r="Q120" s="403" t="str">
        <f t="shared" si="12"/>
        <v/>
      </c>
    </row>
    <row r="121" spans="1:17" x14ac:dyDescent="0.25">
      <c r="A121" s="1">
        <f t="shared" si="13"/>
        <v>120</v>
      </c>
      <c r="C121" s="12" t="s">
        <v>17</v>
      </c>
      <c r="D121" s="2">
        <v>42800</v>
      </c>
      <c r="E121" s="3">
        <v>17000</v>
      </c>
      <c r="F121" t="s">
        <v>259</v>
      </c>
      <c r="G121" t="s">
        <v>260</v>
      </c>
      <c r="H121" t="s">
        <v>261</v>
      </c>
      <c r="I121" s="10" t="s">
        <v>60</v>
      </c>
      <c r="J121" s="167" t="s">
        <v>22</v>
      </c>
      <c r="K121" s="20" t="s">
        <v>348</v>
      </c>
      <c r="L121" s="9" t="str">
        <f t="shared" si="7"/>
        <v>00120</v>
      </c>
      <c r="M121" s="71" t="str">
        <f t="shared" si="8"/>
        <v>06 de marzo de 2017</v>
      </c>
      <c r="N121" s="39">
        <f t="shared" si="9"/>
        <v>42795</v>
      </c>
      <c r="O121" s="9" t="str">
        <f t="shared" si="10"/>
        <v>17.000,00</v>
      </c>
      <c r="P121" s="8" t="str">
        <f t="shared" si="11"/>
        <v>Diecisiete Mil Bolívares con 00/100</v>
      </c>
      <c r="Q121" s="403" t="str">
        <f t="shared" si="12"/>
        <v/>
      </c>
    </row>
    <row r="122" spans="1:17" x14ac:dyDescent="0.25">
      <c r="A122" s="1">
        <f t="shared" si="13"/>
        <v>121</v>
      </c>
      <c r="C122" s="12" t="s">
        <v>17</v>
      </c>
      <c r="D122" s="2">
        <v>42804</v>
      </c>
      <c r="E122" s="3">
        <v>17000</v>
      </c>
      <c r="F122" t="s">
        <v>243</v>
      </c>
      <c r="G122" t="s">
        <v>244</v>
      </c>
      <c r="H122" t="s">
        <v>245</v>
      </c>
      <c r="I122" s="10" t="s">
        <v>306</v>
      </c>
      <c r="J122" s="167" t="s">
        <v>22</v>
      </c>
      <c r="K122" s="20" t="s">
        <v>349</v>
      </c>
      <c r="L122" s="9" t="str">
        <f t="shared" si="7"/>
        <v>00121</v>
      </c>
      <c r="M122" s="71" t="str">
        <f t="shared" si="8"/>
        <v>10 de marzo de 2017</v>
      </c>
      <c r="N122" s="39">
        <f t="shared" si="9"/>
        <v>42795</v>
      </c>
      <c r="O122" s="9" t="str">
        <f t="shared" si="10"/>
        <v>17.000,00</v>
      </c>
      <c r="P122" s="8" t="str">
        <f t="shared" si="11"/>
        <v>Diecisiete Mil Bolívares con 00/100</v>
      </c>
      <c r="Q122" s="403" t="str">
        <f t="shared" si="12"/>
        <v/>
      </c>
    </row>
    <row r="123" spans="1:17" x14ac:dyDescent="0.25">
      <c r="A123" s="1">
        <f t="shared" si="13"/>
        <v>122</v>
      </c>
      <c r="C123" s="12" t="s">
        <v>17</v>
      </c>
      <c r="D123" s="2">
        <v>42804</v>
      </c>
      <c r="E123" s="3">
        <v>2800</v>
      </c>
      <c r="F123" t="s">
        <v>100</v>
      </c>
      <c r="G123" t="s">
        <v>95</v>
      </c>
      <c r="H123" t="s">
        <v>101</v>
      </c>
      <c r="I123" s="10" t="s">
        <v>350</v>
      </c>
      <c r="J123" s="167" t="s">
        <v>22</v>
      </c>
      <c r="K123" s="20" t="s">
        <v>351</v>
      </c>
      <c r="L123" s="9" t="str">
        <f t="shared" si="7"/>
        <v>00122</v>
      </c>
      <c r="M123" s="71" t="str">
        <f t="shared" si="8"/>
        <v>10 de marzo de 2017</v>
      </c>
      <c r="N123" s="39">
        <f t="shared" si="9"/>
        <v>42795</v>
      </c>
      <c r="O123" s="9" t="str">
        <f t="shared" si="10"/>
        <v>2.800,00</v>
      </c>
      <c r="P123" s="8" t="str">
        <f t="shared" si="11"/>
        <v>Dos Mil Ochocientos Bolívares con 00/100</v>
      </c>
      <c r="Q123" s="403" t="str">
        <f t="shared" si="12"/>
        <v/>
      </c>
    </row>
    <row r="124" spans="1:17" x14ac:dyDescent="0.25">
      <c r="A124" s="1">
        <f t="shared" si="13"/>
        <v>123</v>
      </c>
      <c r="C124" s="12" t="s">
        <v>17</v>
      </c>
      <c r="D124" s="2">
        <v>42804</v>
      </c>
      <c r="E124" s="3">
        <v>10000</v>
      </c>
      <c r="F124" t="s">
        <v>84</v>
      </c>
      <c r="G124" t="s">
        <v>85</v>
      </c>
      <c r="H124" t="s">
        <v>86</v>
      </c>
      <c r="I124" s="10" t="s">
        <v>317</v>
      </c>
      <c r="J124" s="167" t="s">
        <v>22</v>
      </c>
      <c r="K124" s="20" t="s">
        <v>352</v>
      </c>
      <c r="L124" s="9" t="str">
        <f t="shared" si="7"/>
        <v>00123</v>
      </c>
      <c r="M124" s="71" t="str">
        <f t="shared" si="8"/>
        <v>10 de marzo de 2017</v>
      </c>
      <c r="N124" s="39">
        <f t="shared" si="9"/>
        <v>42795</v>
      </c>
      <c r="O124" s="9" t="str">
        <f t="shared" si="10"/>
        <v>10.000,00</v>
      </c>
      <c r="P124" s="8" t="str">
        <f t="shared" si="11"/>
        <v>Diez Mil Bolívares con 00/100</v>
      </c>
      <c r="Q124" s="403" t="str">
        <f t="shared" si="12"/>
        <v/>
      </c>
    </row>
    <row r="125" spans="1:17" x14ac:dyDescent="0.25">
      <c r="A125" s="1">
        <f t="shared" si="13"/>
        <v>124</v>
      </c>
      <c r="C125" s="12" t="s">
        <v>17</v>
      </c>
      <c r="D125" s="2">
        <v>42805</v>
      </c>
      <c r="E125" s="3">
        <v>10000</v>
      </c>
      <c r="F125" t="s">
        <v>181</v>
      </c>
      <c r="G125" t="s">
        <v>182</v>
      </c>
      <c r="H125" t="s">
        <v>183</v>
      </c>
      <c r="I125" s="10" t="s">
        <v>317</v>
      </c>
      <c r="J125" s="167" t="s">
        <v>22</v>
      </c>
      <c r="K125" s="20" t="s">
        <v>353</v>
      </c>
      <c r="L125" s="9" t="str">
        <f t="shared" si="7"/>
        <v>00124</v>
      </c>
      <c r="M125" s="71" t="str">
        <f t="shared" si="8"/>
        <v>11 de marzo de 2017</v>
      </c>
      <c r="N125" s="39">
        <f t="shared" si="9"/>
        <v>42795</v>
      </c>
      <c r="O125" s="9" t="str">
        <f t="shared" si="10"/>
        <v>10.000,00</v>
      </c>
      <c r="P125" s="8" t="str">
        <f t="shared" si="11"/>
        <v>Diez Mil Bolívares con 00/100</v>
      </c>
      <c r="Q125" s="403" t="str">
        <f t="shared" si="12"/>
        <v/>
      </c>
    </row>
    <row r="126" spans="1:17" x14ac:dyDescent="0.25">
      <c r="A126" s="1">
        <f t="shared" si="13"/>
        <v>125</v>
      </c>
      <c r="C126" s="12" t="s">
        <v>17</v>
      </c>
      <c r="D126" s="2">
        <v>42805</v>
      </c>
      <c r="E126" s="3">
        <v>17000</v>
      </c>
      <c r="F126" t="s">
        <v>354</v>
      </c>
      <c r="G126" t="s">
        <v>355</v>
      </c>
      <c r="H126" t="s">
        <v>356</v>
      </c>
      <c r="I126" s="10" t="s">
        <v>60</v>
      </c>
      <c r="J126" s="167" t="s">
        <v>22</v>
      </c>
      <c r="K126" s="20" t="s">
        <v>357</v>
      </c>
      <c r="L126" s="9" t="str">
        <f t="shared" si="7"/>
        <v>00125</v>
      </c>
      <c r="M126" s="71" t="str">
        <f t="shared" si="8"/>
        <v>11 de marzo de 2017</v>
      </c>
      <c r="N126" s="39">
        <f t="shared" si="9"/>
        <v>42795</v>
      </c>
      <c r="O126" s="9" t="str">
        <f t="shared" si="10"/>
        <v>17.000,00</v>
      </c>
      <c r="P126" s="8" t="str">
        <f t="shared" si="11"/>
        <v>Diecisiete Mil Bolívares con 00/100</v>
      </c>
      <c r="Q126" s="403" t="str">
        <f t="shared" si="12"/>
        <v/>
      </c>
    </row>
    <row r="127" spans="1:17" x14ac:dyDescent="0.25">
      <c r="A127" s="1">
        <f t="shared" si="13"/>
        <v>126</v>
      </c>
      <c r="C127" s="12" t="s">
        <v>17</v>
      </c>
      <c r="D127" s="2">
        <v>42808</v>
      </c>
      <c r="E127" s="3">
        <v>17000</v>
      </c>
      <c r="F127" t="s">
        <v>248</v>
      </c>
      <c r="G127" t="s">
        <v>249</v>
      </c>
      <c r="H127" t="s">
        <v>250</v>
      </c>
      <c r="I127" s="10" t="s">
        <v>306</v>
      </c>
      <c r="J127" s="167" t="s">
        <v>22</v>
      </c>
      <c r="K127" s="20" t="s">
        <v>358</v>
      </c>
      <c r="L127" s="9" t="str">
        <f t="shared" si="7"/>
        <v>00126</v>
      </c>
      <c r="M127" s="71" t="str">
        <f t="shared" si="8"/>
        <v>14 de marzo de 2017</v>
      </c>
      <c r="N127" s="39">
        <f t="shared" si="9"/>
        <v>42795</v>
      </c>
      <c r="O127" s="9" t="str">
        <f t="shared" si="10"/>
        <v>17.000,00</v>
      </c>
      <c r="P127" s="8" t="str">
        <f t="shared" si="11"/>
        <v>Diecisiete Mil Bolívares con 00/100</v>
      </c>
      <c r="Q127" s="403" t="str">
        <f t="shared" si="12"/>
        <v/>
      </c>
    </row>
    <row r="128" spans="1:17" x14ac:dyDescent="0.25">
      <c r="A128" s="1">
        <f t="shared" si="13"/>
        <v>127</v>
      </c>
      <c r="C128" s="12" t="s">
        <v>17</v>
      </c>
      <c r="D128" s="2">
        <v>42804</v>
      </c>
      <c r="E128" s="3">
        <v>3000</v>
      </c>
      <c r="F128" t="s">
        <v>94</v>
      </c>
      <c r="G128" t="s">
        <v>95</v>
      </c>
      <c r="H128" t="s">
        <v>96</v>
      </c>
      <c r="I128" s="10" t="s">
        <v>317</v>
      </c>
      <c r="J128" s="167" t="s">
        <v>22</v>
      </c>
      <c r="K128" s="20" t="s">
        <v>359</v>
      </c>
      <c r="L128" s="9" t="str">
        <f t="shared" si="7"/>
        <v>00127</v>
      </c>
      <c r="M128" s="71" t="str">
        <f t="shared" si="8"/>
        <v>10 de marzo de 2017</v>
      </c>
      <c r="N128" s="39">
        <f t="shared" si="9"/>
        <v>42795</v>
      </c>
      <c r="O128" s="9" t="str">
        <f t="shared" si="10"/>
        <v>3.000,00</v>
      </c>
      <c r="P128" s="8" t="str">
        <f t="shared" si="11"/>
        <v>Tres Mil Bolívares con 00/100</v>
      </c>
      <c r="Q128" s="403" t="str">
        <f t="shared" si="12"/>
        <v/>
      </c>
    </row>
    <row r="129" spans="1:17" x14ac:dyDescent="0.25">
      <c r="A129" s="1">
        <f t="shared" si="13"/>
        <v>128</v>
      </c>
      <c r="C129" s="12" t="s">
        <v>17</v>
      </c>
      <c r="D129" s="2">
        <v>42748</v>
      </c>
      <c r="E129" s="3">
        <v>6500</v>
      </c>
      <c r="F129" t="s">
        <v>62</v>
      </c>
      <c r="G129" t="s">
        <v>63</v>
      </c>
      <c r="H129" t="s">
        <v>64</v>
      </c>
      <c r="I129" s="10" t="s">
        <v>98</v>
      </c>
      <c r="J129" s="167" t="s">
        <v>22</v>
      </c>
      <c r="K129" s="20" t="s">
        <v>360</v>
      </c>
      <c r="L129" s="9" t="str">
        <f t="shared" si="7"/>
        <v>00128</v>
      </c>
      <c r="M129" s="71" t="str">
        <f t="shared" si="8"/>
        <v>13 de enero de 2017</v>
      </c>
      <c r="N129" s="39">
        <f t="shared" si="9"/>
        <v>42736</v>
      </c>
      <c r="O129" s="9" t="str">
        <f t="shared" si="10"/>
        <v>6.500,00</v>
      </c>
      <c r="P129" s="8" t="str">
        <f t="shared" si="11"/>
        <v>Seis Mil Quinientos Bolívares con 00/100</v>
      </c>
      <c r="Q129" s="403" t="str">
        <f t="shared" si="12"/>
        <v/>
      </c>
    </row>
    <row r="130" spans="1:17" x14ac:dyDescent="0.25">
      <c r="A130" s="1">
        <f t="shared" si="13"/>
        <v>129</v>
      </c>
      <c r="C130" s="12" t="s">
        <v>17</v>
      </c>
      <c r="D130" s="2">
        <v>42795</v>
      </c>
      <c r="E130" s="3">
        <v>17000</v>
      </c>
      <c r="F130" t="s">
        <v>211</v>
      </c>
      <c r="G130" t="s">
        <v>212</v>
      </c>
      <c r="H130" t="s">
        <v>213</v>
      </c>
      <c r="I130" s="10" t="s">
        <v>142</v>
      </c>
      <c r="J130" s="167" t="s">
        <v>22</v>
      </c>
      <c r="K130" s="20" t="s">
        <v>361</v>
      </c>
      <c r="L130" s="9" t="str">
        <f t="shared" ref="L130:L193" si="14">IF(ISBLANK(A130),"",TEXT(A130,"00000"))</f>
        <v>00129</v>
      </c>
      <c r="M130" s="71" t="str">
        <f t="shared" ref="M130:M193" si="15">IF(ISBLANK(D130),"",TEXT(D130,"dd")&amp;" de "&amp;TEXT(D130,"mmmm")&amp;" de "&amp;TEXT(YEAR(D130),"0"))</f>
        <v>01 de marzo de 2017</v>
      </c>
      <c r="N130" s="39">
        <f t="shared" ref="N130:N193" si="16">DATE(YEAR(D130),MONTH(D130),1)</f>
        <v>42795</v>
      </c>
      <c r="O130" s="9" t="str">
        <f t="shared" ref="O130:O193" si="17">TEXT(E130,"#.##0,00")</f>
        <v>17.000,00</v>
      </c>
      <c r="P130" s="8" t="str">
        <f t="shared" ref="P130:P193" si="18">CONVERTIRNUM(E130)</f>
        <v>Diecisiete Mil Bolívares con 00/100</v>
      </c>
      <c r="Q130" s="403" t="str">
        <f t="shared" si="12"/>
        <v/>
      </c>
    </row>
    <row r="131" spans="1:17" x14ac:dyDescent="0.25">
      <c r="A131" s="1">
        <f t="shared" si="13"/>
        <v>130</v>
      </c>
      <c r="C131" s="12" t="s">
        <v>17</v>
      </c>
      <c r="D131" s="2">
        <v>42800</v>
      </c>
      <c r="E131" s="3">
        <v>17000</v>
      </c>
      <c r="F131" t="s">
        <v>215</v>
      </c>
      <c r="G131" t="s">
        <v>216</v>
      </c>
      <c r="H131" t="s">
        <v>217</v>
      </c>
      <c r="I131" s="10" t="s">
        <v>142</v>
      </c>
      <c r="J131" s="167" t="s">
        <v>22</v>
      </c>
      <c r="K131" s="20" t="s">
        <v>362</v>
      </c>
      <c r="L131" s="9" t="str">
        <f t="shared" si="14"/>
        <v>00130</v>
      </c>
      <c r="M131" s="71" t="str">
        <f t="shared" si="15"/>
        <v>06 de marzo de 2017</v>
      </c>
      <c r="N131" s="39">
        <f t="shared" si="16"/>
        <v>42795</v>
      </c>
      <c r="O131" s="9" t="str">
        <f t="shared" si="17"/>
        <v>17.000,00</v>
      </c>
      <c r="P131" s="8" t="str">
        <f t="shared" si="18"/>
        <v>Diecisiete Mil Bolívares con 00/100</v>
      </c>
      <c r="Q131" s="403" t="str">
        <f t="shared" ref="Q131:Q194" si="19">IF(C131="û","Anulado","")</f>
        <v/>
      </c>
    </row>
    <row r="132" spans="1:17" x14ac:dyDescent="0.25">
      <c r="A132" s="1">
        <f t="shared" ref="A132:A195" si="20">A131+1</f>
        <v>131</v>
      </c>
      <c r="C132" s="12" t="s">
        <v>17</v>
      </c>
      <c r="D132" s="2">
        <v>42793</v>
      </c>
      <c r="E132" s="3">
        <v>17000</v>
      </c>
      <c r="F132" t="s">
        <v>363</v>
      </c>
      <c r="G132" t="s">
        <v>364</v>
      </c>
      <c r="H132" t="s">
        <v>365</v>
      </c>
      <c r="I132" s="10" t="s">
        <v>60</v>
      </c>
      <c r="J132" s="167" t="s">
        <v>22</v>
      </c>
      <c r="K132" s="20" t="s">
        <v>366</v>
      </c>
      <c r="L132" s="9" t="str">
        <f t="shared" si="14"/>
        <v>00131</v>
      </c>
      <c r="M132" s="71" t="str">
        <f t="shared" si="15"/>
        <v>27 de febrero de 2017</v>
      </c>
      <c r="N132" s="39">
        <f t="shared" si="16"/>
        <v>42767</v>
      </c>
      <c r="O132" s="9" t="str">
        <f t="shared" si="17"/>
        <v>17.000,00</v>
      </c>
      <c r="P132" s="8" t="str">
        <f t="shared" si="18"/>
        <v>Diecisiete Mil Bolívares con 00/100</v>
      </c>
      <c r="Q132" s="403" t="str">
        <f t="shared" si="19"/>
        <v/>
      </c>
    </row>
    <row r="133" spans="1:17" x14ac:dyDescent="0.25">
      <c r="A133" s="1">
        <f t="shared" si="20"/>
        <v>132</v>
      </c>
      <c r="C133" s="12" t="s">
        <v>17</v>
      </c>
      <c r="D133" s="2">
        <v>42780</v>
      </c>
      <c r="E133" s="3">
        <v>17000</v>
      </c>
      <c r="F133" t="s">
        <v>122</v>
      </c>
      <c r="G133" t="s">
        <v>123</v>
      </c>
      <c r="H133" t="s">
        <v>124</v>
      </c>
      <c r="I133" s="10" t="s">
        <v>142</v>
      </c>
      <c r="J133" s="167" t="s">
        <v>22</v>
      </c>
      <c r="K133" s="20" t="s">
        <v>367</v>
      </c>
      <c r="L133" s="9" t="str">
        <f t="shared" si="14"/>
        <v>00132</v>
      </c>
      <c r="M133" s="71" t="str">
        <f t="shared" si="15"/>
        <v>14 de febrero de 2017</v>
      </c>
      <c r="N133" s="39">
        <f t="shared" si="16"/>
        <v>42767</v>
      </c>
      <c r="O133" s="9" t="str">
        <f t="shared" si="17"/>
        <v>17.000,00</v>
      </c>
      <c r="P133" s="8" t="str">
        <f t="shared" si="18"/>
        <v>Diecisiete Mil Bolívares con 00/100</v>
      </c>
      <c r="Q133" s="403" t="str">
        <f t="shared" si="19"/>
        <v/>
      </c>
    </row>
    <row r="134" spans="1:17" x14ac:dyDescent="0.25">
      <c r="A134" s="1">
        <f t="shared" si="20"/>
        <v>133</v>
      </c>
      <c r="C134" s="12" t="s">
        <v>17</v>
      </c>
      <c r="D134" s="2">
        <v>42780</v>
      </c>
      <c r="E134" s="3">
        <v>6200</v>
      </c>
      <c r="F134" t="s">
        <v>44</v>
      </c>
      <c r="G134" t="s">
        <v>45</v>
      </c>
      <c r="H134" t="s">
        <v>46</v>
      </c>
      <c r="I134" s="10" t="s">
        <v>368</v>
      </c>
      <c r="J134" s="167" t="s">
        <v>369</v>
      </c>
      <c r="K134" s="20" t="s">
        <v>370</v>
      </c>
      <c r="L134" s="9" t="str">
        <f t="shared" si="14"/>
        <v>00133</v>
      </c>
      <c r="M134" s="71" t="str">
        <f t="shared" si="15"/>
        <v>14 de febrero de 2017</v>
      </c>
      <c r="N134" s="39">
        <f t="shared" si="16"/>
        <v>42767</v>
      </c>
      <c r="O134" s="9" t="str">
        <f t="shared" si="17"/>
        <v>6.200,00</v>
      </c>
      <c r="P134" s="8" t="str">
        <f t="shared" si="18"/>
        <v>Seis Mil Doscientos Bolívares con 00/100</v>
      </c>
      <c r="Q134" s="403" t="str">
        <f t="shared" si="19"/>
        <v/>
      </c>
    </row>
    <row r="135" spans="1:17" x14ac:dyDescent="0.25">
      <c r="A135" s="1">
        <f t="shared" si="20"/>
        <v>134</v>
      </c>
      <c r="C135" s="12" t="s">
        <v>17</v>
      </c>
      <c r="D135" s="2">
        <v>42746</v>
      </c>
      <c r="E135" s="3">
        <v>6500</v>
      </c>
      <c r="F135" t="s">
        <v>53</v>
      </c>
      <c r="G135" t="s">
        <v>54</v>
      </c>
      <c r="H135" t="s">
        <v>55</v>
      </c>
      <c r="I135" s="10" t="s">
        <v>98</v>
      </c>
      <c r="J135" s="167" t="s">
        <v>22</v>
      </c>
      <c r="K135" s="20" t="s">
        <v>371</v>
      </c>
      <c r="L135" s="9" t="str">
        <f t="shared" si="14"/>
        <v>00134</v>
      </c>
      <c r="M135" s="71" t="str">
        <f t="shared" si="15"/>
        <v>11 de enero de 2017</v>
      </c>
      <c r="N135" s="39">
        <f t="shared" si="16"/>
        <v>42736</v>
      </c>
      <c r="O135" s="9" t="str">
        <f t="shared" si="17"/>
        <v>6.500,00</v>
      </c>
      <c r="P135" s="8" t="str">
        <f t="shared" si="18"/>
        <v>Seis Mil Quinientos Bolívares con 00/100</v>
      </c>
      <c r="Q135" s="403" t="str">
        <f t="shared" si="19"/>
        <v/>
      </c>
    </row>
    <row r="136" spans="1:17" x14ac:dyDescent="0.25">
      <c r="A136" s="1">
        <f t="shared" si="20"/>
        <v>135</v>
      </c>
      <c r="C136" s="12" t="s">
        <v>17</v>
      </c>
      <c r="D136" s="2">
        <v>42786</v>
      </c>
      <c r="E136" s="3">
        <f>17000*2</f>
        <v>34000</v>
      </c>
      <c r="F136" s="11" t="s">
        <v>372</v>
      </c>
      <c r="G136" t="s">
        <v>373</v>
      </c>
      <c r="H136" t="s">
        <v>374</v>
      </c>
      <c r="I136" s="10" t="s">
        <v>222</v>
      </c>
      <c r="J136" s="167" t="s">
        <v>22</v>
      </c>
      <c r="K136" s="20" t="s">
        <v>375</v>
      </c>
      <c r="L136" s="9" t="str">
        <f t="shared" si="14"/>
        <v>00135</v>
      </c>
      <c r="M136" s="71" t="str">
        <f t="shared" si="15"/>
        <v>20 de febrero de 2017</v>
      </c>
      <c r="N136" s="39">
        <f t="shared" si="16"/>
        <v>42767</v>
      </c>
      <c r="O136" s="9" t="str">
        <f t="shared" si="17"/>
        <v>34.000,00</v>
      </c>
      <c r="P136" s="8" t="str">
        <f t="shared" si="18"/>
        <v>Treinta y Cuatro Mil Bolívares con 00/100</v>
      </c>
      <c r="Q136" s="403" t="str">
        <f t="shared" si="19"/>
        <v/>
      </c>
    </row>
    <row r="137" spans="1:17" ht="15.75" thickBot="1" x14ac:dyDescent="0.3">
      <c r="A137" s="1">
        <f t="shared" si="20"/>
        <v>136</v>
      </c>
      <c r="C137" s="12" t="s">
        <v>17</v>
      </c>
      <c r="D137" s="2">
        <v>42808</v>
      </c>
      <c r="E137" s="3">
        <v>17000</v>
      </c>
      <c r="F137" t="s">
        <v>122</v>
      </c>
      <c r="G137" t="s">
        <v>123</v>
      </c>
      <c r="H137" t="s">
        <v>124</v>
      </c>
      <c r="I137" s="10" t="s">
        <v>306</v>
      </c>
      <c r="J137" s="167" t="s">
        <v>22</v>
      </c>
      <c r="K137" s="20" t="s">
        <v>376</v>
      </c>
      <c r="L137" s="9" t="str">
        <f t="shared" si="14"/>
        <v>00136</v>
      </c>
      <c r="M137" s="71" t="str">
        <f t="shared" si="15"/>
        <v>14 de marzo de 2017</v>
      </c>
      <c r="N137" s="39">
        <f t="shared" si="16"/>
        <v>42795</v>
      </c>
      <c r="O137" s="9" t="str">
        <f t="shared" si="17"/>
        <v>17.000,00</v>
      </c>
      <c r="P137" s="8" t="str">
        <f t="shared" si="18"/>
        <v>Diecisiete Mil Bolívares con 00/100</v>
      </c>
      <c r="Q137" s="403" t="str">
        <f t="shared" si="19"/>
        <v/>
      </c>
    </row>
    <row r="138" spans="1:17" ht="15.75" thickBot="1" x14ac:dyDescent="0.3">
      <c r="A138" s="1">
        <f t="shared" si="20"/>
        <v>137</v>
      </c>
      <c r="C138" s="12" t="s">
        <v>17</v>
      </c>
      <c r="D138" s="2">
        <v>42808</v>
      </c>
      <c r="E138" s="3">
        <v>5000</v>
      </c>
      <c r="F138" t="s">
        <v>74</v>
      </c>
      <c r="G138" s="27" t="s">
        <v>58</v>
      </c>
      <c r="H138" t="s">
        <v>75</v>
      </c>
      <c r="I138" s="10" t="s">
        <v>317</v>
      </c>
      <c r="J138" s="167" t="s">
        <v>22</v>
      </c>
      <c r="K138" s="20" t="s">
        <v>377</v>
      </c>
      <c r="L138" s="9" t="str">
        <f t="shared" si="14"/>
        <v>00137</v>
      </c>
      <c r="M138" s="71" t="str">
        <f t="shared" si="15"/>
        <v>14 de marzo de 2017</v>
      </c>
      <c r="N138" s="39">
        <f t="shared" si="16"/>
        <v>42795</v>
      </c>
      <c r="O138" s="9" t="str">
        <f t="shared" si="17"/>
        <v>5.000,00</v>
      </c>
      <c r="P138" s="8" t="str">
        <f t="shared" si="18"/>
        <v>Cinco Mil Bolívares con 00/100</v>
      </c>
      <c r="Q138" s="403" t="str">
        <f t="shared" si="19"/>
        <v/>
      </c>
    </row>
    <row r="139" spans="1:17" x14ac:dyDescent="0.25">
      <c r="A139" s="1">
        <f t="shared" si="20"/>
        <v>138</v>
      </c>
      <c r="C139" s="12" t="s">
        <v>17</v>
      </c>
      <c r="D139" s="2">
        <v>42804</v>
      </c>
      <c r="E139" s="3">
        <v>22000</v>
      </c>
      <c r="F139" t="s">
        <v>66</v>
      </c>
      <c r="G139" t="s">
        <v>67</v>
      </c>
      <c r="H139" t="s">
        <v>68</v>
      </c>
      <c r="I139" s="10" t="s">
        <v>306</v>
      </c>
      <c r="J139" s="167" t="s">
        <v>22</v>
      </c>
      <c r="K139" s="20" t="s">
        <v>378</v>
      </c>
      <c r="L139" s="9" t="str">
        <f t="shared" si="14"/>
        <v>00138</v>
      </c>
      <c r="M139" s="71" t="str">
        <f t="shared" si="15"/>
        <v>10 de marzo de 2017</v>
      </c>
      <c r="N139" s="39">
        <f t="shared" si="16"/>
        <v>42795</v>
      </c>
      <c r="O139" s="9" t="str">
        <f t="shared" si="17"/>
        <v>22.000,00</v>
      </c>
      <c r="P139" s="8" t="str">
        <f t="shared" si="18"/>
        <v>Veintidos Mil Bolívares con 00/100</v>
      </c>
      <c r="Q139" s="403" t="str">
        <f t="shared" si="19"/>
        <v/>
      </c>
    </row>
    <row r="140" spans="1:17" x14ac:dyDescent="0.25">
      <c r="A140" s="1">
        <f t="shared" si="20"/>
        <v>139</v>
      </c>
      <c r="C140" s="12" t="s">
        <v>17</v>
      </c>
      <c r="D140" s="2">
        <v>42810</v>
      </c>
      <c r="E140" s="3">
        <v>17000</v>
      </c>
      <c r="F140" t="s">
        <v>44</v>
      </c>
      <c r="G140" t="s">
        <v>45</v>
      </c>
      <c r="H140" t="s">
        <v>46</v>
      </c>
      <c r="I140" s="10" t="s">
        <v>306</v>
      </c>
      <c r="J140" s="167" t="s">
        <v>22</v>
      </c>
      <c r="K140" s="20" t="s">
        <v>379</v>
      </c>
      <c r="L140" s="9" t="str">
        <f t="shared" si="14"/>
        <v>00139</v>
      </c>
      <c r="M140" s="71" t="str">
        <f t="shared" si="15"/>
        <v>16 de marzo de 2017</v>
      </c>
      <c r="N140" s="39">
        <f t="shared" si="16"/>
        <v>42795</v>
      </c>
      <c r="O140" s="9" t="str">
        <f t="shared" si="17"/>
        <v>17.000,00</v>
      </c>
      <c r="P140" s="8" t="str">
        <f t="shared" si="18"/>
        <v>Diecisiete Mil Bolívares con 00/100</v>
      </c>
      <c r="Q140" s="403" t="str">
        <f t="shared" si="19"/>
        <v/>
      </c>
    </row>
    <row r="141" spans="1:17" x14ac:dyDescent="0.25">
      <c r="A141" s="1">
        <f t="shared" si="20"/>
        <v>140</v>
      </c>
      <c r="C141" s="12" t="s">
        <v>17</v>
      </c>
      <c r="D141" s="2">
        <v>42813</v>
      </c>
      <c r="E141" s="3">
        <v>17000</v>
      </c>
      <c r="F141" t="s">
        <v>334</v>
      </c>
      <c r="G141" t="s">
        <v>85</v>
      </c>
      <c r="H141" t="s">
        <v>335</v>
      </c>
      <c r="I141" s="10" t="s">
        <v>306</v>
      </c>
      <c r="J141" s="167" t="s">
        <v>22</v>
      </c>
      <c r="K141" s="20" t="s">
        <v>380</v>
      </c>
      <c r="L141" s="9" t="str">
        <f t="shared" si="14"/>
        <v>00140</v>
      </c>
      <c r="M141" s="71" t="str">
        <f t="shared" si="15"/>
        <v>19 de marzo de 2017</v>
      </c>
      <c r="N141" s="39">
        <f t="shared" si="16"/>
        <v>42795</v>
      </c>
      <c r="O141" s="9" t="str">
        <f t="shared" si="17"/>
        <v>17.000,00</v>
      </c>
      <c r="P141" s="8" t="str">
        <f t="shared" si="18"/>
        <v>Diecisiete Mil Bolívares con 00/100</v>
      </c>
      <c r="Q141" s="403" t="str">
        <f t="shared" si="19"/>
        <v/>
      </c>
    </row>
    <row r="142" spans="1:17" x14ac:dyDescent="0.25">
      <c r="A142" s="1">
        <f t="shared" si="20"/>
        <v>141</v>
      </c>
      <c r="C142" s="12" t="s">
        <v>17</v>
      </c>
      <c r="D142" s="2">
        <v>42812</v>
      </c>
      <c r="E142" s="3">
        <v>10000</v>
      </c>
      <c r="F142" t="s">
        <v>118</v>
      </c>
      <c r="G142" t="s">
        <v>119</v>
      </c>
      <c r="H142" t="s">
        <v>120</v>
      </c>
      <c r="I142" s="10" t="s">
        <v>317</v>
      </c>
      <c r="J142" s="167" t="s">
        <v>22</v>
      </c>
      <c r="K142" s="20" t="s">
        <v>381</v>
      </c>
      <c r="L142" s="9" t="str">
        <f t="shared" si="14"/>
        <v>00141</v>
      </c>
      <c r="M142" s="71" t="str">
        <f t="shared" si="15"/>
        <v>18 de marzo de 2017</v>
      </c>
      <c r="N142" s="39">
        <f t="shared" si="16"/>
        <v>42795</v>
      </c>
      <c r="O142" s="9" t="str">
        <f t="shared" si="17"/>
        <v>10.000,00</v>
      </c>
      <c r="P142" s="8" t="str">
        <f t="shared" si="18"/>
        <v>Diez Mil Bolívares con 00/100</v>
      </c>
      <c r="Q142" s="403" t="str">
        <f t="shared" si="19"/>
        <v/>
      </c>
    </row>
    <row r="143" spans="1:17" x14ac:dyDescent="0.25">
      <c r="A143" s="1">
        <f t="shared" si="20"/>
        <v>142</v>
      </c>
      <c r="C143" s="12" t="s">
        <v>17</v>
      </c>
      <c r="D143" s="2">
        <v>42810</v>
      </c>
      <c r="E143" s="3">
        <v>18000</v>
      </c>
      <c r="F143" t="s">
        <v>324</v>
      </c>
      <c r="G143" t="s">
        <v>325</v>
      </c>
      <c r="H143" t="s">
        <v>326</v>
      </c>
      <c r="I143" s="10" t="s">
        <v>382</v>
      </c>
      <c r="J143" s="167" t="s">
        <v>22</v>
      </c>
      <c r="K143" s="20" t="s">
        <v>383</v>
      </c>
      <c r="L143" s="9" t="str">
        <f t="shared" si="14"/>
        <v>00142</v>
      </c>
      <c r="M143" s="71" t="str">
        <f t="shared" si="15"/>
        <v>16 de marzo de 2017</v>
      </c>
      <c r="N143" s="39">
        <f t="shared" si="16"/>
        <v>42795</v>
      </c>
      <c r="O143" s="9" t="str">
        <f t="shared" si="17"/>
        <v>18.000,00</v>
      </c>
      <c r="P143" s="8" t="str">
        <f t="shared" si="18"/>
        <v>Dieciocho Mil Bolívares con 00/100</v>
      </c>
      <c r="Q143" s="403" t="str">
        <f t="shared" si="19"/>
        <v/>
      </c>
    </row>
    <row r="144" spans="1:17" x14ac:dyDescent="0.25">
      <c r="A144" s="1">
        <f t="shared" si="20"/>
        <v>143</v>
      </c>
      <c r="C144" s="12" t="s">
        <v>17</v>
      </c>
      <c r="D144" s="2">
        <v>42809</v>
      </c>
      <c r="E144" s="3">
        <v>17000</v>
      </c>
      <c r="F144" t="s">
        <v>148</v>
      </c>
      <c r="G144" t="s">
        <v>149</v>
      </c>
      <c r="H144" t="s">
        <v>150</v>
      </c>
      <c r="I144" s="10" t="s">
        <v>306</v>
      </c>
      <c r="J144" s="167" t="s">
        <v>22</v>
      </c>
      <c r="K144" s="20" t="s">
        <v>384</v>
      </c>
      <c r="L144" s="9" t="str">
        <f t="shared" si="14"/>
        <v>00143</v>
      </c>
      <c r="M144" s="71" t="str">
        <f t="shared" si="15"/>
        <v>15 de marzo de 2017</v>
      </c>
      <c r="N144" s="39">
        <f t="shared" si="16"/>
        <v>42795</v>
      </c>
      <c r="O144" s="9" t="str">
        <f t="shared" si="17"/>
        <v>17.000,00</v>
      </c>
      <c r="P144" s="8" t="str">
        <f t="shared" si="18"/>
        <v>Diecisiete Mil Bolívares con 00/100</v>
      </c>
      <c r="Q144" s="403" t="str">
        <f t="shared" si="19"/>
        <v/>
      </c>
    </row>
    <row r="145" spans="1:17" x14ac:dyDescent="0.25">
      <c r="A145" s="1">
        <f t="shared" si="20"/>
        <v>144</v>
      </c>
      <c r="C145" s="12" t="s">
        <v>17</v>
      </c>
      <c r="D145" s="2">
        <v>42810</v>
      </c>
      <c r="E145" s="3">
        <v>17000</v>
      </c>
      <c r="F145" t="s">
        <v>103</v>
      </c>
      <c r="G145" t="s">
        <v>104</v>
      </c>
      <c r="H145" t="s">
        <v>105</v>
      </c>
      <c r="I145" s="10" t="s">
        <v>306</v>
      </c>
      <c r="J145" s="167" t="s">
        <v>22</v>
      </c>
      <c r="K145" s="20" t="s">
        <v>385</v>
      </c>
      <c r="L145" s="9" t="str">
        <f t="shared" si="14"/>
        <v>00144</v>
      </c>
      <c r="M145" s="71" t="str">
        <f t="shared" si="15"/>
        <v>16 de marzo de 2017</v>
      </c>
      <c r="N145" s="39">
        <f t="shared" si="16"/>
        <v>42795</v>
      </c>
      <c r="O145" s="9" t="str">
        <f t="shared" si="17"/>
        <v>17.000,00</v>
      </c>
      <c r="P145" s="8" t="str">
        <f t="shared" si="18"/>
        <v>Diecisiete Mil Bolívares con 00/100</v>
      </c>
      <c r="Q145" s="403" t="str">
        <f t="shared" si="19"/>
        <v/>
      </c>
    </row>
    <row r="146" spans="1:17" x14ac:dyDescent="0.25">
      <c r="A146" s="1">
        <f t="shared" si="20"/>
        <v>145</v>
      </c>
      <c r="C146" s="12" t="s">
        <v>17</v>
      </c>
      <c r="D146" s="2">
        <v>42809</v>
      </c>
      <c r="E146" s="3">
        <v>17000</v>
      </c>
      <c r="F146" t="s">
        <v>80</v>
      </c>
      <c r="G146" t="s">
        <v>81</v>
      </c>
      <c r="H146" t="s">
        <v>82</v>
      </c>
      <c r="I146" s="10" t="s">
        <v>306</v>
      </c>
      <c r="J146" s="167" t="s">
        <v>22</v>
      </c>
      <c r="K146" s="20" t="s">
        <v>386</v>
      </c>
      <c r="L146" s="9" t="str">
        <f t="shared" si="14"/>
        <v>00145</v>
      </c>
      <c r="M146" s="71" t="str">
        <f t="shared" si="15"/>
        <v>15 de marzo de 2017</v>
      </c>
      <c r="N146" s="39">
        <f t="shared" si="16"/>
        <v>42795</v>
      </c>
      <c r="O146" s="9" t="str">
        <f t="shared" si="17"/>
        <v>17.000,00</v>
      </c>
      <c r="P146" s="8" t="str">
        <f t="shared" si="18"/>
        <v>Diecisiete Mil Bolívares con 00/100</v>
      </c>
      <c r="Q146" s="403" t="str">
        <f t="shared" si="19"/>
        <v/>
      </c>
    </row>
    <row r="147" spans="1:17" x14ac:dyDescent="0.25">
      <c r="A147" s="1">
        <f t="shared" si="20"/>
        <v>146</v>
      </c>
      <c r="C147" s="12" t="s">
        <v>17</v>
      </c>
      <c r="D147" s="2">
        <v>42809</v>
      </c>
      <c r="E147" s="3">
        <v>10500</v>
      </c>
      <c r="F147" t="s">
        <v>177</v>
      </c>
      <c r="G147" t="s">
        <v>178</v>
      </c>
      <c r="H147" t="s">
        <v>179</v>
      </c>
      <c r="I147" s="10" t="s">
        <v>346</v>
      </c>
      <c r="J147" s="167" t="s">
        <v>22</v>
      </c>
      <c r="K147" s="20" t="s">
        <v>387</v>
      </c>
      <c r="L147" s="9" t="str">
        <f t="shared" si="14"/>
        <v>00146</v>
      </c>
      <c r="M147" s="71" t="str">
        <f t="shared" si="15"/>
        <v>15 de marzo de 2017</v>
      </c>
      <c r="N147" s="39">
        <f t="shared" si="16"/>
        <v>42795</v>
      </c>
      <c r="O147" s="9" t="str">
        <f t="shared" si="17"/>
        <v>10.500,00</v>
      </c>
      <c r="P147" s="8" t="str">
        <f t="shared" si="18"/>
        <v>Diez Mil Quinientos Bolívares con 00/100</v>
      </c>
      <c r="Q147" s="403" t="str">
        <f t="shared" si="19"/>
        <v/>
      </c>
    </row>
    <row r="148" spans="1:17" x14ac:dyDescent="0.25">
      <c r="A148" s="1">
        <f t="shared" si="20"/>
        <v>147</v>
      </c>
      <c r="C148" s="12" t="s">
        <v>17</v>
      </c>
      <c r="D148" s="2">
        <v>42819</v>
      </c>
      <c r="E148" s="3">
        <f>6500+10500</f>
        <v>17000</v>
      </c>
      <c r="F148" t="s">
        <v>177</v>
      </c>
      <c r="G148" t="s">
        <v>178</v>
      </c>
      <c r="H148" t="s">
        <v>179</v>
      </c>
      <c r="I148" s="10" t="s">
        <v>388</v>
      </c>
      <c r="J148" s="167" t="s">
        <v>22</v>
      </c>
      <c r="K148" s="20" t="s">
        <v>389</v>
      </c>
      <c r="L148" s="9" t="str">
        <f t="shared" si="14"/>
        <v>00147</v>
      </c>
      <c r="M148" s="71" t="str">
        <f t="shared" si="15"/>
        <v>25 de marzo de 2017</v>
      </c>
      <c r="N148" s="39">
        <f t="shared" si="16"/>
        <v>42795</v>
      </c>
      <c r="O148" s="9" t="str">
        <f t="shared" si="17"/>
        <v>17.000,00</v>
      </c>
      <c r="P148" s="8" t="str">
        <f t="shared" si="18"/>
        <v>Diecisiete Mil Bolívares con 00/100</v>
      </c>
      <c r="Q148" s="403" t="str">
        <f t="shared" si="19"/>
        <v/>
      </c>
    </row>
    <row r="149" spans="1:17" x14ac:dyDescent="0.25">
      <c r="A149" s="1">
        <f t="shared" si="20"/>
        <v>148</v>
      </c>
      <c r="C149" s="12" t="s">
        <v>17</v>
      </c>
      <c r="D149" s="2">
        <v>42815</v>
      </c>
      <c r="E149" s="3">
        <v>17000</v>
      </c>
      <c r="F149" t="s">
        <v>185</v>
      </c>
      <c r="G149" t="s">
        <v>186</v>
      </c>
      <c r="H149" t="s">
        <v>187</v>
      </c>
      <c r="I149" s="10" t="s">
        <v>142</v>
      </c>
      <c r="J149" s="167" t="s">
        <v>22</v>
      </c>
      <c r="K149" s="20" t="s">
        <v>390</v>
      </c>
      <c r="L149" s="9" t="str">
        <f t="shared" si="14"/>
        <v>00148</v>
      </c>
      <c r="M149" s="71" t="str">
        <f t="shared" si="15"/>
        <v>21 de marzo de 2017</v>
      </c>
      <c r="N149" s="39">
        <f t="shared" si="16"/>
        <v>42795</v>
      </c>
      <c r="O149" s="9" t="str">
        <f t="shared" si="17"/>
        <v>17.000,00</v>
      </c>
      <c r="P149" s="8" t="str">
        <f t="shared" si="18"/>
        <v>Diecisiete Mil Bolívares con 00/100</v>
      </c>
      <c r="Q149" s="403" t="str">
        <f t="shared" si="19"/>
        <v/>
      </c>
    </row>
    <row r="150" spans="1:17" ht="15.75" thickBot="1" x14ac:dyDescent="0.3">
      <c r="A150" s="1">
        <f t="shared" si="20"/>
        <v>149</v>
      </c>
      <c r="C150" s="12" t="s">
        <v>17</v>
      </c>
      <c r="D150" s="2">
        <v>42818</v>
      </c>
      <c r="E150" s="3">
        <v>17000</v>
      </c>
      <c r="F150" t="s">
        <v>167</v>
      </c>
      <c r="G150" t="s">
        <v>168</v>
      </c>
      <c r="H150" t="s">
        <v>169</v>
      </c>
      <c r="I150" s="10" t="s">
        <v>306</v>
      </c>
      <c r="J150" s="167" t="s">
        <v>22</v>
      </c>
      <c r="K150" s="20" t="s">
        <v>391</v>
      </c>
      <c r="L150" s="9" t="str">
        <f t="shared" si="14"/>
        <v>00149</v>
      </c>
      <c r="M150" s="71" t="str">
        <f t="shared" si="15"/>
        <v>24 de marzo de 2017</v>
      </c>
      <c r="N150" s="39">
        <f t="shared" si="16"/>
        <v>42795</v>
      </c>
      <c r="O150" s="9" t="str">
        <f t="shared" si="17"/>
        <v>17.000,00</v>
      </c>
      <c r="P150" s="8" t="str">
        <f t="shared" si="18"/>
        <v>Diecisiete Mil Bolívares con 00/100</v>
      </c>
      <c r="Q150" s="403" t="str">
        <f t="shared" si="19"/>
        <v/>
      </c>
    </row>
    <row r="151" spans="1:17" ht="15.75" thickBot="1" x14ac:dyDescent="0.3">
      <c r="A151" s="1">
        <f t="shared" si="20"/>
        <v>150</v>
      </c>
      <c r="C151" s="12" t="s">
        <v>17</v>
      </c>
      <c r="D151" s="2">
        <v>42820</v>
      </c>
      <c r="E151" s="3">
        <v>3000</v>
      </c>
      <c r="F151" t="s">
        <v>303</v>
      </c>
      <c r="G151" s="27" t="s">
        <v>58</v>
      </c>
      <c r="H151" t="s">
        <v>304</v>
      </c>
      <c r="I151" s="10" t="s">
        <v>317</v>
      </c>
      <c r="J151" s="167" t="s">
        <v>22</v>
      </c>
      <c r="K151" s="20" t="s">
        <v>392</v>
      </c>
      <c r="L151" s="9" t="str">
        <f t="shared" si="14"/>
        <v>00150</v>
      </c>
      <c r="M151" s="71" t="str">
        <f t="shared" si="15"/>
        <v>26 de marzo de 2017</v>
      </c>
      <c r="N151" s="39">
        <f t="shared" si="16"/>
        <v>42795</v>
      </c>
      <c r="O151" s="9" t="str">
        <f t="shared" si="17"/>
        <v>3.000,00</v>
      </c>
      <c r="P151" s="8" t="str">
        <f t="shared" si="18"/>
        <v>Tres Mil Bolívares con 00/100</v>
      </c>
      <c r="Q151" s="403" t="str">
        <f t="shared" si="19"/>
        <v/>
      </c>
    </row>
    <row r="152" spans="1:17" x14ac:dyDescent="0.25">
      <c r="A152" s="1">
        <f t="shared" si="20"/>
        <v>151</v>
      </c>
      <c r="C152" s="12" t="s">
        <v>17</v>
      </c>
      <c r="D152" s="2">
        <v>42821</v>
      </c>
      <c r="E152" s="3">
        <v>17000</v>
      </c>
      <c r="F152" t="s">
        <v>126</v>
      </c>
      <c r="G152" t="s">
        <v>127</v>
      </c>
      <c r="H152" t="s">
        <v>128</v>
      </c>
      <c r="I152" s="10" t="s">
        <v>306</v>
      </c>
      <c r="J152" s="167" t="s">
        <v>22</v>
      </c>
      <c r="K152" s="20" t="s">
        <v>393</v>
      </c>
      <c r="L152" s="9" t="str">
        <f t="shared" si="14"/>
        <v>00151</v>
      </c>
      <c r="M152" s="71" t="str">
        <f t="shared" si="15"/>
        <v>27 de marzo de 2017</v>
      </c>
      <c r="N152" s="39">
        <f t="shared" si="16"/>
        <v>42795</v>
      </c>
      <c r="O152" s="9" t="str">
        <f t="shared" si="17"/>
        <v>17.000,00</v>
      </c>
      <c r="P152" s="8" t="str">
        <f t="shared" si="18"/>
        <v>Diecisiete Mil Bolívares con 00/100</v>
      </c>
      <c r="Q152" s="403" t="str">
        <f t="shared" si="19"/>
        <v/>
      </c>
    </row>
    <row r="153" spans="1:17" x14ac:dyDescent="0.25">
      <c r="A153" s="1">
        <f t="shared" si="20"/>
        <v>152</v>
      </c>
      <c r="C153" s="12" t="s">
        <v>17</v>
      </c>
      <c r="D153" s="2">
        <v>42824</v>
      </c>
      <c r="E153" s="3">
        <v>4000</v>
      </c>
      <c r="F153" t="s">
        <v>144</v>
      </c>
      <c r="G153" t="s">
        <v>145</v>
      </c>
      <c r="H153" t="s">
        <v>146</v>
      </c>
      <c r="I153" s="10" t="s">
        <v>317</v>
      </c>
      <c r="J153" s="167" t="s">
        <v>22</v>
      </c>
      <c r="K153" s="20" t="s">
        <v>394</v>
      </c>
      <c r="L153" s="9" t="str">
        <f t="shared" si="14"/>
        <v>00152</v>
      </c>
      <c r="M153" s="71" t="str">
        <f t="shared" si="15"/>
        <v>30 de marzo de 2017</v>
      </c>
      <c r="N153" s="39">
        <f t="shared" si="16"/>
        <v>42795</v>
      </c>
      <c r="O153" s="9" t="str">
        <f t="shared" si="17"/>
        <v>4.000,00</v>
      </c>
      <c r="P153" s="8" t="str">
        <f t="shared" si="18"/>
        <v>Cuatro Mil Bolívares con 00/100</v>
      </c>
      <c r="Q153" s="403" t="str">
        <f t="shared" si="19"/>
        <v/>
      </c>
    </row>
    <row r="154" spans="1:17" x14ac:dyDescent="0.25">
      <c r="A154" s="1">
        <f t="shared" si="20"/>
        <v>153</v>
      </c>
      <c r="C154" s="12" t="s">
        <v>17</v>
      </c>
      <c r="D154" s="2">
        <v>42824</v>
      </c>
      <c r="E154" s="3">
        <v>10000</v>
      </c>
      <c r="F154" t="s">
        <v>296</v>
      </c>
      <c r="G154" t="s">
        <v>297</v>
      </c>
      <c r="H154" t="s">
        <v>298</v>
      </c>
      <c r="I154" s="10" t="s">
        <v>317</v>
      </c>
      <c r="J154" s="167" t="s">
        <v>22</v>
      </c>
      <c r="K154" s="20" t="s">
        <v>395</v>
      </c>
      <c r="L154" s="9" t="str">
        <f t="shared" si="14"/>
        <v>00153</v>
      </c>
      <c r="M154" s="71" t="str">
        <f t="shared" si="15"/>
        <v>30 de marzo de 2017</v>
      </c>
      <c r="N154" s="39">
        <f t="shared" si="16"/>
        <v>42795</v>
      </c>
      <c r="O154" s="9" t="str">
        <f t="shared" si="17"/>
        <v>10.000,00</v>
      </c>
      <c r="P154" s="8" t="str">
        <f t="shared" si="18"/>
        <v>Diez Mil Bolívares con 00/100</v>
      </c>
      <c r="Q154" s="403" t="str">
        <f t="shared" si="19"/>
        <v/>
      </c>
    </row>
    <row r="155" spans="1:17" x14ac:dyDescent="0.25">
      <c r="A155" s="1">
        <f t="shared" si="20"/>
        <v>154</v>
      </c>
      <c r="C155" s="12" t="s">
        <v>17</v>
      </c>
      <c r="D155" s="2">
        <v>42829</v>
      </c>
      <c r="E155" s="3">
        <v>17000</v>
      </c>
      <c r="F155" t="s">
        <v>107</v>
      </c>
      <c r="G155" t="s">
        <v>108</v>
      </c>
      <c r="H155" t="s">
        <v>109</v>
      </c>
      <c r="I155" s="10" t="s">
        <v>396</v>
      </c>
      <c r="J155" s="167" t="s">
        <v>22</v>
      </c>
      <c r="L155" s="9" t="str">
        <f t="shared" si="14"/>
        <v>00154</v>
      </c>
      <c r="M155" s="71" t="str">
        <f t="shared" si="15"/>
        <v>04 de abril de 2017</v>
      </c>
      <c r="N155" s="39">
        <f t="shared" si="16"/>
        <v>42826</v>
      </c>
      <c r="O155" s="9" t="str">
        <f t="shared" si="17"/>
        <v>17.000,00</v>
      </c>
      <c r="P155" s="8" t="str">
        <f t="shared" si="18"/>
        <v>Diecisiete Mil Bolívares con 00/100</v>
      </c>
      <c r="Q155" s="403" t="str">
        <f t="shared" si="19"/>
        <v/>
      </c>
    </row>
    <row r="156" spans="1:17" x14ac:dyDescent="0.25">
      <c r="A156" s="1">
        <f t="shared" si="20"/>
        <v>155</v>
      </c>
      <c r="C156" s="12" t="s">
        <v>17</v>
      </c>
      <c r="D156" s="2">
        <v>42829</v>
      </c>
      <c r="E156" s="3">
        <f>10500*2</f>
        <v>21000</v>
      </c>
      <c r="F156" t="s">
        <v>28</v>
      </c>
      <c r="G156" t="s">
        <v>29</v>
      </c>
      <c r="H156" t="s">
        <v>30</v>
      </c>
      <c r="I156" s="10" t="s">
        <v>397</v>
      </c>
      <c r="J156" s="167" t="s">
        <v>22</v>
      </c>
      <c r="L156" s="9" t="str">
        <f t="shared" si="14"/>
        <v>00155</v>
      </c>
      <c r="M156" s="71" t="str">
        <f t="shared" si="15"/>
        <v>04 de abril de 2017</v>
      </c>
      <c r="N156" s="39">
        <f t="shared" si="16"/>
        <v>42826</v>
      </c>
      <c r="O156" s="9" t="str">
        <f t="shared" si="17"/>
        <v>21.000,00</v>
      </c>
      <c r="P156" s="8" t="str">
        <f t="shared" si="18"/>
        <v>Veintiun Mil Bolívares con 00/100</v>
      </c>
      <c r="Q156" s="403" t="str">
        <f t="shared" si="19"/>
        <v/>
      </c>
    </row>
    <row r="157" spans="1:17" ht="15.75" thickBot="1" x14ac:dyDescent="0.3">
      <c r="A157" s="1">
        <f t="shared" si="20"/>
        <v>156</v>
      </c>
      <c r="C157" s="12" t="s">
        <v>17</v>
      </c>
      <c r="D157" s="2">
        <v>42821</v>
      </c>
      <c r="E157" s="3">
        <f>17000*2</f>
        <v>34000</v>
      </c>
      <c r="F157" t="s">
        <v>354</v>
      </c>
      <c r="G157" t="s">
        <v>355</v>
      </c>
      <c r="H157" t="s">
        <v>356</v>
      </c>
      <c r="I157" s="10" t="s">
        <v>195</v>
      </c>
      <c r="J157" s="167" t="s">
        <v>22</v>
      </c>
      <c r="L157" s="9" t="str">
        <f t="shared" si="14"/>
        <v>00156</v>
      </c>
      <c r="M157" s="71" t="str">
        <f t="shared" si="15"/>
        <v>27 de marzo de 2017</v>
      </c>
      <c r="N157" s="39">
        <f t="shared" si="16"/>
        <v>42795</v>
      </c>
      <c r="O157" s="9" t="str">
        <f t="shared" si="17"/>
        <v>34.000,00</v>
      </c>
      <c r="P157" s="8" t="str">
        <f t="shared" si="18"/>
        <v>Treinta y Cuatro Mil Bolívares con 00/100</v>
      </c>
      <c r="Q157" s="403" t="str">
        <f t="shared" si="19"/>
        <v/>
      </c>
    </row>
    <row r="158" spans="1:17" ht="15.75" thickBot="1" x14ac:dyDescent="0.3">
      <c r="A158" s="1">
        <f t="shared" si="20"/>
        <v>157</v>
      </c>
      <c r="C158" s="12" t="s">
        <v>17</v>
      </c>
      <c r="D158" s="2">
        <v>42818</v>
      </c>
      <c r="E158" s="3">
        <f>4000+3000</f>
        <v>7000</v>
      </c>
      <c r="F158" t="s">
        <v>398</v>
      </c>
      <c r="G158" s="27" t="s">
        <v>58</v>
      </c>
      <c r="H158" t="s">
        <v>399</v>
      </c>
      <c r="I158" s="10" t="s">
        <v>400</v>
      </c>
      <c r="J158" s="167" t="s">
        <v>22</v>
      </c>
      <c r="L158" s="9" t="str">
        <f t="shared" si="14"/>
        <v>00157</v>
      </c>
      <c r="M158" s="71" t="str">
        <f t="shared" si="15"/>
        <v>24 de marzo de 2017</v>
      </c>
      <c r="N158" s="39">
        <f t="shared" si="16"/>
        <v>42795</v>
      </c>
      <c r="O158" s="9" t="str">
        <f t="shared" si="17"/>
        <v>7.000,00</v>
      </c>
      <c r="P158" s="8" t="str">
        <f t="shared" si="18"/>
        <v>Siete Mil Bolívares con 00/100</v>
      </c>
      <c r="Q158" s="403" t="str">
        <f t="shared" si="19"/>
        <v/>
      </c>
    </row>
    <row r="159" spans="1:17" x14ac:dyDescent="0.25">
      <c r="A159" s="1">
        <f t="shared" si="20"/>
        <v>158</v>
      </c>
      <c r="C159" s="12" t="s">
        <v>17</v>
      </c>
      <c r="D159" s="2">
        <v>42820</v>
      </c>
      <c r="E159" s="3">
        <v>17000</v>
      </c>
      <c r="F159" t="s">
        <v>138</v>
      </c>
      <c r="G159" t="s">
        <v>139</v>
      </c>
      <c r="H159" t="s">
        <v>140</v>
      </c>
      <c r="I159" s="10" t="s">
        <v>306</v>
      </c>
      <c r="J159" s="167" t="s">
        <v>22</v>
      </c>
      <c r="L159" s="9" t="str">
        <f t="shared" si="14"/>
        <v>00158</v>
      </c>
      <c r="M159" s="71" t="str">
        <f t="shared" si="15"/>
        <v>26 de marzo de 2017</v>
      </c>
      <c r="N159" s="39">
        <f t="shared" si="16"/>
        <v>42795</v>
      </c>
      <c r="O159" s="9" t="str">
        <f t="shared" si="17"/>
        <v>17.000,00</v>
      </c>
      <c r="P159" s="8" t="str">
        <f t="shared" si="18"/>
        <v>Diecisiete Mil Bolívares con 00/100</v>
      </c>
      <c r="Q159" s="403" t="str">
        <f t="shared" si="19"/>
        <v/>
      </c>
    </row>
    <row r="160" spans="1:17" x14ac:dyDescent="0.25">
      <c r="A160" s="1">
        <f t="shared" si="20"/>
        <v>159</v>
      </c>
      <c r="C160" s="12" t="s">
        <v>17</v>
      </c>
      <c r="D160" s="2">
        <v>42825</v>
      </c>
      <c r="E160" s="3">
        <v>17000</v>
      </c>
      <c r="F160" t="s">
        <v>201</v>
      </c>
      <c r="G160" t="s">
        <v>202</v>
      </c>
      <c r="H160" t="s">
        <v>203</v>
      </c>
      <c r="I160" s="10" t="s">
        <v>306</v>
      </c>
      <c r="J160" s="167" t="s">
        <v>22</v>
      </c>
      <c r="L160" s="9" t="str">
        <f t="shared" si="14"/>
        <v>00159</v>
      </c>
      <c r="M160" s="71" t="str">
        <f t="shared" si="15"/>
        <v>31 de marzo de 2017</v>
      </c>
      <c r="N160" s="39">
        <f t="shared" si="16"/>
        <v>42795</v>
      </c>
      <c r="O160" s="9" t="str">
        <f t="shared" si="17"/>
        <v>17.000,00</v>
      </c>
      <c r="P160" s="8" t="str">
        <f t="shared" si="18"/>
        <v>Diecisiete Mil Bolívares con 00/100</v>
      </c>
      <c r="Q160" s="403" t="str">
        <f t="shared" si="19"/>
        <v/>
      </c>
    </row>
    <row r="161" spans="1:17" x14ac:dyDescent="0.25">
      <c r="A161" s="1">
        <f t="shared" si="20"/>
        <v>160</v>
      </c>
      <c r="C161" s="12" t="s">
        <v>17</v>
      </c>
      <c r="D161" s="2">
        <v>42825</v>
      </c>
      <c r="E161" s="3">
        <v>17000</v>
      </c>
      <c r="F161" t="s">
        <v>62</v>
      </c>
      <c r="G161" t="s">
        <v>63</v>
      </c>
      <c r="H161" t="s">
        <v>64</v>
      </c>
      <c r="I161" s="10" t="s">
        <v>306</v>
      </c>
      <c r="J161" s="167" t="s">
        <v>22</v>
      </c>
      <c r="L161" s="9" t="str">
        <f t="shared" si="14"/>
        <v>00160</v>
      </c>
      <c r="M161" s="71" t="str">
        <f t="shared" si="15"/>
        <v>31 de marzo de 2017</v>
      </c>
      <c r="N161" s="39">
        <f t="shared" si="16"/>
        <v>42795</v>
      </c>
      <c r="O161" s="9" t="str">
        <f t="shared" si="17"/>
        <v>17.000,00</v>
      </c>
      <c r="P161" s="8" t="str">
        <f t="shared" si="18"/>
        <v>Diecisiete Mil Bolívares con 00/100</v>
      </c>
      <c r="Q161" s="403" t="str">
        <f t="shared" si="19"/>
        <v/>
      </c>
    </row>
    <row r="162" spans="1:17" x14ac:dyDescent="0.25">
      <c r="A162" s="1">
        <f t="shared" si="20"/>
        <v>161</v>
      </c>
      <c r="C162" s="12" t="s">
        <v>17</v>
      </c>
      <c r="D162" s="2">
        <v>42821</v>
      </c>
      <c r="E162" s="3">
        <f>17000*2</f>
        <v>34000</v>
      </c>
      <c r="F162" t="s">
        <v>219</v>
      </c>
      <c r="G162" t="s">
        <v>220</v>
      </c>
      <c r="H162" t="s">
        <v>221</v>
      </c>
      <c r="I162" s="10" t="s">
        <v>401</v>
      </c>
      <c r="J162" s="167" t="s">
        <v>22</v>
      </c>
      <c r="L162" s="9" t="str">
        <f t="shared" si="14"/>
        <v>00161</v>
      </c>
      <c r="M162" s="71" t="str">
        <f t="shared" si="15"/>
        <v>27 de marzo de 2017</v>
      </c>
      <c r="N162" s="39">
        <f t="shared" si="16"/>
        <v>42795</v>
      </c>
      <c r="O162" s="9" t="str">
        <f t="shared" si="17"/>
        <v>34.000,00</v>
      </c>
      <c r="P162" s="8" t="str">
        <f t="shared" si="18"/>
        <v>Treinta y Cuatro Mil Bolívares con 00/100</v>
      </c>
      <c r="Q162" s="403" t="str">
        <f t="shared" si="19"/>
        <v/>
      </c>
    </row>
    <row r="163" spans="1:17" x14ac:dyDescent="0.25">
      <c r="A163" s="1">
        <f t="shared" si="20"/>
        <v>162</v>
      </c>
      <c r="C163" s="12" t="s">
        <v>17</v>
      </c>
      <c r="D163" s="2">
        <v>42828</v>
      </c>
      <c r="E163" s="3">
        <v>10000</v>
      </c>
      <c r="F163" t="s">
        <v>402</v>
      </c>
      <c r="G163" t="s">
        <v>403</v>
      </c>
      <c r="H163" t="s">
        <v>404</v>
      </c>
      <c r="I163" s="10" t="s">
        <v>405</v>
      </c>
      <c r="J163" s="167" t="s">
        <v>22</v>
      </c>
      <c r="L163" s="9" t="str">
        <f t="shared" si="14"/>
        <v>00162</v>
      </c>
      <c r="M163" s="71" t="str">
        <f t="shared" si="15"/>
        <v>03 de abril de 2017</v>
      </c>
      <c r="N163" s="39">
        <f t="shared" si="16"/>
        <v>42826</v>
      </c>
      <c r="O163" s="9" t="str">
        <f t="shared" si="17"/>
        <v>10.000,00</v>
      </c>
      <c r="P163" s="8" t="str">
        <f t="shared" si="18"/>
        <v>Diez Mil Bolívares con 00/100</v>
      </c>
      <c r="Q163" s="403" t="str">
        <f t="shared" si="19"/>
        <v/>
      </c>
    </row>
    <row r="164" spans="1:17" x14ac:dyDescent="0.25">
      <c r="A164" s="1">
        <f t="shared" si="20"/>
        <v>163</v>
      </c>
      <c r="C164" s="12" t="s">
        <v>17</v>
      </c>
      <c r="D164" s="2">
        <v>42830</v>
      </c>
      <c r="E164" s="3">
        <v>17000</v>
      </c>
      <c r="F164" t="s">
        <v>44</v>
      </c>
      <c r="G164" t="s">
        <v>45</v>
      </c>
      <c r="H164" t="s">
        <v>46</v>
      </c>
      <c r="I164" s="10" t="s">
        <v>396</v>
      </c>
      <c r="J164" s="167" t="s">
        <v>22</v>
      </c>
      <c r="L164" s="9" t="str">
        <f t="shared" si="14"/>
        <v>00163</v>
      </c>
      <c r="M164" s="71" t="str">
        <f t="shared" si="15"/>
        <v>05 de abril de 2017</v>
      </c>
      <c r="N164" s="39">
        <f t="shared" si="16"/>
        <v>42826</v>
      </c>
      <c r="O164" s="9" t="str">
        <f t="shared" si="17"/>
        <v>17.000,00</v>
      </c>
      <c r="P164" s="8" t="str">
        <f t="shared" si="18"/>
        <v>Diecisiete Mil Bolívares con 00/100</v>
      </c>
      <c r="Q164" s="403" t="str">
        <f t="shared" si="19"/>
        <v/>
      </c>
    </row>
    <row r="165" spans="1:17" x14ac:dyDescent="0.25">
      <c r="A165" s="1">
        <f t="shared" si="20"/>
        <v>164</v>
      </c>
      <c r="C165" s="12" t="s">
        <v>17</v>
      </c>
      <c r="D165" s="2">
        <v>42831</v>
      </c>
      <c r="E165" s="3">
        <v>17000</v>
      </c>
      <c r="F165" t="s">
        <v>24</v>
      </c>
      <c r="G165" t="s">
        <v>25</v>
      </c>
      <c r="H165" t="s">
        <v>26</v>
      </c>
      <c r="I165" s="10" t="s">
        <v>396</v>
      </c>
      <c r="J165" s="167" t="s">
        <v>22</v>
      </c>
      <c r="L165" s="9" t="str">
        <f t="shared" si="14"/>
        <v>00164</v>
      </c>
      <c r="M165" s="71" t="str">
        <f t="shared" si="15"/>
        <v>06 de abril de 2017</v>
      </c>
      <c r="N165" s="39">
        <f t="shared" si="16"/>
        <v>42826</v>
      </c>
      <c r="O165" s="9" t="str">
        <f t="shared" si="17"/>
        <v>17.000,00</v>
      </c>
      <c r="P165" s="8" t="str">
        <f t="shared" si="18"/>
        <v>Diecisiete Mil Bolívares con 00/100</v>
      </c>
      <c r="Q165" s="403" t="str">
        <f t="shared" si="19"/>
        <v/>
      </c>
    </row>
    <row r="166" spans="1:17" ht="15.75" thickBot="1" x14ac:dyDescent="0.3">
      <c r="A166" s="1">
        <f t="shared" si="20"/>
        <v>165</v>
      </c>
      <c r="C166" s="12" t="s">
        <v>17</v>
      </c>
      <c r="D166" s="2">
        <v>42831</v>
      </c>
      <c r="E166" s="3">
        <v>17000</v>
      </c>
      <c r="F166" t="s">
        <v>18</v>
      </c>
      <c r="G166" t="s">
        <v>19</v>
      </c>
      <c r="H166" t="s">
        <v>20</v>
      </c>
      <c r="I166" s="10" t="s">
        <v>396</v>
      </c>
      <c r="J166" s="167" t="s">
        <v>22</v>
      </c>
      <c r="L166" s="9" t="str">
        <f t="shared" si="14"/>
        <v>00165</v>
      </c>
      <c r="M166" s="71" t="str">
        <f t="shared" si="15"/>
        <v>06 de abril de 2017</v>
      </c>
      <c r="N166" s="39">
        <f t="shared" si="16"/>
        <v>42826</v>
      </c>
      <c r="O166" s="9" t="str">
        <f t="shared" si="17"/>
        <v>17.000,00</v>
      </c>
      <c r="P166" s="8" t="str">
        <f t="shared" si="18"/>
        <v>Diecisiete Mil Bolívares con 00/100</v>
      </c>
      <c r="Q166" s="403" t="str">
        <f t="shared" si="19"/>
        <v/>
      </c>
    </row>
    <row r="167" spans="1:17" ht="15.75" thickBot="1" x14ac:dyDescent="0.3">
      <c r="A167" s="1">
        <f t="shared" si="20"/>
        <v>166</v>
      </c>
      <c r="C167" s="12" t="s">
        <v>17</v>
      </c>
      <c r="D167" s="2">
        <v>42831</v>
      </c>
      <c r="E167" s="3">
        <v>14000</v>
      </c>
      <c r="F167" t="s">
        <v>319</v>
      </c>
      <c r="G167" s="27" t="s">
        <v>58</v>
      </c>
      <c r="H167" t="s">
        <v>320</v>
      </c>
      <c r="I167" s="10" t="s">
        <v>406</v>
      </c>
      <c r="J167" s="167" t="s">
        <v>22</v>
      </c>
      <c r="L167" s="9" t="str">
        <f t="shared" si="14"/>
        <v>00166</v>
      </c>
      <c r="M167" s="71" t="str">
        <f t="shared" si="15"/>
        <v>06 de abril de 2017</v>
      </c>
      <c r="N167" s="39">
        <f t="shared" si="16"/>
        <v>42826</v>
      </c>
      <c r="O167" s="9" t="str">
        <f t="shared" si="17"/>
        <v>14.000,00</v>
      </c>
      <c r="P167" s="8" t="str">
        <f t="shared" si="18"/>
        <v>Catorce Mil Bolívares con 00/100</v>
      </c>
      <c r="Q167" s="403" t="str">
        <f t="shared" si="19"/>
        <v/>
      </c>
    </row>
    <row r="168" spans="1:17" x14ac:dyDescent="0.25">
      <c r="A168" s="1">
        <f t="shared" si="20"/>
        <v>167</v>
      </c>
      <c r="C168" s="12" t="s">
        <v>17</v>
      </c>
      <c r="D168" s="2">
        <v>42809</v>
      </c>
      <c r="E168" s="3">
        <v>17000</v>
      </c>
      <c r="F168" t="s">
        <v>211</v>
      </c>
      <c r="G168" t="s">
        <v>212</v>
      </c>
      <c r="H168" t="s">
        <v>213</v>
      </c>
      <c r="I168" s="10" t="s">
        <v>306</v>
      </c>
      <c r="J168" s="167" t="s">
        <v>22</v>
      </c>
      <c r="L168" s="9" t="str">
        <f t="shared" si="14"/>
        <v>00167</v>
      </c>
      <c r="M168" s="71" t="str">
        <f t="shared" si="15"/>
        <v>15 de marzo de 2017</v>
      </c>
      <c r="N168" s="39">
        <f t="shared" si="16"/>
        <v>42795</v>
      </c>
      <c r="O168" s="9" t="str">
        <f t="shared" si="17"/>
        <v>17.000,00</v>
      </c>
      <c r="P168" s="8" t="str">
        <f t="shared" si="18"/>
        <v>Diecisiete Mil Bolívares con 00/100</v>
      </c>
      <c r="Q168" s="403" t="str">
        <f t="shared" si="19"/>
        <v/>
      </c>
    </row>
    <row r="169" spans="1:17" x14ac:dyDescent="0.25">
      <c r="A169" s="1">
        <f t="shared" si="20"/>
        <v>168</v>
      </c>
      <c r="C169" s="12" t="s">
        <v>17</v>
      </c>
      <c r="D169" s="2">
        <v>42830</v>
      </c>
      <c r="E169" s="3">
        <v>17000</v>
      </c>
      <c r="F169" t="s">
        <v>230</v>
      </c>
      <c r="G169" t="s">
        <v>231</v>
      </c>
      <c r="H169" t="s">
        <v>232</v>
      </c>
      <c r="I169" s="10" t="s">
        <v>306</v>
      </c>
      <c r="J169" s="167" t="s">
        <v>22</v>
      </c>
      <c r="L169" s="9" t="str">
        <f t="shared" si="14"/>
        <v>00168</v>
      </c>
      <c r="M169" s="71" t="str">
        <f t="shared" si="15"/>
        <v>05 de abril de 2017</v>
      </c>
      <c r="N169" s="39">
        <f t="shared" si="16"/>
        <v>42826</v>
      </c>
      <c r="O169" s="9" t="str">
        <f t="shared" si="17"/>
        <v>17.000,00</v>
      </c>
      <c r="P169" s="8" t="str">
        <f t="shared" si="18"/>
        <v>Diecisiete Mil Bolívares con 00/100</v>
      </c>
      <c r="Q169" s="403" t="str">
        <f t="shared" si="19"/>
        <v/>
      </c>
    </row>
    <row r="170" spans="1:17" x14ac:dyDescent="0.25">
      <c r="A170" s="1">
        <f t="shared" si="20"/>
        <v>169</v>
      </c>
      <c r="C170" s="12" t="s">
        <v>17</v>
      </c>
      <c r="D170" s="2">
        <v>42831</v>
      </c>
      <c r="E170" s="3">
        <v>17000</v>
      </c>
      <c r="F170" t="s">
        <v>80</v>
      </c>
      <c r="G170" t="s">
        <v>81</v>
      </c>
      <c r="H170" t="s">
        <v>82</v>
      </c>
      <c r="I170" s="10" t="s">
        <v>396</v>
      </c>
      <c r="J170" s="167" t="s">
        <v>22</v>
      </c>
      <c r="L170" s="9" t="str">
        <f t="shared" si="14"/>
        <v>00169</v>
      </c>
      <c r="M170" s="71" t="str">
        <f t="shared" si="15"/>
        <v>06 de abril de 2017</v>
      </c>
      <c r="N170" s="39">
        <f t="shared" si="16"/>
        <v>42826</v>
      </c>
      <c r="O170" s="9" t="str">
        <f t="shared" si="17"/>
        <v>17.000,00</v>
      </c>
      <c r="P170" s="8" t="str">
        <f t="shared" si="18"/>
        <v>Diecisiete Mil Bolívares con 00/100</v>
      </c>
      <c r="Q170" s="403" t="str">
        <f t="shared" si="19"/>
        <v/>
      </c>
    </row>
    <row r="171" spans="1:17" x14ac:dyDescent="0.25">
      <c r="A171" s="1">
        <f t="shared" si="20"/>
        <v>170</v>
      </c>
      <c r="C171" s="12" t="s">
        <v>17</v>
      </c>
      <c r="D171" s="2">
        <v>42834</v>
      </c>
      <c r="E171" s="3">
        <v>17000</v>
      </c>
      <c r="F171" t="s">
        <v>36</v>
      </c>
      <c r="G171" t="s">
        <v>37</v>
      </c>
      <c r="H171" t="s">
        <v>38</v>
      </c>
      <c r="I171" s="10" t="s">
        <v>396</v>
      </c>
      <c r="J171" s="167" t="s">
        <v>22</v>
      </c>
      <c r="L171" s="9" t="str">
        <f t="shared" si="14"/>
        <v>00170</v>
      </c>
      <c r="M171" s="71" t="str">
        <f t="shared" si="15"/>
        <v>09 de abril de 2017</v>
      </c>
      <c r="N171" s="39">
        <f t="shared" si="16"/>
        <v>42826</v>
      </c>
      <c r="O171" s="9" t="str">
        <f t="shared" si="17"/>
        <v>17.000,00</v>
      </c>
      <c r="P171" s="8" t="str">
        <f t="shared" si="18"/>
        <v>Diecisiete Mil Bolívares con 00/100</v>
      </c>
      <c r="Q171" s="403" t="str">
        <f t="shared" si="19"/>
        <v/>
      </c>
    </row>
    <row r="172" spans="1:17" x14ac:dyDescent="0.25">
      <c r="A172" s="1">
        <f t="shared" si="20"/>
        <v>171</v>
      </c>
      <c r="C172" s="12" t="s">
        <v>17</v>
      </c>
      <c r="D172" s="2">
        <v>42807</v>
      </c>
      <c r="E172" s="3">
        <v>17000</v>
      </c>
      <c r="F172" t="s">
        <v>134</v>
      </c>
      <c r="G172" t="s">
        <v>135</v>
      </c>
      <c r="H172" t="s">
        <v>136</v>
      </c>
      <c r="I172" s="10" t="s">
        <v>306</v>
      </c>
      <c r="J172" s="167" t="s">
        <v>22</v>
      </c>
      <c r="L172" s="9" t="str">
        <f t="shared" si="14"/>
        <v>00171</v>
      </c>
      <c r="M172" s="71" t="str">
        <f t="shared" si="15"/>
        <v>13 de marzo de 2017</v>
      </c>
      <c r="N172" s="39">
        <f t="shared" si="16"/>
        <v>42795</v>
      </c>
      <c r="O172" s="9" t="str">
        <f t="shared" si="17"/>
        <v>17.000,00</v>
      </c>
      <c r="P172" s="8" t="str">
        <f t="shared" si="18"/>
        <v>Diecisiete Mil Bolívares con 00/100</v>
      </c>
      <c r="Q172" s="403" t="str">
        <f t="shared" si="19"/>
        <v/>
      </c>
    </row>
    <row r="173" spans="1:17" x14ac:dyDescent="0.25">
      <c r="A173" s="1">
        <f t="shared" si="20"/>
        <v>172</v>
      </c>
      <c r="C173" s="12" t="s">
        <v>17</v>
      </c>
      <c r="D173" s="2">
        <v>42833</v>
      </c>
      <c r="E173" s="3">
        <v>17000</v>
      </c>
      <c r="F173" t="s">
        <v>134</v>
      </c>
      <c r="G173" t="s">
        <v>135</v>
      </c>
      <c r="H173" t="s">
        <v>136</v>
      </c>
      <c r="I173" s="10" t="s">
        <v>396</v>
      </c>
      <c r="J173" s="167" t="s">
        <v>22</v>
      </c>
      <c r="L173" s="9" t="str">
        <f t="shared" si="14"/>
        <v>00172</v>
      </c>
      <c r="M173" s="71" t="str">
        <f t="shared" si="15"/>
        <v>08 de abril de 2017</v>
      </c>
      <c r="N173" s="39">
        <f t="shared" si="16"/>
        <v>42826</v>
      </c>
      <c r="O173" s="9" t="str">
        <f t="shared" si="17"/>
        <v>17.000,00</v>
      </c>
      <c r="P173" s="8" t="str">
        <f t="shared" si="18"/>
        <v>Diecisiete Mil Bolívares con 00/100</v>
      </c>
      <c r="Q173" s="403" t="str">
        <f t="shared" si="19"/>
        <v/>
      </c>
    </row>
    <row r="174" spans="1:17" ht="15.75" customHeight="1" x14ac:dyDescent="0.25">
      <c r="A174" s="1">
        <f t="shared" si="20"/>
        <v>173</v>
      </c>
      <c r="C174" s="12" t="s">
        <v>17</v>
      </c>
      <c r="D174" s="2">
        <v>42836</v>
      </c>
      <c r="E174" s="3">
        <v>10000</v>
      </c>
      <c r="F174" t="s">
        <v>181</v>
      </c>
      <c r="G174" t="s">
        <v>182</v>
      </c>
      <c r="H174" t="s">
        <v>183</v>
      </c>
      <c r="I174" s="10" t="s">
        <v>405</v>
      </c>
      <c r="J174" s="167" t="s">
        <v>22</v>
      </c>
      <c r="L174" s="9" t="str">
        <f t="shared" si="14"/>
        <v>00173</v>
      </c>
      <c r="M174" s="71" t="str">
        <f t="shared" si="15"/>
        <v>11 de abril de 2017</v>
      </c>
      <c r="N174" s="39">
        <f t="shared" si="16"/>
        <v>42826</v>
      </c>
      <c r="O174" s="9" t="str">
        <f t="shared" si="17"/>
        <v>10.000,00</v>
      </c>
      <c r="P174" s="8" t="str">
        <f t="shared" si="18"/>
        <v>Diez Mil Bolívares con 00/100</v>
      </c>
      <c r="Q174" s="403" t="str">
        <f t="shared" si="19"/>
        <v/>
      </c>
    </row>
    <row r="175" spans="1:17" ht="15.75" thickBot="1" x14ac:dyDescent="0.3">
      <c r="A175" s="1">
        <f t="shared" si="20"/>
        <v>174</v>
      </c>
      <c r="C175" s="12" t="s">
        <v>17</v>
      </c>
      <c r="D175" s="2">
        <v>42837</v>
      </c>
      <c r="E175" s="3">
        <v>34000</v>
      </c>
      <c r="F175" t="s">
        <v>197</v>
      </c>
      <c r="G175" t="s">
        <v>198</v>
      </c>
      <c r="H175" t="s">
        <v>199</v>
      </c>
      <c r="I175" s="10" t="s">
        <v>401</v>
      </c>
      <c r="J175" s="167" t="s">
        <v>22</v>
      </c>
      <c r="L175" s="9" t="str">
        <f t="shared" si="14"/>
        <v>00174</v>
      </c>
      <c r="M175" s="71" t="str">
        <f t="shared" si="15"/>
        <v>12 de abril de 2017</v>
      </c>
      <c r="N175" s="39">
        <f t="shared" si="16"/>
        <v>42826</v>
      </c>
      <c r="O175" s="9" t="str">
        <f t="shared" si="17"/>
        <v>34.000,00</v>
      </c>
      <c r="P175" s="8" t="str">
        <f t="shared" si="18"/>
        <v>Treinta y Cuatro Mil Bolívares con 00/100</v>
      </c>
      <c r="Q175" s="403" t="str">
        <f t="shared" si="19"/>
        <v/>
      </c>
    </row>
    <row r="176" spans="1:17" ht="15.75" thickBot="1" x14ac:dyDescent="0.3">
      <c r="A176" s="1">
        <f t="shared" si="20"/>
        <v>175</v>
      </c>
      <c r="C176" s="12" t="s">
        <v>17</v>
      </c>
      <c r="D176" s="2">
        <v>42831</v>
      </c>
      <c r="E176" s="3">
        <v>5000</v>
      </c>
      <c r="F176" t="s">
        <v>74</v>
      </c>
      <c r="G176" s="27" t="s">
        <v>58</v>
      </c>
      <c r="H176" t="s">
        <v>75</v>
      </c>
      <c r="I176" s="10" t="s">
        <v>405</v>
      </c>
      <c r="J176" s="167" t="s">
        <v>22</v>
      </c>
      <c r="L176" s="9" t="str">
        <f t="shared" si="14"/>
        <v>00175</v>
      </c>
      <c r="M176" s="71" t="str">
        <f t="shared" si="15"/>
        <v>06 de abril de 2017</v>
      </c>
      <c r="N176" s="39">
        <f t="shared" si="16"/>
        <v>42826</v>
      </c>
      <c r="O176" s="9" t="str">
        <f t="shared" si="17"/>
        <v>5.000,00</v>
      </c>
      <c r="P176" s="8" t="str">
        <f t="shared" si="18"/>
        <v>Cinco Mil Bolívares con 00/100</v>
      </c>
      <c r="Q176" s="403" t="str">
        <f t="shared" si="19"/>
        <v/>
      </c>
    </row>
    <row r="177" spans="1:17" x14ac:dyDescent="0.25">
      <c r="A177" s="1">
        <f t="shared" si="20"/>
        <v>176</v>
      </c>
      <c r="C177" s="12" t="s">
        <v>17</v>
      </c>
      <c r="D177" s="2">
        <v>42831</v>
      </c>
      <c r="E177" s="3">
        <v>12000</v>
      </c>
      <c r="F177" t="s">
        <v>130</v>
      </c>
      <c r="G177" t="s">
        <v>131</v>
      </c>
      <c r="H177" t="s">
        <v>132</v>
      </c>
      <c r="I177" s="10" t="s">
        <v>158</v>
      </c>
      <c r="J177" s="167" t="s">
        <v>22</v>
      </c>
      <c r="L177" s="9" t="str">
        <f t="shared" si="14"/>
        <v>00176</v>
      </c>
      <c r="M177" s="71" t="str">
        <f t="shared" si="15"/>
        <v>06 de abril de 2017</v>
      </c>
      <c r="N177" s="39">
        <f t="shared" si="16"/>
        <v>42826</v>
      </c>
      <c r="O177" s="9" t="str">
        <f t="shared" si="17"/>
        <v>12.000,00</v>
      </c>
      <c r="P177" s="8" t="str">
        <f t="shared" si="18"/>
        <v>Doce Mil Bolívares con 00/100</v>
      </c>
      <c r="Q177" s="403" t="str">
        <f t="shared" si="19"/>
        <v/>
      </c>
    </row>
    <row r="178" spans="1:17" x14ac:dyDescent="0.25">
      <c r="A178" s="1">
        <f t="shared" si="20"/>
        <v>177</v>
      </c>
      <c r="C178" s="12" t="s">
        <v>17</v>
      </c>
      <c r="D178" s="2">
        <v>42841</v>
      </c>
      <c r="E178" s="3">
        <v>17000</v>
      </c>
      <c r="F178" t="s">
        <v>70</v>
      </c>
      <c r="G178" t="s">
        <v>71</v>
      </c>
      <c r="H178" t="s">
        <v>72</v>
      </c>
      <c r="I178" s="10" t="s">
        <v>396</v>
      </c>
      <c r="J178" s="167" t="s">
        <v>22</v>
      </c>
      <c r="L178" s="9" t="str">
        <f t="shared" si="14"/>
        <v>00177</v>
      </c>
      <c r="M178" s="71" t="str">
        <f t="shared" si="15"/>
        <v>16 de abril de 2017</v>
      </c>
      <c r="N178" s="39">
        <f t="shared" si="16"/>
        <v>42826</v>
      </c>
      <c r="O178" s="9" t="str">
        <f t="shared" si="17"/>
        <v>17.000,00</v>
      </c>
      <c r="P178" s="8" t="str">
        <f t="shared" si="18"/>
        <v>Diecisiete Mil Bolívares con 00/100</v>
      </c>
      <c r="Q178" s="403" t="str">
        <f t="shared" si="19"/>
        <v/>
      </c>
    </row>
    <row r="179" spans="1:17" x14ac:dyDescent="0.25">
      <c r="A179" s="1">
        <f t="shared" si="20"/>
        <v>178</v>
      </c>
      <c r="C179" s="12" t="s">
        <v>17</v>
      </c>
      <c r="D179" s="2">
        <v>42842</v>
      </c>
      <c r="E179" s="3">
        <v>44000</v>
      </c>
      <c r="F179" t="s">
        <v>66</v>
      </c>
      <c r="G179" t="s">
        <v>67</v>
      </c>
      <c r="H179" t="s">
        <v>68</v>
      </c>
      <c r="I179" s="10" t="s">
        <v>407</v>
      </c>
      <c r="J179" s="167" t="s">
        <v>22</v>
      </c>
      <c r="L179" s="9" t="str">
        <f t="shared" si="14"/>
        <v>00178</v>
      </c>
      <c r="M179" s="71" t="str">
        <f t="shared" si="15"/>
        <v>17 de abril de 2017</v>
      </c>
      <c r="N179" s="39">
        <f t="shared" si="16"/>
        <v>42826</v>
      </c>
      <c r="O179" s="9" t="str">
        <f t="shared" si="17"/>
        <v>44.000,00</v>
      </c>
      <c r="P179" s="8" t="str">
        <f t="shared" si="18"/>
        <v>Cuarenta y Cuatro Mil Bolívares con 00/100</v>
      </c>
      <c r="Q179" s="403" t="str">
        <f t="shared" si="19"/>
        <v/>
      </c>
    </row>
    <row r="180" spans="1:17" x14ac:dyDescent="0.25">
      <c r="A180" s="1">
        <f t="shared" si="20"/>
        <v>179</v>
      </c>
      <c r="C180" s="12" t="s">
        <v>17</v>
      </c>
      <c r="D180" s="2">
        <v>42842</v>
      </c>
      <c r="E180" s="3">
        <f>7760+2240</f>
        <v>10000</v>
      </c>
      <c r="F180" t="s">
        <v>118</v>
      </c>
      <c r="G180" t="s">
        <v>119</v>
      </c>
      <c r="H180" t="s">
        <v>120</v>
      </c>
      <c r="I180" s="10" t="s">
        <v>405</v>
      </c>
      <c r="J180" s="167" t="s">
        <v>22</v>
      </c>
      <c r="L180" s="9" t="str">
        <f t="shared" si="14"/>
        <v>00179</v>
      </c>
      <c r="M180" s="71" t="str">
        <f t="shared" si="15"/>
        <v>17 de abril de 2017</v>
      </c>
      <c r="N180" s="39">
        <f t="shared" si="16"/>
        <v>42826</v>
      </c>
      <c r="O180" s="9" t="str">
        <f t="shared" si="17"/>
        <v>10.000,00</v>
      </c>
      <c r="P180" s="8" t="str">
        <f t="shared" si="18"/>
        <v>Diez Mil Bolívares con 00/100</v>
      </c>
      <c r="Q180" s="403" t="str">
        <f t="shared" si="19"/>
        <v/>
      </c>
    </row>
    <row r="181" spans="1:17" x14ac:dyDescent="0.25">
      <c r="A181" s="1">
        <f t="shared" si="20"/>
        <v>180</v>
      </c>
      <c r="C181" s="12" t="s">
        <v>17</v>
      </c>
      <c r="D181" s="2">
        <v>42842</v>
      </c>
      <c r="E181" s="3">
        <v>17000</v>
      </c>
      <c r="F181" t="s">
        <v>148</v>
      </c>
      <c r="G181" t="s">
        <v>149</v>
      </c>
      <c r="H181" t="s">
        <v>150</v>
      </c>
      <c r="I181" s="10" t="s">
        <v>396</v>
      </c>
      <c r="J181" s="167" t="s">
        <v>22</v>
      </c>
      <c r="L181" s="9" t="str">
        <f t="shared" si="14"/>
        <v>00180</v>
      </c>
      <c r="M181" s="71" t="str">
        <f t="shared" si="15"/>
        <v>17 de abril de 2017</v>
      </c>
      <c r="N181" s="39">
        <f t="shared" si="16"/>
        <v>42826</v>
      </c>
      <c r="O181" s="9" t="str">
        <f t="shared" si="17"/>
        <v>17.000,00</v>
      </c>
      <c r="P181" s="8" t="str">
        <f t="shared" si="18"/>
        <v>Diecisiete Mil Bolívares con 00/100</v>
      </c>
      <c r="Q181" s="403" t="str">
        <f t="shared" si="19"/>
        <v/>
      </c>
    </row>
    <row r="182" spans="1:17" x14ac:dyDescent="0.25">
      <c r="A182" s="1">
        <f t="shared" si="20"/>
        <v>181</v>
      </c>
      <c r="C182" s="12" t="s">
        <v>17</v>
      </c>
      <c r="D182" s="2">
        <v>42841</v>
      </c>
      <c r="E182" s="3">
        <v>17000</v>
      </c>
      <c r="F182" t="s">
        <v>103</v>
      </c>
      <c r="G182" t="s">
        <v>104</v>
      </c>
      <c r="H182" t="s">
        <v>105</v>
      </c>
      <c r="I182" s="10" t="s">
        <v>396</v>
      </c>
      <c r="J182" s="167" t="s">
        <v>22</v>
      </c>
      <c r="L182" s="9" t="str">
        <f t="shared" si="14"/>
        <v>00181</v>
      </c>
      <c r="M182" s="71" t="str">
        <f t="shared" si="15"/>
        <v>16 de abril de 2017</v>
      </c>
      <c r="N182" s="39">
        <f t="shared" si="16"/>
        <v>42826</v>
      </c>
      <c r="O182" s="9" t="str">
        <f t="shared" si="17"/>
        <v>17.000,00</v>
      </c>
      <c r="P182" s="8" t="str">
        <f t="shared" si="18"/>
        <v>Diecisiete Mil Bolívares con 00/100</v>
      </c>
      <c r="Q182" s="403" t="str">
        <f t="shared" si="19"/>
        <v/>
      </c>
    </row>
    <row r="183" spans="1:17" x14ac:dyDescent="0.25">
      <c r="A183" s="1">
        <f t="shared" si="20"/>
        <v>182</v>
      </c>
      <c r="C183" s="12" t="s">
        <v>17</v>
      </c>
      <c r="D183" s="2">
        <v>42842</v>
      </c>
      <c r="E183" s="3">
        <v>32000</v>
      </c>
      <c r="F183" t="s">
        <v>259</v>
      </c>
      <c r="G183" t="s">
        <v>260</v>
      </c>
      <c r="H183" t="s">
        <v>261</v>
      </c>
      <c r="I183" s="10" t="s">
        <v>397</v>
      </c>
      <c r="J183" s="167" t="s">
        <v>22</v>
      </c>
      <c r="L183" s="9" t="str">
        <f t="shared" si="14"/>
        <v>00182</v>
      </c>
      <c r="M183" s="71" t="str">
        <f t="shared" si="15"/>
        <v>17 de abril de 2017</v>
      </c>
      <c r="N183" s="39">
        <f t="shared" si="16"/>
        <v>42826</v>
      </c>
      <c r="O183" s="9" t="str">
        <f t="shared" si="17"/>
        <v>32.000,00</v>
      </c>
      <c r="P183" s="8" t="str">
        <f t="shared" si="18"/>
        <v>Treinta y Dos Mil Bolívares con 00/100</v>
      </c>
      <c r="Q183" s="403" t="str">
        <f t="shared" si="19"/>
        <v/>
      </c>
    </row>
    <row r="184" spans="1:17" x14ac:dyDescent="0.25">
      <c r="A184" s="1">
        <f t="shared" si="20"/>
        <v>183</v>
      </c>
      <c r="C184" s="12" t="s">
        <v>17</v>
      </c>
      <c r="D184" s="2">
        <v>42843</v>
      </c>
      <c r="E184" s="3">
        <v>17000</v>
      </c>
      <c r="F184" t="s">
        <v>167</v>
      </c>
      <c r="G184" t="s">
        <v>168</v>
      </c>
      <c r="H184" t="s">
        <v>169</v>
      </c>
      <c r="I184" s="10" t="s">
        <v>396</v>
      </c>
      <c r="J184" s="167" t="s">
        <v>22</v>
      </c>
      <c r="L184" s="9" t="str">
        <f t="shared" si="14"/>
        <v>00183</v>
      </c>
      <c r="M184" s="71" t="str">
        <f t="shared" si="15"/>
        <v>18 de abril de 2017</v>
      </c>
      <c r="N184" s="39">
        <f t="shared" si="16"/>
        <v>42826</v>
      </c>
      <c r="O184" s="9" t="str">
        <f t="shared" si="17"/>
        <v>17.000,00</v>
      </c>
      <c r="P184" s="8" t="str">
        <f t="shared" si="18"/>
        <v>Diecisiete Mil Bolívares con 00/100</v>
      </c>
      <c r="Q184" s="403" t="str">
        <f t="shared" si="19"/>
        <v/>
      </c>
    </row>
    <row r="185" spans="1:17" x14ac:dyDescent="0.25">
      <c r="A185" s="1">
        <f t="shared" si="20"/>
        <v>184</v>
      </c>
      <c r="C185" s="12" t="s">
        <v>17</v>
      </c>
      <c r="D185" s="2">
        <v>42842</v>
      </c>
      <c r="E185" s="3">
        <f>17000*2</f>
        <v>34000</v>
      </c>
      <c r="F185" t="s">
        <v>287</v>
      </c>
      <c r="G185" t="s">
        <v>288</v>
      </c>
      <c r="H185" t="s">
        <v>289</v>
      </c>
      <c r="I185" s="10" t="s">
        <v>401</v>
      </c>
      <c r="J185" s="167" t="s">
        <v>22</v>
      </c>
      <c r="L185" s="9" t="str">
        <f t="shared" si="14"/>
        <v>00184</v>
      </c>
      <c r="M185" s="71" t="str">
        <f t="shared" si="15"/>
        <v>17 de abril de 2017</v>
      </c>
      <c r="N185" s="39">
        <f t="shared" si="16"/>
        <v>42826</v>
      </c>
      <c r="O185" s="9" t="str">
        <f t="shared" si="17"/>
        <v>34.000,00</v>
      </c>
      <c r="P185" s="8" t="str">
        <f t="shared" si="18"/>
        <v>Treinta y Cuatro Mil Bolívares con 00/100</v>
      </c>
      <c r="Q185" s="403" t="str">
        <f t="shared" si="19"/>
        <v/>
      </c>
    </row>
    <row r="186" spans="1:17" x14ac:dyDescent="0.25">
      <c r="A186" s="1">
        <f t="shared" si="20"/>
        <v>185</v>
      </c>
      <c r="C186" s="12" t="s">
        <v>17</v>
      </c>
      <c r="D186" s="2">
        <v>42842</v>
      </c>
      <c r="E186" s="3">
        <v>17000</v>
      </c>
      <c r="F186" t="s">
        <v>334</v>
      </c>
      <c r="G186" t="s">
        <v>85</v>
      </c>
      <c r="H186" t="s">
        <v>335</v>
      </c>
      <c r="I186" s="10" t="s">
        <v>396</v>
      </c>
      <c r="J186" s="167" t="s">
        <v>22</v>
      </c>
      <c r="L186" s="9" t="str">
        <f t="shared" si="14"/>
        <v>00185</v>
      </c>
      <c r="M186" s="71" t="str">
        <f t="shared" si="15"/>
        <v>17 de abril de 2017</v>
      </c>
      <c r="N186" s="39">
        <f t="shared" si="16"/>
        <v>42826</v>
      </c>
      <c r="O186" s="9" t="str">
        <f t="shared" si="17"/>
        <v>17.000,00</v>
      </c>
      <c r="P186" s="8" t="str">
        <f t="shared" si="18"/>
        <v>Diecisiete Mil Bolívares con 00/100</v>
      </c>
      <c r="Q186" s="403" t="str">
        <f t="shared" si="19"/>
        <v/>
      </c>
    </row>
    <row r="187" spans="1:17" x14ac:dyDescent="0.25">
      <c r="A187" s="1">
        <f t="shared" si="20"/>
        <v>186</v>
      </c>
      <c r="C187" s="12" t="s">
        <v>17</v>
      </c>
      <c r="D187" s="2">
        <v>42845</v>
      </c>
      <c r="E187" s="3">
        <v>10000</v>
      </c>
      <c r="F187" t="s">
        <v>84</v>
      </c>
      <c r="G187" t="s">
        <v>85</v>
      </c>
      <c r="H187" t="s">
        <v>86</v>
      </c>
      <c r="I187" s="10" t="s">
        <v>405</v>
      </c>
      <c r="J187" s="167" t="s">
        <v>22</v>
      </c>
      <c r="L187" s="9" t="str">
        <f t="shared" si="14"/>
        <v>00186</v>
      </c>
      <c r="M187" s="71" t="str">
        <f t="shared" si="15"/>
        <v>20 de abril de 2017</v>
      </c>
      <c r="N187" s="39">
        <f t="shared" si="16"/>
        <v>42826</v>
      </c>
      <c r="O187" s="9" t="str">
        <f t="shared" si="17"/>
        <v>10.000,00</v>
      </c>
      <c r="P187" s="8" t="str">
        <f t="shared" si="18"/>
        <v>Diez Mil Bolívares con 00/100</v>
      </c>
      <c r="Q187" s="403" t="str">
        <f t="shared" si="19"/>
        <v/>
      </c>
    </row>
    <row r="188" spans="1:17" ht="15.75" thickBot="1" x14ac:dyDescent="0.3">
      <c r="A188" s="1">
        <f t="shared" si="20"/>
        <v>187</v>
      </c>
      <c r="C188" s="12" t="s">
        <v>17</v>
      </c>
      <c r="D188" s="2">
        <v>42831</v>
      </c>
      <c r="E188" s="3">
        <v>7000</v>
      </c>
      <c r="F188" t="s">
        <v>48</v>
      </c>
      <c r="G188" t="s">
        <v>49</v>
      </c>
      <c r="H188" t="s">
        <v>50</v>
      </c>
      <c r="I188" s="10" t="s">
        <v>405</v>
      </c>
      <c r="J188" s="167" t="s">
        <v>22</v>
      </c>
      <c r="L188" s="9" t="str">
        <f t="shared" si="14"/>
        <v>00187</v>
      </c>
      <c r="M188" s="71" t="str">
        <f t="shared" si="15"/>
        <v>06 de abril de 2017</v>
      </c>
      <c r="N188" s="39">
        <f t="shared" si="16"/>
        <v>42826</v>
      </c>
      <c r="O188" s="9" t="str">
        <f t="shared" si="17"/>
        <v>7.000,00</v>
      </c>
      <c r="P188" s="8" t="str">
        <f t="shared" si="18"/>
        <v>Siete Mil Bolívares con 00/100</v>
      </c>
      <c r="Q188" s="403" t="str">
        <f t="shared" si="19"/>
        <v/>
      </c>
    </row>
    <row r="189" spans="1:17" ht="15.75" thickBot="1" x14ac:dyDescent="0.3">
      <c r="A189" s="1">
        <f t="shared" si="20"/>
        <v>188</v>
      </c>
      <c r="C189" s="12" t="s">
        <v>17</v>
      </c>
      <c r="D189" s="2">
        <v>42845</v>
      </c>
      <c r="E189" s="3">
        <v>3000</v>
      </c>
      <c r="F189" t="s">
        <v>303</v>
      </c>
      <c r="G189" s="27" t="s">
        <v>58</v>
      </c>
      <c r="H189" t="s">
        <v>304</v>
      </c>
      <c r="I189" s="10" t="s">
        <v>405</v>
      </c>
      <c r="J189" s="167" t="s">
        <v>22</v>
      </c>
      <c r="L189" s="9" t="str">
        <f t="shared" si="14"/>
        <v>00188</v>
      </c>
      <c r="M189" s="71" t="str">
        <f t="shared" si="15"/>
        <v>20 de abril de 2017</v>
      </c>
      <c r="N189" s="39">
        <f t="shared" si="16"/>
        <v>42826</v>
      </c>
      <c r="O189" s="9" t="str">
        <f t="shared" si="17"/>
        <v>3.000,00</v>
      </c>
      <c r="P189" s="8" t="str">
        <f t="shared" si="18"/>
        <v>Tres Mil Bolívares con 00/100</v>
      </c>
      <c r="Q189" s="403" t="str">
        <f t="shared" si="19"/>
        <v/>
      </c>
    </row>
    <row r="190" spans="1:17" x14ac:dyDescent="0.25">
      <c r="A190" s="1">
        <f t="shared" si="20"/>
        <v>189</v>
      </c>
      <c r="C190" s="12" t="s">
        <v>17</v>
      </c>
      <c r="D190" s="2">
        <v>42750</v>
      </c>
      <c r="E190" s="3">
        <v>12000</v>
      </c>
      <c r="F190" t="s">
        <v>408</v>
      </c>
      <c r="G190" t="s">
        <v>409</v>
      </c>
      <c r="H190" t="s">
        <v>410</v>
      </c>
      <c r="I190" s="10" t="s">
        <v>51</v>
      </c>
      <c r="J190" s="167" t="s">
        <v>22</v>
      </c>
      <c r="L190" s="9" t="str">
        <f t="shared" si="14"/>
        <v>00189</v>
      </c>
      <c r="M190" s="71" t="str">
        <f t="shared" si="15"/>
        <v>15 de enero de 2017</v>
      </c>
      <c r="N190" s="39">
        <f t="shared" si="16"/>
        <v>42736</v>
      </c>
      <c r="O190" s="9" t="str">
        <f t="shared" si="17"/>
        <v>12.000,00</v>
      </c>
      <c r="P190" s="8" t="str">
        <f t="shared" si="18"/>
        <v>Doce Mil Bolívares con 00/100</v>
      </c>
      <c r="Q190" s="403" t="str">
        <f t="shared" si="19"/>
        <v/>
      </c>
    </row>
    <row r="191" spans="1:17" x14ac:dyDescent="0.25">
      <c r="A191" s="1">
        <f t="shared" si="20"/>
        <v>190</v>
      </c>
      <c r="C191" s="12" t="s">
        <v>17</v>
      </c>
      <c r="D191" s="2">
        <v>42782</v>
      </c>
      <c r="E191" s="3">
        <v>12000</v>
      </c>
      <c r="F191" t="s">
        <v>408</v>
      </c>
      <c r="G191" t="s">
        <v>409</v>
      </c>
      <c r="H191" t="s">
        <v>410</v>
      </c>
      <c r="I191" s="10" t="s">
        <v>158</v>
      </c>
      <c r="J191" s="167" t="s">
        <v>22</v>
      </c>
      <c r="L191" s="9" t="str">
        <f t="shared" si="14"/>
        <v>00190</v>
      </c>
      <c r="M191" s="71" t="str">
        <f t="shared" si="15"/>
        <v>16 de febrero de 2017</v>
      </c>
      <c r="N191" s="39">
        <f t="shared" si="16"/>
        <v>42767</v>
      </c>
      <c r="O191" s="9" t="str">
        <f t="shared" si="17"/>
        <v>12.000,00</v>
      </c>
      <c r="P191" s="8" t="str">
        <f t="shared" si="18"/>
        <v>Doce Mil Bolívares con 00/100</v>
      </c>
      <c r="Q191" s="403" t="str">
        <f t="shared" si="19"/>
        <v/>
      </c>
    </row>
    <row r="192" spans="1:17" x14ac:dyDescent="0.25">
      <c r="A192" s="1">
        <f t="shared" si="20"/>
        <v>191</v>
      </c>
      <c r="C192" s="12" t="s">
        <v>17</v>
      </c>
      <c r="D192" s="2">
        <v>42809</v>
      </c>
      <c r="E192" s="3">
        <v>12000</v>
      </c>
      <c r="F192" t="s">
        <v>408</v>
      </c>
      <c r="G192" t="s">
        <v>409</v>
      </c>
      <c r="H192" t="s">
        <v>410</v>
      </c>
      <c r="I192" s="10" t="s">
        <v>317</v>
      </c>
      <c r="J192" s="167" t="s">
        <v>22</v>
      </c>
      <c r="L192" s="9" t="str">
        <f t="shared" si="14"/>
        <v>00191</v>
      </c>
      <c r="M192" s="71" t="str">
        <f t="shared" si="15"/>
        <v>15 de marzo de 2017</v>
      </c>
      <c r="N192" s="39">
        <f t="shared" si="16"/>
        <v>42795</v>
      </c>
      <c r="O192" s="9" t="str">
        <f t="shared" si="17"/>
        <v>12.000,00</v>
      </c>
      <c r="P192" s="8" t="str">
        <f t="shared" si="18"/>
        <v>Doce Mil Bolívares con 00/100</v>
      </c>
      <c r="Q192" s="403" t="str">
        <f t="shared" si="19"/>
        <v/>
      </c>
    </row>
    <row r="193" spans="1:17" x14ac:dyDescent="0.25">
      <c r="A193" s="1">
        <f t="shared" si="20"/>
        <v>192</v>
      </c>
      <c r="C193" s="12" t="s">
        <v>17</v>
      </c>
      <c r="D193" s="2">
        <v>42846</v>
      </c>
      <c r="E193" s="3">
        <f>17000*2</f>
        <v>34000</v>
      </c>
      <c r="F193" t="s">
        <v>337</v>
      </c>
      <c r="G193" t="s">
        <v>338</v>
      </c>
      <c r="H193" t="s">
        <v>339</v>
      </c>
      <c r="I193" s="10" t="s">
        <v>401</v>
      </c>
      <c r="J193" s="167" t="s">
        <v>22</v>
      </c>
      <c r="L193" s="9" t="str">
        <f t="shared" si="14"/>
        <v>00192</v>
      </c>
      <c r="M193" s="71" t="str">
        <f t="shared" si="15"/>
        <v>21 de abril de 2017</v>
      </c>
      <c r="N193" s="39">
        <f t="shared" si="16"/>
        <v>42826</v>
      </c>
      <c r="O193" s="9" t="str">
        <f t="shared" si="17"/>
        <v>34.000,00</v>
      </c>
      <c r="P193" s="8" t="str">
        <f t="shared" si="18"/>
        <v>Treinta y Cuatro Mil Bolívares con 00/100</v>
      </c>
      <c r="Q193" s="403" t="str">
        <f t="shared" si="19"/>
        <v/>
      </c>
    </row>
    <row r="194" spans="1:17" x14ac:dyDescent="0.25">
      <c r="A194" s="1">
        <f t="shared" si="20"/>
        <v>193</v>
      </c>
      <c r="C194" s="12" t="s">
        <v>17</v>
      </c>
      <c r="D194" s="2">
        <v>42846</v>
      </c>
      <c r="E194" s="3">
        <v>17000</v>
      </c>
      <c r="F194" t="s">
        <v>122</v>
      </c>
      <c r="G194" t="s">
        <v>123</v>
      </c>
      <c r="H194" t="s">
        <v>124</v>
      </c>
      <c r="I194" s="10" t="s">
        <v>396</v>
      </c>
      <c r="J194" s="167" t="s">
        <v>22</v>
      </c>
      <c r="L194" s="9" t="str">
        <f t="shared" ref="L194:L257" si="21">IF(ISBLANK(A194),"",TEXT(A194,"00000"))</f>
        <v>00193</v>
      </c>
      <c r="M194" s="71" t="str">
        <f t="shared" ref="M194:M257" si="22">IF(ISBLANK(D194),"",TEXT(D194,"dd")&amp;" de "&amp;TEXT(D194,"mmmm")&amp;" de "&amp;TEXT(YEAR(D194),"0"))</f>
        <v>21 de abril de 2017</v>
      </c>
      <c r="N194" s="39">
        <f t="shared" ref="N194:N257" si="23">DATE(YEAR(D194),MONTH(D194),1)</f>
        <v>42826</v>
      </c>
      <c r="O194" s="9" t="str">
        <f t="shared" ref="O194:O257" si="24">TEXT(E194,"#.##0,00")</f>
        <v>17.000,00</v>
      </c>
      <c r="P194" s="8" t="str">
        <f t="shared" ref="P194:P257" si="25">CONVERTIRNUM(E194)</f>
        <v>Diecisiete Mil Bolívares con 00/100</v>
      </c>
      <c r="Q194" s="403" t="str">
        <f t="shared" si="19"/>
        <v/>
      </c>
    </row>
    <row r="195" spans="1:17" x14ac:dyDescent="0.25">
      <c r="A195" s="1">
        <f t="shared" si="20"/>
        <v>194</v>
      </c>
      <c r="C195" s="12" t="s">
        <v>17</v>
      </c>
      <c r="D195" s="2">
        <v>42845</v>
      </c>
      <c r="E195" s="3">
        <v>17000</v>
      </c>
      <c r="F195" t="s">
        <v>185</v>
      </c>
      <c r="G195" t="s">
        <v>186</v>
      </c>
      <c r="H195" t="s">
        <v>187</v>
      </c>
      <c r="I195" s="10" t="s">
        <v>306</v>
      </c>
      <c r="J195" s="167" t="s">
        <v>22</v>
      </c>
      <c r="L195" s="9" t="str">
        <f t="shared" si="21"/>
        <v>00194</v>
      </c>
      <c r="M195" s="71" t="str">
        <f t="shared" si="22"/>
        <v>20 de abril de 2017</v>
      </c>
      <c r="N195" s="39">
        <f t="shared" si="23"/>
        <v>42826</v>
      </c>
      <c r="O195" s="9" t="str">
        <f t="shared" si="24"/>
        <v>17.000,00</v>
      </c>
      <c r="P195" s="8" t="str">
        <f t="shared" si="25"/>
        <v>Diecisiete Mil Bolívares con 00/100</v>
      </c>
      <c r="Q195" s="403" t="str">
        <f t="shared" ref="Q195:Q258" si="26">IF(C195="û","Anulado","")</f>
        <v/>
      </c>
    </row>
    <row r="196" spans="1:17" ht="15.75" thickBot="1" x14ac:dyDescent="0.3">
      <c r="A196" s="1">
        <f t="shared" ref="A196:A259" si="27">A195+1</f>
        <v>195</v>
      </c>
      <c r="C196" s="12" t="s">
        <v>17</v>
      </c>
      <c r="D196" s="2">
        <v>42847</v>
      </c>
      <c r="E196" s="3">
        <v>17000</v>
      </c>
      <c r="F196" t="s">
        <v>40</v>
      </c>
      <c r="G196" t="s">
        <v>41</v>
      </c>
      <c r="H196" t="s">
        <v>42</v>
      </c>
      <c r="I196" s="10" t="s">
        <v>396</v>
      </c>
      <c r="J196" s="167" t="s">
        <v>22</v>
      </c>
      <c r="L196" s="9" t="str">
        <f t="shared" si="21"/>
        <v>00195</v>
      </c>
      <c r="M196" s="71" t="str">
        <f t="shared" si="22"/>
        <v>22 de abril de 2017</v>
      </c>
      <c r="N196" s="39">
        <f t="shared" si="23"/>
        <v>42826</v>
      </c>
      <c r="O196" s="9" t="str">
        <f t="shared" si="24"/>
        <v>17.000,00</v>
      </c>
      <c r="P196" s="8" t="str">
        <f t="shared" si="25"/>
        <v>Diecisiete Mil Bolívares con 00/100</v>
      </c>
      <c r="Q196" s="403" t="str">
        <f t="shared" si="26"/>
        <v/>
      </c>
    </row>
    <row r="197" spans="1:17" ht="15.75" thickBot="1" x14ac:dyDescent="0.3">
      <c r="A197" s="1">
        <f t="shared" si="27"/>
        <v>196</v>
      </c>
      <c r="C197" s="12" t="s">
        <v>17</v>
      </c>
      <c r="D197" s="2">
        <v>42847</v>
      </c>
      <c r="E197" s="3">
        <f>17000*2</f>
        <v>34000</v>
      </c>
      <c r="F197" t="s">
        <v>411</v>
      </c>
      <c r="G197" s="27" t="s">
        <v>58</v>
      </c>
      <c r="H197" t="s">
        <v>412</v>
      </c>
      <c r="I197" s="10" t="s">
        <v>222</v>
      </c>
      <c r="J197" s="167" t="s">
        <v>22</v>
      </c>
      <c r="L197" s="9" t="str">
        <f t="shared" si="21"/>
        <v>00196</v>
      </c>
      <c r="M197" s="71" t="str">
        <f t="shared" si="22"/>
        <v>22 de abril de 2017</v>
      </c>
      <c r="N197" s="39">
        <f t="shared" si="23"/>
        <v>42826</v>
      </c>
      <c r="O197" s="9" t="str">
        <f t="shared" si="24"/>
        <v>34.000,00</v>
      </c>
      <c r="P197" s="8" t="str">
        <f t="shared" si="25"/>
        <v>Treinta y Cuatro Mil Bolívares con 00/100</v>
      </c>
      <c r="Q197" s="403" t="str">
        <f t="shared" si="26"/>
        <v/>
      </c>
    </row>
    <row r="198" spans="1:17" x14ac:dyDescent="0.25">
      <c r="A198" s="1">
        <f t="shared" si="27"/>
        <v>197</v>
      </c>
      <c r="C198" s="12" t="s">
        <v>17</v>
      </c>
      <c r="D198" s="2">
        <v>42848</v>
      </c>
      <c r="E198" s="3">
        <f>17000*2</f>
        <v>34000</v>
      </c>
      <c r="F198" t="s">
        <v>206</v>
      </c>
      <c r="G198" t="s">
        <v>207</v>
      </c>
      <c r="H198" t="s">
        <v>208</v>
      </c>
      <c r="I198" s="10" t="s">
        <v>195</v>
      </c>
      <c r="J198" s="167" t="s">
        <v>22</v>
      </c>
      <c r="L198" s="9" t="str">
        <f t="shared" si="21"/>
        <v>00197</v>
      </c>
      <c r="M198" s="71" t="str">
        <f t="shared" si="22"/>
        <v>23 de abril de 2017</v>
      </c>
      <c r="N198" s="39">
        <f t="shared" si="23"/>
        <v>42826</v>
      </c>
      <c r="O198" s="9" t="str">
        <f t="shared" si="24"/>
        <v>34.000,00</v>
      </c>
      <c r="P198" s="8" t="str">
        <f t="shared" si="25"/>
        <v>Treinta y Cuatro Mil Bolívares con 00/100</v>
      </c>
      <c r="Q198" s="403" t="str">
        <f t="shared" si="26"/>
        <v/>
      </c>
    </row>
    <row r="199" spans="1:17" x14ac:dyDescent="0.25">
      <c r="A199" s="1">
        <f t="shared" si="27"/>
        <v>198</v>
      </c>
      <c r="C199" s="12" t="s">
        <v>17</v>
      </c>
      <c r="D199" s="2">
        <v>42848</v>
      </c>
      <c r="E199" s="3">
        <v>30000</v>
      </c>
      <c r="F199" t="s">
        <v>413</v>
      </c>
      <c r="G199" t="s">
        <v>414</v>
      </c>
      <c r="H199" t="s">
        <v>415</v>
      </c>
      <c r="I199" s="10" t="s">
        <v>315</v>
      </c>
      <c r="J199" s="167" t="s">
        <v>22</v>
      </c>
      <c r="L199" s="9" t="str">
        <f t="shared" si="21"/>
        <v>00198</v>
      </c>
      <c r="M199" s="71" t="str">
        <f t="shared" si="22"/>
        <v>23 de abril de 2017</v>
      </c>
      <c r="N199" s="39">
        <f t="shared" si="23"/>
        <v>42826</v>
      </c>
      <c r="O199" s="9" t="str">
        <f t="shared" si="24"/>
        <v>30.000,00</v>
      </c>
      <c r="P199" s="8" t="str">
        <f t="shared" si="25"/>
        <v>Treinta Mil Bolívares con 00/100</v>
      </c>
      <c r="Q199" s="403" t="str">
        <f t="shared" si="26"/>
        <v/>
      </c>
    </row>
    <row r="200" spans="1:17" x14ac:dyDescent="0.25">
      <c r="A200" s="1">
        <f t="shared" si="27"/>
        <v>199</v>
      </c>
      <c r="C200" s="12" t="s">
        <v>17</v>
      </c>
      <c r="D200" s="2">
        <v>42849</v>
      </c>
      <c r="E200" s="3">
        <v>17000</v>
      </c>
      <c r="F200" t="s">
        <v>211</v>
      </c>
      <c r="G200" t="s">
        <v>212</v>
      </c>
      <c r="H200" t="s">
        <v>213</v>
      </c>
      <c r="I200" s="10" t="s">
        <v>396</v>
      </c>
      <c r="J200" s="167" t="s">
        <v>22</v>
      </c>
      <c r="L200" s="9" t="str">
        <f t="shared" si="21"/>
        <v>00199</v>
      </c>
      <c r="M200" s="71" t="str">
        <f t="shared" si="22"/>
        <v>24 de abril de 2017</v>
      </c>
      <c r="N200" s="39">
        <f t="shared" si="23"/>
        <v>42826</v>
      </c>
      <c r="O200" s="9" t="str">
        <f t="shared" si="24"/>
        <v>17.000,00</v>
      </c>
      <c r="P200" s="8" t="str">
        <f t="shared" si="25"/>
        <v>Diecisiete Mil Bolívares con 00/100</v>
      </c>
      <c r="Q200" s="403" t="str">
        <f t="shared" si="26"/>
        <v/>
      </c>
    </row>
    <row r="201" spans="1:17" x14ac:dyDescent="0.25">
      <c r="A201" s="1">
        <f t="shared" si="27"/>
        <v>200</v>
      </c>
      <c r="C201" s="12" t="s">
        <v>17</v>
      </c>
      <c r="D201" s="2">
        <v>42849</v>
      </c>
      <c r="E201" s="3">
        <f>3000+17000*3</f>
        <v>54000</v>
      </c>
      <c r="F201" t="s">
        <v>239</v>
      </c>
      <c r="G201" t="s">
        <v>240</v>
      </c>
      <c r="H201" t="s">
        <v>241</v>
      </c>
      <c r="I201" s="10" t="s">
        <v>416</v>
      </c>
      <c r="J201" s="167" t="s">
        <v>22</v>
      </c>
      <c r="L201" s="9" t="str">
        <f t="shared" si="21"/>
        <v>00200</v>
      </c>
      <c r="M201" s="71" t="str">
        <f t="shared" si="22"/>
        <v>24 de abril de 2017</v>
      </c>
      <c r="N201" s="39">
        <f t="shared" si="23"/>
        <v>42826</v>
      </c>
      <c r="O201" s="9" t="str">
        <f t="shared" si="24"/>
        <v>54.000,00</v>
      </c>
      <c r="P201" s="8" t="str">
        <f t="shared" si="25"/>
        <v>Cincuenta y Cuatro Mil Bolívares con 00/100</v>
      </c>
      <c r="Q201" s="403" t="str">
        <f t="shared" si="26"/>
        <v/>
      </c>
    </row>
    <row r="202" spans="1:17" x14ac:dyDescent="0.25">
      <c r="A202" s="1">
        <f t="shared" si="27"/>
        <v>201</v>
      </c>
      <c r="C202" s="12" t="s">
        <v>17</v>
      </c>
      <c r="D202" s="2">
        <v>42804</v>
      </c>
      <c r="E202" s="3">
        <v>17000</v>
      </c>
      <c r="F202" t="s">
        <v>152</v>
      </c>
      <c r="G202" t="s">
        <v>153</v>
      </c>
      <c r="H202" t="s">
        <v>154</v>
      </c>
      <c r="I202" s="10" t="s">
        <v>306</v>
      </c>
      <c r="J202" s="167" t="s">
        <v>22</v>
      </c>
      <c r="L202" s="9" t="str">
        <f t="shared" si="21"/>
        <v>00201</v>
      </c>
      <c r="M202" s="71" t="str">
        <f t="shared" si="22"/>
        <v>10 de marzo de 2017</v>
      </c>
      <c r="N202" s="39">
        <f t="shared" si="23"/>
        <v>42795</v>
      </c>
      <c r="O202" s="9" t="str">
        <f t="shared" si="24"/>
        <v>17.000,00</v>
      </c>
      <c r="P202" s="8" t="str">
        <f t="shared" si="25"/>
        <v>Diecisiete Mil Bolívares con 00/100</v>
      </c>
      <c r="Q202" s="403" t="str">
        <f t="shared" si="26"/>
        <v/>
      </c>
    </row>
    <row r="203" spans="1:17" x14ac:dyDescent="0.25">
      <c r="A203" s="1">
        <f t="shared" si="27"/>
        <v>202</v>
      </c>
      <c r="C203" s="12" t="s">
        <v>17</v>
      </c>
      <c r="D203" s="2">
        <v>42846</v>
      </c>
      <c r="E203" s="3">
        <v>17000</v>
      </c>
      <c r="F203" t="s">
        <v>152</v>
      </c>
      <c r="G203" t="s">
        <v>153</v>
      </c>
      <c r="H203" t="s">
        <v>154</v>
      </c>
      <c r="I203" s="10" t="s">
        <v>396</v>
      </c>
      <c r="J203" s="167" t="s">
        <v>22</v>
      </c>
      <c r="L203" s="9" t="str">
        <f t="shared" si="21"/>
        <v>00202</v>
      </c>
      <c r="M203" s="71" t="str">
        <f t="shared" si="22"/>
        <v>21 de abril de 2017</v>
      </c>
      <c r="N203" s="39">
        <f t="shared" si="23"/>
        <v>42826</v>
      </c>
      <c r="O203" s="9" t="str">
        <f t="shared" si="24"/>
        <v>17.000,00</v>
      </c>
      <c r="P203" s="8" t="str">
        <f t="shared" si="25"/>
        <v>Diecisiete Mil Bolívares con 00/100</v>
      </c>
      <c r="Q203" s="403" t="str">
        <f t="shared" si="26"/>
        <v/>
      </c>
    </row>
    <row r="204" spans="1:17" x14ac:dyDescent="0.25">
      <c r="A204" s="1">
        <f t="shared" si="27"/>
        <v>203</v>
      </c>
      <c r="C204" s="12" t="s">
        <v>17</v>
      </c>
      <c r="D204" s="2">
        <v>42851</v>
      </c>
      <c r="E204" s="3">
        <f>17000*2</f>
        <v>34000</v>
      </c>
      <c r="F204" t="s">
        <v>264</v>
      </c>
      <c r="G204" t="s">
        <v>265</v>
      </c>
      <c r="H204" t="s">
        <v>266</v>
      </c>
      <c r="I204" s="10" t="s">
        <v>401</v>
      </c>
      <c r="J204" s="167" t="s">
        <v>22</v>
      </c>
      <c r="L204" s="9" t="str">
        <f t="shared" si="21"/>
        <v>00203</v>
      </c>
      <c r="M204" s="71" t="str">
        <f t="shared" si="22"/>
        <v>26 de abril de 2017</v>
      </c>
      <c r="N204" s="39">
        <f t="shared" si="23"/>
        <v>42826</v>
      </c>
      <c r="O204" s="9" t="str">
        <f t="shared" si="24"/>
        <v>34.000,00</v>
      </c>
      <c r="P204" s="8" t="str">
        <f t="shared" si="25"/>
        <v>Treinta y Cuatro Mil Bolívares con 00/100</v>
      </c>
      <c r="Q204" s="403" t="str">
        <f t="shared" si="26"/>
        <v/>
      </c>
    </row>
    <row r="205" spans="1:17" x14ac:dyDescent="0.25">
      <c r="A205" s="1">
        <f t="shared" si="27"/>
        <v>204</v>
      </c>
      <c r="C205" s="12" t="s">
        <v>17</v>
      </c>
      <c r="D205" s="2">
        <v>42852</v>
      </c>
      <c r="E205" s="3">
        <v>17000</v>
      </c>
      <c r="F205" t="s">
        <v>100</v>
      </c>
      <c r="G205" t="s">
        <v>95</v>
      </c>
      <c r="H205" t="s">
        <v>101</v>
      </c>
      <c r="I205" s="10" t="s">
        <v>396</v>
      </c>
      <c r="J205" s="167" t="s">
        <v>22</v>
      </c>
      <c r="L205" s="9" t="str">
        <f t="shared" si="21"/>
        <v>00204</v>
      </c>
      <c r="M205" s="71" t="str">
        <f t="shared" si="22"/>
        <v>27 de abril de 2017</v>
      </c>
      <c r="N205" s="39">
        <f t="shared" si="23"/>
        <v>42826</v>
      </c>
      <c r="O205" s="9" t="str">
        <f t="shared" si="24"/>
        <v>17.000,00</v>
      </c>
      <c r="P205" s="8" t="str">
        <f t="shared" si="25"/>
        <v>Diecisiete Mil Bolívares con 00/100</v>
      </c>
      <c r="Q205" s="403" t="str">
        <f t="shared" si="26"/>
        <v/>
      </c>
    </row>
    <row r="206" spans="1:17" x14ac:dyDescent="0.25">
      <c r="A206" s="1">
        <f t="shared" si="27"/>
        <v>205</v>
      </c>
      <c r="C206" s="12" t="s">
        <v>17</v>
      </c>
      <c r="D206" s="2">
        <v>42852</v>
      </c>
      <c r="E206" s="3">
        <v>3000</v>
      </c>
      <c r="F206" t="s">
        <v>94</v>
      </c>
      <c r="G206" t="s">
        <v>95</v>
      </c>
      <c r="H206" t="s">
        <v>96</v>
      </c>
      <c r="I206" s="10" t="s">
        <v>405</v>
      </c>
      <c r="J206" s="167" t="s">
        <v>22</v>
      </c>
      <c r="L206" s="9" t="str">
        <f t="shared" si="21"/>
        <v>00205</v>
      </c>
      <c r="M206" s="71" t="str">
        <f t="shared" si="22"/>
        <v>27 de abril de 2017</v>
      </c>
      <c r="N206" s="39">
        <f t="shared" si="23"/>
        <v>42826</v>
      </c>
      <c r="O206" s="9" t="str">
        <f t="shared" si="24"/>
        <v>3.000,00</v>
      </c>
      <c r="P206" s="8" t="str">
        <f t="shared" si="25"/>
        <v>Tres Mil Bolívares con 00/100</v>
      </c>
      <c r="Q206" s="403" t="str">
        <f t="shared" si="26"/>
        <v/>
      </c>
    </row>
    <row r="207" spans="1:17" x14ac:dyDescent="0.25">
      <c r="A207" s="1">
        <f t="shared" si="27"/>
        <v>206</v>
      </c>
      <c r="C207" s="12" t="s">
        <v>17</v>
      </c>
      <c r="D207" s="2">
        <v>42852</v>
      </c>
      <c r="E207" s="3">
        <v>17000</v>
      </c>
      <c r="F207" t="s">
        <v>408</v>
      </c>
      <c r="G207" t="s">
        <v>409</v>
      </c>
      <c r="H207" t="s">
        <v>410</v>
      </c>
      <c r="I207" s="10" t="s">
        <v>405</v>
      </c>
      <c r="J207" s="167" t="s">
        <v>22</v>
      </c>
      <c r="L207" s="9" t="str">
        <f t="shared" si="21"/>
        <v>00206</v>
      </c>
      <c r="M207" s="71" t="str">
        <f t="shared" si="22"/>
        <v>27 de abril de 2017</v>
      </c>
      <c r="N207" s="39">
        <f t="shared" si="23"/>
        <v>42826</v>
      </c>
      <c r="O207" s="9" t="str">
        <f t="shared" si="24"/>
        <v>17.000,00</v>
      </c>
      <c r="P207" s="8" t="str">
        <f t="shared" si="25"/>
        <v>Diecisiete Mil Bolívares con 00/100</v>
      </c>
      <c r="Q207" s="403" t="str">
        <f t="shared" si="26"/>
        <v/>
      </c>
    </row>
    <row r="208" spans="1:17" x14ac:dyDescent="0.25">
      <c r="A208" s="1">
        <f t="shared" si="27"/>
        <v>207</v>
      </c>
      <c r="C208" s="12" t="s">
        <v>17</v>
      </c>
      <c r="D208" s="2">
        <v>42821</v>
      </c>
      <c r="E208" s="3">
        <v>10500</v>
      </c>
      <c r="F208" t="s">
        <v>270</v>
      </c>
      <c r="G208" t="s">
        <v>271</v>
      </c>
      <c r="H208" t="s">
        <v>272</v>
      </c>
      <c r="I208" s="10" t="s">
        <v>158</v>
      </c>
      <c r="J208" s="167" t="s">
        <v>22</v>
      </c>
      <c r="L208" s="9" t="str">
        <f t="shared" si="21"/>
        <v>00207</v>
      </c>
      <c r="M208" s="71" t="str">
        <f t="shared" si="22"/>
        <v>27 de marzo de 2017</v>
      </c>
      <c r="N208" s="39">
        <f t="shared" si="23"/>
        <v>42795</v>
      </c>
      <c r="O208" s="9" t="str">
        <f t="shared" si="24"/>
        <v>10.500,00</v>
      </c>
      <c r="P208" s="8" t="str">
        <f t="shared" si="25"/>
        <v>Diez Mil Quinientos Bolívares con 00/100</v>
      </c>
      <c r="Q208" s="403" t="str">
        <f t="shared" si="26"/>
        <v/>
      </c>
    </row>
    <row r="209" spans="1:17" x14ac:dyDescent="0.25">
      <c r="A209" s="1">
        <f t="shared" si="27"/>
        <v>208</v>
      </c>
      <c r="C209" s="12" t="s">
        <v>17</v>
      </c>
      <c r="D209" s="2">
        <v>42857</v>
      </c>
      <c r="E209" s="3">
        <v>10000</v>
      </c>
      <c r="F209" t="s">
        <v>312</v>
      </c>
      <c r="G209" t="s">
        <v>313</v>
      </c>
      <c r="H209" t="s">
        <v>314</v>
      </c>
      <c r="I209" s="10" t="s">
        <v>405</v>
      </c>
      <c r="J209" s="167" t="s">
        <v>22</v>
      </c>
      <c r="L209" s="9" t="str">
        <f t="shared" si="21"/>
        <v>00208</v>
      </c>
      <c r="M209" s="71" t="str">
        <f t="shared" si="22"/>
        <v>02 de mayo de 2017</v>
      </c>
      <c r="N209" s="39">
        <f t="shared" si="23"/>
        <v>42856</v>
      </c>
      <c r="O209" s="9" t="str">
        <f t="shared" si="24"/>
        <v>10.000,00</v>
      </c>
      <c r="P209" s="8" t="str">
        <f t="shared" si="25"/>
        <v>Diez Mil Bolívares con 00/100</v>
      </c>
      <c r="Q209" s="403" t="str">
        <f t="shared" si="26"/>
        <v/>
      </c>
    </row>
    <row r="210" spans="1:17" x14ac:dyDescent="0.25">
      <c r="A210" s="1">
        <f t="shared" si="27"/>
        <v>209</v>
      </c>
      <c r="C210" s="12" t="s">
        <v>17</v>
      </c>
      <c r="D210" s="2">
        <v>42860</v>
      </c>
      <c r="E210" s="3">
        <v>17000</v>
      </c>
      <c r="F210" t="s">
        <v>296</v>
      </c>
      <c r="G210" t="s">
        <v>297</v>
      </c>
      <c r="H210" t="s">
        <v>298</v>
      </c>
      <c r="I210" s="10" t="s">
        <v>396</v>
      </c>
      <c r="J210" s="167" t="s">
        <v>22</v>
      </c>
      <c r="L210" s="9" t="str">
        <f t="shared" si="21"/>
        <v>00209</v>
      </c>
      <c r="M210" s="71" t="str">
        <f t="shared" si="22"/>
        <v>05 de mayo de 2017</v>
      </c>
      <c r="N210" s="39">
        <f t="shared" si="23"/>
        <v>42856</v>
      </c>
      <c r="O210" s="9" t="str">
        <f t="shared" si="24"/>
        <v>17.000,00</v>
      </c>
      <c r="P210" s="8" t="str">
        <f t="shared" si="25"/>
        <v>Diecisiete Mil Bolívares con 00/100</v>
      </c>
      <c r="Q210" s="403" t="str">
        <f t="shared" si="26"/>
        <v/>
      </c>
    </row>
    <row r="211" spans="1:17" x14ac:dyDescent="0.25">
      <c r="A211" s="1">
        <f t="shared" si="27"/>
        <v>210</v>
      </c>
      <c r="C211" s="12" t="s">
        <v>17</v>
      </c>
      <c r="D211" s="2">
        <v>42860</v>
      </c>
      <c r="E211" s="3">
        <v>17000</v>
      </c>
      <c r="F211" t="s">
        <v>167</v>
      </c>
      <c r="G211" t="s">
        <v>168</v>
      </c>
      <c r="H211" t="s">
        <v>169</v>
      </c>
      <c r="I211" s="10" t="s">
        <v>417</v>
      </c>
      <c r="J211" s="167" t="s">
        <v>22</v>
      </c>
      <c r="L211" s="9" t="str">
        <f t="shared" si="21"/>
        <v>00210</v>
      </c>
      <c r="M211" s="71" t="str">
        <f t="shared" si="22"/>
        <v>05 de mayo de 2017</v>
      </c>
      <c r="N211" s="39">
        <f t="shared" si="23"/>
        <v>42856</v>
      </c>
      <c r="O211" s="9" t="str">
        <f t="shared" si="24"/>
        <v>17.000,00</v>
      </c>
      <c r="P211" s="8" t="str">
        <f t="shared" si="25"/>
        <v>Diecisiete Mil Bolívares con 00/100</v>
      </c>
      <c r="Q211" s="403" t="str">
        <f t="shared" si="26"/>
        <v/>
      </c>
    </row>
    <row r="212" spans="1:17" x14ac:dyDescent="0.25">
      <c r="A212" s="1">
        <f t="shared" si="27"/>
        <v>211</v>
      </c>
      <c r="C212" s="12" t="s">
        <v>17</v>
      </c>
      <c r="D212" s="2">
        <v>42860</v>
      </c>
      <c r="E212" s="3">
        <v>17000</v>
      </c>
      <c r="F212" t="s">
        <v>62</v>
      </c>
      <c r="G212" t="s">
        <v>63</v>
      </c>
      <c r="H212" t="s">
        <v>64</v>
      </c>
      <c r="I212" s="10" t="s">
        <v>396</v>
      </c>
      <c r="J212" s="167" t="s">
        <v>22</v>
      </c>
      <c r="L212" s="9" t="str">
        <f t="shared" si="21"/>
        <v>00211</v>
      </c>
      <c r="M212" s="71" t="str">
        <f t="shared" si="22"/>
        <v>05 de mayo de 2017</v>
      </c>
      <c r="N212" s="39">
        <f t="shared" si="23"/>
        <v>42856</v>
      </c>
      <c r="O212" s="9" t="str">
        <f t="shared" si="24"/>
        <v>17.000,00</v>
      </c>
      <c r="P212" s="8" t="str">
        <f t="shared" si="25"/>
        <v>Diecisiete Mil Bolívares con 00/100</v>
      </c>
      <c r="Q212" s="403" t="str">
        <f t="shared" si="26"/>
        <v/>
      </c>
    </row>
    <row r="213" spans="1:17" x14ac:dyDescent="0.25">
      <c r="A213" s="1">
        <f t="shared" si="27"/>
        <v>212</v>
      </c>
      <c r="C213" s="12" t="s">
        <v>17</v>
      </c>
      <c r="D213" s="2">
        <v>42860</v>
      </c>
      <c r="E213" s="3">
        <v>17000</v>
      </c>
      <c r="F213" t="s">
        <v>138</v>
      </c>
      <c r="G213" t="s">
        <v>139</v>
      </c>
      <c r="H213" t="s">
        <v>140</v>
      </c>
      <c r="I213" s="10" t="s">
        <v>396</v>
      </c>
      <c r="J213" s="167" t="s">
        <v>22</v>
      </c>
      <c r="L213" s="9" t="str">
        <f t="shared" si="21"/>
        <v>00212</v>
      </c>
      <c r="M213" s="71" t="str">
        <f t="shared" si="22"/>
        <v>05 de mayo de 2017</v>
      </c>
      <c r="N213" s="39">
        <f t="shared" si="23"/>
        <v>42856</v>
      </c>
      <c r="O213" s="9" t="str">
        <f t="shared" si="24"/>
        <v>17.000,00</v>
      </c>
      <c r="P213" s="8" t="str">
        <f t="shared" si="25"/>
        <v>Diecisiete Mil Bolívares con 00/100</v>
      </c>
      <c r="Q213" s="403" t="str">
        <f t="shared" si="26"/>
        <v/>
      </c>
    </row>
    <row r="214" spans="1:17" x14ac:dyDescent="0.25">
      <c r="A214" s="1">
        <f t="shared" si="27"/>
        <v>213</v>
      </c>
      <c r="C214" s="12" t="s">
        <v>17</v>
      </c>
      <c r="D214" s="2">
        <v>42853</v>
      </c>
      <c r="E214" s="3">
        <v>5000</v>
      </c>
      <c r="F214" t="s">
        <v>418</v>
      </c>
      <c r="G214" t="s">
        <v>419</v>
      </c>
      <c r="H214" t="s">
        <v>420</v>
      </c>
      <c r="I214" s="10" t="s">
        <v>405</v>
      </c>
      <c r="J214" s="167" t="s">
        <v>22</v>
      </c>
      <c r="L214" s="9" t="str">
        <f t="shared" si="21"/>
        <v>00213</v>
      </c>
      <c r="M214" s="71" t="str">
        <f t="shared" si="22"/>
        <v>28 de abril de 2017</v>
      </c>
      <c r="N214" s="39">
        <f t="shared" si="23"/>
        <v>42826</v>
      </c>
      <c r="O214" s="9" t="str">
        <f t="shared" si="24"/>
        <v>5.000,00</v>
      </c>
      <c r="P214" s="8" t="str">
        <f t="shared" si="25"/>
        <v>Cinco Mil Bolívares con 00/100</v>
      </c>
      <c r="Q214" s="403" t="str">
        <f t="shared" si="26"/>
        <v/>
      </c>
    </row>
    <row r="215" spans="1:17" x14ac:dyDescent="0.25">
      <c r="A215" s="1">
        <f t="shared" si="27"/>
        <v>214</v>
      </c>
      <c r="C215" s="12" t="s">
        <v>17</v>
      </c>
      <c r="D215" s="2">
        <v>42861</v>
      </c>
      <c r="E215" s="3">
        <v>26000</v>
      </c>
      <c r="F215" t="s">
        <v>44</v>
      </c>
      <c r="G215" t="s">
        <v>45</v>
      </c>
      <c r="H215" t="s">
        <v>46</v>
      </c>
      <c r="I215" s="10" t="s">
        <v>421</v>
      </c>
      <c r="J215" s="167" t="s">
        <v>22</v>
      </c>
      <c r="L215" s="9" t="str">
        <f t="shared" si="21"/>
        <v>00214</v>
      </c>
      <c r="M215" s="71" t="str">
        <f t="shared" si="22"/>
        <v>06 de mayo de 2017</v>
      </c>
      <c r="N215" s="39">
        <f t="shared" si="23"/>
        <v>42856</v>
      </c>
      <c r="O215" s="9" t="str">
        <f t="shared" si="24"/>
        <v>26.000,00</v>
      </c>
      <c r="P215" s="8" t="str">
        <f t="shared" si="25"/>
        <v>Veintiseis Mil Bolívares con 00/100</v>
      </c>
      <c r="Q215" s="403" t="str">
        <f t="shared" si="26"/>
        <v/>
      </c>
    </row>
    <row r="216" spans="1:17" x14ac:dyDescent="0.25">
      <c r="A216" s="1">
        <f t="shared" si="27"/>
        <v>215</v>
      </c>
      <c r="C216" s="12" t="s">
        <v>17</v>
      </c>
      <c r="D216" s="2">
        <v>42830</v>
      </c>
      <c r="E216" s="3">
        <v>17000</v>
      </c>
      <c r="F216" t="s">
        <v>90</v>
      </c>
      <c r="G216" t="s">
        <v>91</v>
      </c>
      <c r="H216" t="s">
        <v>92</v>
      </c>
      <c r="I216" s="10" t="s">
        <v>396</v>
      </c>
      <c r="J216" s="167" t="s">
        <v>22</v>
      </c>
      <c r="L216" s="9" t="str">
        <f t="shared" si="21"/>
        <v>00215</v>
      </c>
      <c r="M216" s="71" t="str">
        <f t="shared" si="22"/>
        <v>05 de abril de 2017</v>
      </c>
      <c r="N216" s="39">
        <f t="shared" si="23"/>
        <v>42826</v>
      </c>
      <c r="O216" s="9" t="str">
        <f t="shared" si="24"/>
        <v>17.000,00</v>
      </c>
      <c r="P216" s="8" t="str">
        <f t="shared" si="25"/>
        <v>Diecisiete Mil Bolívares con 00/100</v>
      </c>
      <c r="Q216" s="403" t="str">
        <f t="shared" si="26"/>
        <v/>
      </c>
    </row>
    <row r="217" spans="1:17" x14ac:dyDescent="0.25">
      <c r="A217" s="1">
        <f t="shared" si="27"/>
        <v>216</v>
      </c>
      <c r="C217" s="12" t="s">
        <v>17</v>
      </c>
      <c r="D217" s="2">
        <v>42858</v>
      </c>
      <c r="E217" s="3">
        <v>17000</v>
      </c>
      <c r="F217" t="s">
        <v>90</v>
      </c>
      <c r="G217" t="s">
        <v>91</v>
      </c>
      <c r="H217" t="s">
        <v>92</v>
      </c>
      <c r="I217" s="10" t="s">
        <v>417</v>
      </c>
      <c r="J217" s="167" t="s">
        <v>22</v>
      </c>
      <c r="L217" s="9" t="str">
        <f t="shared" si="21"/>
        <v>00216</v>
      </c>
      <c r="M217" s="71" t="str">
        <f t="shared" si="22"/>
        <v>03 de mayo de 2017</v>
      </c>
      <c r="N217" s="39">
        <f t="shared" si="23"/>
        <v>42856</v>
      </c>
      <c r="O217" s="9" t="str">
        <f t="shared" si="24"/>
        <v>17.000,00</v>
      </c>
      <c r="P217" s="8" t="str">
        <f t="shared" si="25"/>
        <v>Diecisiete Mil Bolívares con 00/100</v>
      </c>
      <c r="Q217" s="403" t="str">
        <f t="shared" si="26"/>
        <v/>
      </c>
    </row>
    <row r="218" spans="1:17" x14ac:dyDescent="0.25">
      <c r="A218" s="1">
        <f t="shared" si="27"/>
        <v>217</v>
      </c>
      <c r="C218" s="12" t="s">
        <v>17</v>
      </c>
      <c r="D218" s="2">
        <v>42862</v>
      </c>
      <c r="E218" s="3">
        <v>9000</v>
      </c>
      <c r="F218" t="s">
        <v>90</v>
      </c>
      <c r="G218" t="s">
        <v>91</v>
      </c>
      <c r="H218" t="s">
        <v>92</v>
      </c>
      <c r="I218" s="10" t="s">
        <v>422</v>
      </c>
      <c r="J218" s="167" t="s">
        <v>22</v>
      </c>
      <c r="L218" s="9" t="str">
        <f t="shared" si="21"/>
        <v>00217</v>
      </c>
      <c r="M218" s="71" t="str">
        <f t="shared" si="22"/>
        <v>07 de mayo de 2017</v>
      </c>
      <c r="N218" s="39">
        <f t="shared" si="23"/>
        <v>42856</v>
      </c>
      <c r="O218" s="9" t="str">
        <f t="shared" si="24"/>
        <v>9.000,00</v>
      </c>
      <c r="P218" s="8" t="str">
        <f t="shared" si="25"/>
        <v>Nueve Mil Bolívares con 00/100</v>
      </c>
      <c r="Q218" s="403" t="str">
        <f t="shared" si="26"/>
        <v/>
      </c>
    </row>
    <row r="219" spans="1:17" x14ac:dyDescent="0.25">
      <c r="A219" s="1">
        <f t="shared" si="27"/>
        <v>218</v>
      </c>
      <c r="C219" s="12" t="s">
        <v>17</v>
      </c>
      <c r="D219" s="2">
        <v>42862</v>
      </c>
      <c r="E219" s="3">
        <v>26000</v>
      </c>
      <c r="F219" t="s">
        <v>40</v>
      </c>
      <c r="G219" t="s">
        <v>41</v>
      </c>
      <c r="H219" t="s">
        <v>42</v>
      </c>
      <c r="I219" s="10" t="s">
        <v>421</v>
      </c>
      <c r="J219" s="167" t="s">
        <v>22</v>
      </c>
      <c r="L219" s="9" t="str">
        <f t="shared" si="21"/>
        <v>00218</v>
      </c>
      <c r="M219" s="71" t="str">
        <f t="shared" si="22"/>
        <v>07 de mayo de 2017</v>
      </c>
      <c r="N219" s="39">
        <f t="shared" si="23"/>
        <v>42856</v>
      </c>
      <c r="O219" s="9" t="str">
        <f t="shared" si="24"/>
        <v>26.000,00</v>
      </c>
      <c r="P219" s="8" t="str">
        <f t="shared" si="25"/>
        <v>Veintiseis Mil Bolívares con 00/100</v>
      </c>
      <c r="Q219" s="403" t="str">
        <f t="shared" si="26"/>
        <v/>
      </c>
    </row>
    <row r="220" spans="1:17" ht="15.75" thickBot="1" x14ac:dyDescent="0.3">
      <c r="A220" s="1">
        <f t="shared" si="27"/>
        <v>219</v>
      </c>
      <c r="C220" s="12" t="s">
        <v>17</v>
      </c>
      <c r="D220" s="2">
        <v>42862</v>
      </c>
      <c r="E220" s="3">
        <v>26000</v>
      </c>
      <c r="F220" t="s">
        <v>24</v>
      </c>
      <c r="G220" t="s">
        <v>25</v>
      </c>
      <c r="H220" t="s">
        <v>26</v>
      </c>
      <c r="I220" s="10" t="s">
        <v>421</v>
      </c>
      <c r="J220" s="167" t="s">
        <v>22</v>
      </c>
      <c r="L220" s="9" t="str">
        <f t="shared" si="21"/>
        <v>00219</v>
      </c>
      <c r="M220" s="71" t="str">
        <f t="shared" si="22"/>
        <v>07 de mayo de 2017</v>
      </c>
      <c r="N220" s="39">
        <f t="shared" si="23"/>
        <v>42856</v>
      </c>
      <c r="O220" s="9" t="str">
        <f t="shared" si="24"/>
        <v>26.000,00</v>
      </c>
      <c r="P220" s="8" t="str">
        <f t="shared" si="25"/>
        <v>Veintiseis Mil Bolívares con 00/100</v>
      </c>
      <c r="Q220" s="403" t="str">
        <f t="shared" si="26"/>
        <v/>
      </c>
    </row>
    <row r="221" spans="1:17" ht="15.75" thickBot="1" x14ac:dyDescent="0.3">
      <c r="A221" s="1">
        <f t="shared" si="27"/>
        <v>220</v>
      </c>
      <c r="C221" s="12" t="s">
        <v>17</v>
      </c>
      <c r="D221" s="2">
        <v>42862</v>
      </c>
      <c r="E221" s="3">
        <f>6500+10500</f>
        <v>17000</v>
      </c>
      <c r="F221" t="s">
        <v>177</v>
      </c>
      <c r="G221" s="27" t="s">
        <v>58</v>
      </c>
      <c r="H221" t="s">
        <v>179</v>
      </c>
      <c r="I221" s="10" t="s">
        <v>396</v>
      </c>
      <c r="J221" s="167" t="s">
        <v>22</v>
      </c>
      <c r="L221" s="9" t="str">
        <f t="shared" si="21"/>
        <v>00220</v>
      </c>
      <c r="M221" s="71" t="str">
        <f t="shared" si="22"/>
        <v>07 de mayo de 2017</v>
      </c>
      <c r="N221" s="39">
        <f t="shared" si="23"/>
        <v>42856</v>
      </c>
      <c r="O221" s="9" t="str">
        <f t="shared" si="24"/>
        <v>17.000,00</v>
      </c>
      <c r="P221" s="8" t="str">
        <f t="shared" si="25"/>
        <v>Diecisiete Mil Bolívares con 00/100</v>
      </c>
      <c r="Q221" s="403" t="str">
        <f t="shared" si="26"/>
        <v/>
      </c>
    </row>
    <row r="222" spans="1:17" ht="15.75" thickBot="1" x14ac:dyDescent="0.3">
      <c r="A222" s="1">
        <f t="shared" si="27"/>
        <v>221</v>
      </c>
      <c r="C222" s="12" t="s">
        <v>17</v>
      </c>
      <c r="D222" s="2">
        <v>42781</v>
      </c>
      <c r="E222" s="3">
        <v>20000</v>
      </c>
      <c r="F222" s="31" t="s">
        <v>57</v>
      </c>
      <c r="G222" s="27" t="s">
        <v>58</v>
      </c>
      <c r="H222" s="32" t="s">
        <v>59</v>
      </c>
      <c r="I222" s="10" t="s">
        <v>142</v>
      </c>
      <c r="J222" s="167" t="s">
        <v>22</v>
      </c>
      <c r="K222" s="33"/>
      <c r="L222" s="9" t="str">
        <f t="shared" si="21"/>
        <v>00221</v>
      </c>
      <c r="M222" s="71" t="str">
        <f t="shared" si="22"/>
        <v>15 de febrero de 2017</v>
      </c>
      <c r="N222" s="39">
        <f t="shared" si="23"/>
        <v>42767</v>
      </c>
      <c r="O222" s="9" t="str">
        <f t="shared" si="24"/>
        <v>20.000,00</v>
      </c>
      <c r="P222" s="8" t="str">
        <f t="shared" si="25"/>
        <v>Veinte Mil Bolívares con 00/100</v>
      </c>
      <c r="Q222" s="403" t="str">
        <f t="shared" si="26"/>
        <v/>
      </c>
    </row>
    <row r="223" spans="1:17" ht="15.75" thickBot="1" x14ac:dyDescent="0.3">
      <c r="A223" s="1">
        <f t="shared" si="27"/>
        <v>222</v>
      </c>
      <c r="C223" s="12" t="s">
        <v>17</v>
      </c>
      <c r="D223" s="2">
        <v>42750</v>
      </c>
      <c r="E223" s="3">
        <v>30000</v>
      </c>
      <c r="F223" s="36" t="s">
        <v>423</v>
      </c>
      <c r="G223" s="27" t="s">
        <v>58</v>
      </c>
      <c r="H223" t="s">
        <v>424</v>
      </c>
      <c r="I223" s="10" t="s">
        <v>60</v>
      </c>
      <c r="J223" s="167" t="s">
        <v>22</v>
      </c>
      <c r="L223" s="9" t="str">
        <f t="shared" si="21"/>
        <v>00222</v>
      </c>
      <c r="M223" s="71" t="str">
        <f t="shared" si="22"/>
        <v>15 de enero de 2017</v>
      </c>
      <c r="N223" s="39">
        <f t="shared" si="23"/>
        <v>42736</v>
      </c>
      <c r="O223" s="9" t="str">
        <f t="shared" si="24"/>
        <v>30.000,00</v>
      </c>
      <c r="P223" s="8" t="str">
        <f t="shared" si="25"/>
        <v>Treinta Mil Bolívares con 00/100</v>
      </c>
      <c r="Q223" s="403" t="str">
        <f t="shared" si="26"/>
        <v/>
      </c>
    </row>
    <row r="224" spans="1:17" x14ac:dyDescent="0.25">
      <c r="A224" s="1">
        <f t="shared" si="27"/>
        <v>223</v>
      </c>
      <c r="C224" s="12" t="s">
        <v>17</v>
      </c>
      <c r="D224" s="2">
        <v>42863</v>
      </c>
      <c r="E224" s="3">
        <v>26000</v>
      </c>
      <c r="F224" t="s">
        <v>70</v>
      </c>
      <c r="G224" t="s">
        <v>71</v>
      </c>
      <c r="H224" t="s">
        <v>72</v>
      </c>
      <c r="I224" s="10" t="s">
        <v>421</v>
      </c>
      <c r="J224" s="167" t="s">
        <v>22</v>
      </c>
      <c r="L224" s="9" t="str">
        <f t="shared" si="21"/>
        <v>00223</v>
      </c>
      <c r="M224" s="71" t="str">
        <f t="shared" si="22"/>
        <v>08 de mayo de 2017</v>
      </c>
      <c r="N224" s="39">
        <f t="shared" si="23"/>
        <v>42856</v>
      </c>
      <c r="O224" s="9" t="str">
        <f t="shared" si="24"/>
        <v>26.000,00</v>
      </c>
      <c r="P224" s="8" t="str">
        <f t="shared" si="25"/>
        <v>Veintiseis Mil Bolívares con 00/100</v>
      </c>
      <c r="Q224" s="403" t="str">
        <f t="shared" si="26"/>
        <v/>
      </c>
    </row>
    <row r="225" spans="1:17" x14ac:dyDescent="0.25">
      <c r="A225" s="1">
        <f t="shared" si="27"/>
        <v>224</v>
      </c>
      <c r="C225" s="12" t="s">
        <v>17</v>
      </c>
      <c r="D225" s="2">
        <v>42863</v>
      </c>
      <c r="E225" s="3">
        <v>26000</v>
      </c>
      <c r="F225" t="s">
        <v>18</v>
      </c>
      <c r="G225" t="s">
        <v>19</v>
      </c>
      <c r="H225" t="s">
        <v>20</v>
      </c>
      <c r="I225" s="10" t="s">
        <v>421</v>
      </c>
      <c r="J225" s="167" t="s">
        <v>22</v>
      </c>
      <c r="L225" s="9" t="str">
        <f t="shared" si="21"/>
        <v>00224</v>
      </c>
      <c r="M225" s="71" t="str">
        <f t="shared" si="22"/>
        <v>08 de mayo de 2017</v>
      </c>
      <c r="N225" s="39">
        <f t="shared" si="23"/>
        <v>42856</v>
      </c>
      <c r="O225" s="9" t="str">
        <f t="shared" si="24"/>
        <v>26.000,00</v>
      </c>
      <c r="P225" s="8" t="str">
        <f t="shared" si="25"/>
        <v>Veintiseis Mil Bolívares con 00/100</v>
      </c>
      <c r="Q225" s="403" t="str">
        <f t="shared" si="26"/>
        <v/>
      </c>
    </row>
    <row r="226" spans="1:17" x14ac:dyDescent="0.25">
      <c r="A226" s="1">
        <f t="shared" si="27"/>
        <v>225</v>
      </c>
      <c r="C226" s="12" t="s">
        <v>17</v>
      </c>
      <c r="D226" s="2">
        <v>42809</v>
      </c>
      <c r="E226" s="3">
        <v>17000</v>
      </c>
      <c r="F226" t="s">
        <v>53</v>
      </c>
      <c r="G226" t="s">
        <v>54</v>
      </c>
      <c r="H226" t="s">
        <v>55</v>
      </c>
      <c r="I226" s="10" t="s">
        <v>306</v>
      </c>
      <c r="J226" s="167" t="s">
        <v>22</v>
      </c>
      <c r="L226" s="9" t="str">
        <f t="shared" si="21"/>
        <v>00225</v>
      </c>
      <c r="M226" s="71" t="str">
        <f t="shared" si="22"/>
        <v>15 de marzo de 2017</v>
      </c>
      <c r="N226" s="39">
        <f t="shared" si="23"/>
        <v>42795</v>
      </c>
      <c r="O226" s="9" t="str">
        <f t="shared" si="24"/>
        <v>17.000,00</v>
      </c>
      <c r="P226" s="8" t="str">
        <f t="shared" si="25"/>
        <v>Diecisiete Mil Bolívares con 00/100</v>
      </c>
      <c r="Q226" s="403" t="str">
        <f t="shared" si="26"/>
        <v/>
      </c>
    </row>
    <row r="227" spans="1:17" x14ac:dyDescent="0.25">
      <c r="A227" s="1">
        <f t="shared" si="27"/>
        <v>226</v>
      </c>
      <c r="C227" s="12" t="s">
        <v>17</v>
      </c>
      <c r="D227" s="2">
        <v>42863</v>
      </c>
      <c r="E227" s="3">
        <f>17000*2</f>
        <v>34000</v>
      </c>
      <c r="F227" t="s">
        <v>248</v>
      </c>
      <c r="G227" t="s">
        <v>249</v>
      </c>
      <c r="H227" t="s">
        <v>250</v>
      </c>
      <c r="I227" s="10" t="s">
        <v>425</v>
      </c>
      <c r="J227" s="167" t="s">
        <v>22</v>
      </c>
      <c r="L227" s="9" t="str">
        <f t="shared" si="21"/>
        <v>00226</v>
      </c>
      <c r="M227" s="71" t="str">
        <f t="shared" si="22"/>
        <v>08 de mayo de 2017</v>
      </c>
      <c r="N227" s="39">
        <f t="shared" si="23"/>
        <v>42856</v>
      </c>
      <c r="O227" s="9" t="str">
        <f t="shared" si="24"/>
        <v>34.000,00</v>
      </c>
      <c r="P227" s="8" t="str">
        <f t="shared" si="25"/>
        <v>Treinta y Cuatro Mil Bolívares con 00/100</v>
      </c>
      <c r="Q227" s="403" t="str">
        <f t="shared" si="26"/>
        <v/>
      </c>
    </row>
    <row r="228" spans="1:17" x14ac:dyDescent="0.25">
      <c r="A228" s="1">
        <f t="shared" si="27"/>
        <v>227</v>
      </c>
      <c r="C228" s="12" t="s">
        <v>17</v>
      </c>
      <c r="D228" s="2">
        <v>42809</v>
      </c>
      <c r="E228" s="3">
        <v>17000</v>
      </c>
      <c r="F228" t="s">
        <v>363</v>
      </c>
      <c r="G228" t="s">
        <v>364</v>
      </c>
      <c r="H228" t="s">
        <v>365</v>
      </c>
      <c r="I228" s="10" t="s">
        <v>142</v>
      </c>
      <c r="J228" s="167" t="s">
        <v>22</v>
      </c>
      <c r="L228" s="9" t="str">
        <f t="shared" si="21"/>
        <v>00227</v>
      </c>
      <c r="M228" s="71" t="str">
        <f t="shared" si="22"/>
        <v>15 de marzo de 2017</v>
      </c>
      <c r="N228" s="39">
        <f t="shared" si="23"/>
        <v>42795</v>
      </c>
      <c r="O228" s="9" t="str">
        <f t="shared" si="24"/>
        <v>17.000,00</v>
      </c>
      <c r="P228" s="8" t="str">
        <f t="shared" si="25"/>
        <v>Diecisiete Mil Bolívares con 00/100</v>
      </c>
      <c r="Q228" s="403" t="str">
        <f t="shared" si="26"/>
        <v/>
      </c>
    </row>
    <row r="229" spans="1:17" x14ac:dyDescent="0.25">
      <c r="A229" s="1">
        <f t="shared" si="27"/>
        <v>228</v>
      </c>
      <c r="B229" s="398"/>
      <c r="C229" s="21" t="s">
        <v>225</v>
      </c>
      <c r="D229" s="26"/>
      <c r="E229" s="22"/>
      <c r="F229" s="23" t="s">
        <v>363</v>
      </c>
      <c r="G229" s="23" t="s">
        <v>364</v>
      </c>
      <c r="H229" s="23" t="s">
        <v>365</v>
      </c>
      <c r="I229" s="24" t="s">
        <v>426</v>
      </c>
      <c r="J229" s="168" t="s">
        <v>427</v>
      </c>
      <c r="K229" s="25"/>
      <c r="L229" s="9" t="str">
        <f t="shared" si="21"/>
        <v>00228</v>
      </c>
      <c r="M229" s="71" t="str">
        <f t="shared" si="22"/>
        <v/>
      </c>
      <c r="N229" s="39">
        <f t="shared" si="23"/>
        <v>1</v>
      </c>
      <c r="O229" s="9" t="str">
        <f t="shared" si="24"/>
        <v>0,00</v>
      </c>
      <c r="P229" s="8" t="str">
        <f t="shared" si="25"/>
        <v>Cero Bolívares con 00/100</v>
      </c>
      <c r="Q229" s="403" t="str">
        <f t="shared" si="26"/>
        <v>Anulado</v>
      </c>
    </row>
    <row r="230" spans="1:17" x14ac:dyDescent="0.25">
      <c r="A230" s="1">
        <f t="shared" si="27"/>
        <v>229</v>
      </c>
      <c r="C230" s="12" t="s">
        <v>17</v>
      </c>
      <c r="D230" s="2">
        <v>42860</v>
      </c>
      <c r="E230" s="3">
        <v>17000</v>
      </c>
      <c r="F230" t="s">
        <v>363</v>
      </c>
      <c r="G230" t="s">
        <v>364</v>
      </c>
      <c r="H230" t="s">
        <v>365</v>
      </c>
      <c r="I230" s="10" t="s">
        <v>306</v>
      </c>
      <c r="J230" s="167" t="s">
        <v>22</v>
      </c>
      <c r="L230" s="9" t="str">
        <f t="shared" si="21"/>
        <v>00229</v>
      </c>
      <c r="M230" s="71" t="str">
        <f t="shared" si="22"/>
        <v>05 de mayo de 2017</v>
      </c>
      <c r="N230" s="39">
        <f t="shared" si="23"/>
        <v>42856</v>
      </c>
      <c r="O230" s="9" t="str">
        <f t="shared" si="24"/>
        <v>17.000,00</v>
      </c>
      <c r="P230" s="8" t="str">
        <f t="shared" si="25"/>
        <v>Diecisiete Mil Bolívares con 00/100</v>
      </c>
      <c r="Q230" s="403" t="str">
        <f t="shared" si="26"/>
        <v/>
      </c>
    </row>
    <row r="231" spans="1:17" x14ac:dyDescent="0.25">
      <c r="A231" s="1">
        <f t="shared" si="27"/>
        <v>230</v>
      </c>
      <c r="C231" s="12" t="s">
        <v>17</v>
      </c>
      <c r="D231" s="2">
        <v>42863</v>
      </c>
      <c r="E231" s="3">
        <v>17000</v>
      </c>
      <c r="F231" t="s">
        <v>126</v>
      </c>
      <c r="G231" t="s">
        <v>127</v>
      </c>
      <c r="H231" t="s">
        <v>128</v>
      </c>
      <c r="I231" s="10" t="s">
        <v>396</v>
      </c>
      <c r="J231" s="167" t="s">
        <v>22</v>
      </c>
      <c r="L231" s="9" t="str">
        <f t="shared" si="21"/>
        <v>00230</v>
      </c>
      <c r="M231" s="71" t="str">
        <f t="shared" si="22"/>
        <v>08 de mayo de 2017</v>
      </c>
      <c r="N231" s="39">
        <f t="shared" si="23"/>
        <v>42856</v>
      </c>
      <c r="O231" s="9" t="str">
        <f t="shared" si="24"/>
        <v>17.000,00</v>
      </c>
      <c r="P231" s="8" t="str">
        <f t="shared" si="25"/>
        <v>Diecisiete Mil Bolívares con 00/100</v>
      </c>
      <c r="Q231" s="403" t="str">
        <f t="shared" si="26"/>
        <v/>
      </c>
    </row>
    <row r="232" spans="1:17" x14ac:dyDescent="0.25">
      <c r="A232" s="1">
        <f t="shared" si="27"/>
        <v>231</v>
      </c>
      <c r="C232" s="12" t="s">
        <v>17</v>
      </c>
      <c r="D232" s="2">
        <v>42864</v>
      </c>
      <c r="E232" s="3">
        <v>26000</v>
      </c>
      <c r="F232" t="s">
        <v>100</v>
      </c>
      <c r="G232" t="s">
        <v>95</v>
      </c>
      <c r="H232" t="s">
        <v>101</v>
      </c>
      <c r="I232" s="10" t="s">
        <v>421</v>
      </c>
      <c r="J232" s="167" t="s">
        <v>22</v>
      </c>
      <c r="L232" s="9" t="str">
        <f t="shared" si="21"/>
        <v>00231</v>
      </c>
      <c r="M232" s="71" t="str">
        <f t="shared" si="22"/>
        <v>09 de mayo de 2017</v>
      </c>
      <c r="N232" s="39">
        <f t="shared" si="23"/>
        <v>42856</v>
      </c>
      <c r="O232" s="9" t="str">
        <f t="shared" si="24"/>
        <v>26.000,00</v>
      </c>
      <c r="P232" s="8" t="str">
        <f t="shared" si="25"/>
        <v>Veintiseis Mil Bolívares con 00/100</v>
      </c>
      <c r="Q232" s="403" t="str">
        <f t="shared" si="26"/>
        <v/>
      </c>
    </row>
    <row r="233" spans="1:17" x14ac:dyDescent="0.25">
      <c r="A233" s="1">
        <f t="shared" si="27"/>
        <v>232</v>
      </c>
      <c r="C233" s="12" t="s">
        <v>17</v>
      </c>
      <c r="D233" s="2">
        <v>42864</v>
      </c>
      <c r="E233" s="3">
        <v>4000</v>
      </c>
      <c r="F233" t="s">
        <v>94</v>
      </c>
      <c r="G233" t="s">
        <v>95</v>
      </c>
      <c r="H233" t="s">
        <v>96</v>
      </c>
      <c r="I233" s="10" t="s">
        <v>428</v>
      </c>
      <c r="J233" s="167" t="s">
        <v>22</v>
      </c>
      <c r="L233" s="9" t="str">
        <f t="shared" si="21"/>
        <v>00232</v>
      </c>
      <c r="M233" s="71" t="str">
        <f t="shared" si="22"/>
        <v>09 de mayo de 2017</v>
      </c>
      <c r="N233" s="39">
        <f t="shared" si="23"/>
        <v>42856</v>
      </c>
      <c r="O233" s="9" t="str">
        <f t="shared" si="24"/>
        <v>4.000,00</v>
      </c>
      <c r="P233" s="8" t="str">
        <f t="shared" si="25"/>
        <v>Cuatro Mil Bolívares con 00/100</v>
      </c>
      <c r="Q233" s="403" t="str">
        <f t="shared" si="26"/>
        <v/>
      </c>
    </row>
    <row r="234" spans="1:17" x14ac:dyDescent="0.25">
      <c r="A234" s="1">
        <f t="shared" si="27"/>
        <v>233</v>
      </c>
      <c r="C234" s="12" t="s">
        <v>17</v>
      </c>
      <c r="D234" s="2">
        <v>42855</v>
      </c>
      <c r="E234" s="3">
        <v>17000</v>
      </c>
      <c r="F234" t="s">
        <v>354</v>
      </c>
      <c r="G234" t="s">
        <v>355</v>
      </c>
      <c r="H234" t="s">
        <v>356</v>
      </c>
      <c r="I234" s="10" t="s">
        <v>429</v>
      </c>
      <c r="J234" s="167" t="s">
        <v>22</v>
      </c>
      <c r="L234" s="9" t="str">
        <f t="shared" si="21"/>
        <v>00233</v>
      </c>
      <c r="M234" s="71" t="str">
        <f t="shared" si="22"/>
        <v>30 de abril de 2017</v>
      </c>
      <c r="N234" s="39">
        <f t="shared" si="23"/>
        <v>42826</v>
      </c>
      <c r="O234" s="9" t="str">
        <f t="shared" si="24"/>
        <v>17.000,00</v>
      </c>
      <c r="P234" s="8" t="str">
        <f t="shared" si="25"/>
        <v>Diecisiete Mil Bolívares con 00/100</v>
      </c>
      <c r="Q234" s="403" t="str">
        <f t="shared" si="26"/>
        <v/>
      </c>
    </row>
    <row r="235" spans="1:17" x14ac:dyDescent="0.25">
      <c r="A235" s="1">
        <f t="shared" si="27"/>
        <v>234</v>
      </c>
      <c r="C235" s="12" t="s">
        <v>17</v>
      </c>
      <c r="D235" s="2">
        <v>42864</v>
      </c>
      <c r="E235" s="3">
        <f>26000+17000</f>
        <v>43000</v>
      </c>
      <c r="F235" t="s">
        <v>219</v>
      </c>
      <c r="G235" t="s">
        <v>220</v>
      </c>
      <c r="H235" t="s">
        <v>221</v>
      </c>
      <c r="I235" s="10" t="s">
        <v>430</v>
      </c>
      <c r="J235" s="167" t="s">
        <v>22</v>
      </c>
      <c r="L235" s="9" t="str">
        <f t="shared" si="21"/>
        <v>00234</v>
      </c>
      <c r="M235" s="71" t="str">
        <f t="shared" si="22"/>
        <v>09 de mayo de 2017</v>
      </c>
      <c r="N235" s="39">
        <f t="shared" si="23"/>
        <v>42856</v>
      </c>
      <c r="O235" s="9" t="str">
        <f t="shared" si="24"/>
        <v>43.000,00</v>
      </c>
      <c r="P235" s="8" t="str">
        <f t="shared" si="25"/>
        <v>Cuarenta y Tres Mil Bolívares con 00/100</v>
      </c>
      <c r="Q235" s="403" t="str">
        <f t="shared" si="26"/>
        <v/>
      </c>
    </row>
    <row r="236" spans="1:17" x14ac:dyDescent="0.25">
      <c r="A236" s="1">
        <f t="shared" si="27"/>
        <v>235</v>
      </c>
      <c r="C236" s="12" t="s">
        <v>17</v>
      </c>
      <c r="D236" s="2">
        <v>42864</v>
      </c>
      <c r="E236" s="3">
        <v>26000</v>
      </c>
      <c r="F236" t="s">
        <v>211</v>
      </c>
      <c r="G236" t="s">
        <v>212</v>
      </c>
      <c r="H236" t="s">
        <v>213</v>
      </c>
      <c r="I236" s="10" t="s">
        <v>421</v>
      </c>
      <c r="J236" s="167" t="s">
        <v>22</v>
      </c>
      <c r="L236" s="9" t="str">
        <f t="shared" si="21"/>
        <v>00235</v>
      </c>
      <c r="M236" s="71" t="str">
        <f t="shared" si="22"/>
        <v>09 de mayo de 2017</v>
      </c>
      <c r="N236" s="39">
        <f t="shared" si="23"/>
        <v>42856</v>
      </c>
      <c r="O236" s="9" t="str">
        <f t="shared" si="24"/>
        <v>26.000,00</v>
      </c>
      <c r="P236" s="8" t="str">
        <f t="shared" si="25"/>
        <v>Veintiseis Mil Bolívares con 00/100</v>
      </c>
      <c r="Q236" s="403" t="str">
        <f t="shared" si="26"/>
        <v/>
      </c>
    </row>
    <row r="237" spans="1:17" x14ac:dyDescent="0.25">
      <c r="A237" s="1">
        <f t="shared" si="27"/>
        <v>236</v>
      </c>
      <c r="C237" s="12" t="s">
        <v>17</v>
      </c>
      <c r="D237" s="2">
        <v>42831</v>
      </c>
      <c r="E237" s="3">
        <v>14000</v>
      </c>
      <c r="F237" t="s">
        <v>284</v>
      </c>
      <c r="G237" t="s">
        <v>276</v>
      </c>
      <c r="H237" t="s">
        <v>285</v>
      </c>
      <c r="I237" s="10" t="s">
        <v>317</v>
      </c>
      <c r="J237" s="167" t="s">
        <v>22</v>
      </c>
      <c r="L237" s="9" t="str">
        <f t="shared" si="21"/>
        <v>00236</v>
      </c>
      <c r="M237" s="71" t="str">
        <f t="shared" si="22"/>
        <v>06 de abril de 2017</v>
      </c>
      <c r="N237" s="39">
        <f t="shared" si="23"/>
        <v>42826</v>
      </c>
      <c r="O237" s="9" t="str">
        <f t="shared" si="24"/>
        <v>14.000,00</v>
      </c>
      <c r="P237" s="8" t="str">
        <f t="shared" si="25"/>
        <v>Catorce Mil Bolívares con 00/100</v>
      </c>
      <c r="Q237" s="403" t="str">
        <f t="shared" si="26"/>
        <v/>
      </c>
    </row>
    <row r="238" spans="1:17" x14ac:dyDescent="0.25">
      <c r="A238" s="1">
        <f t="shared" si="27"/>
        <v>237</v>
      </c>
      <c r="C238" s="12" t="s">
        <v>17</v>
      </c>
      <c r="D238" s="2">
        <v>42864</v>
      </c>
      <c r="E238" s="3">
        <v>10500</v>
      </c>
      <c r="F238" t="s">
        <v>270</v>
      </c>
      <c r="G238" t="s">
        <v>271</v>
      </c>
      <c r="H238" t="s">
        <v>272</v>
      </c>
      <c r="I238" s="10" t="s">
        <v>317</v>
      </c>
      <c r="J238" s="167" t="s">
        <v>22</v>
      </c>
      <c r="L238" s="9" t="str">
        <f t="shared" si="21"/>
        <v>00237</v>
      </c>
      <c r="M238" s="71" t="str">
        <f t="shared" si="22"/>
        <v>09 de mayo de 2017</v>
      </c>
      <c r="N238" s="39">
        <f t="shared" si="23"/>
        <v>42856</v>
      </c>
      <c r="O238" s="9" t="str">
        <f t="shared" si="24"/>
        <v>10.500,00</v>
      </c>
      <c r="P238" s="8" t="str">
        <f t="shared" si="25"/>
        <v>Diez Mil Quinientos Bolívares con 00/100</v>
      </c>
      <c r="Q238" s="403" t="str">
        <f t="shared" si="26"/>
        <v/>
      </c>
    </row>
    <row r="239" spans="1:17" x14ac:dyDescent="0.25">
      <c r="A239" s="1">
        <f t="shared" si="27"/>
        <v>238</v>
      </c>
      <c r="C239" s="12" t="s">
        <v>17</v>
      </c>
      <c r="D239" s="2">
        <v>42864</v>
      </c>
      <c r="E239" s="3">
        <v>24000</v>
      </c>
      <c r="F239" t="s">
        <v>130</v>
      </c>
      <c r="G239" t="s">
        <v>131</v>
      </c>
      <c r="H239" t="s">
        <v>132</v>
      </c>
      <c r="I239" s="10" t="s">
        <v>397</v>
      </c>
      <c r="J239" s="167" t="s">
        <v>22</v>
      </c>
      <c r="L239" s="9" t="str">
        <f t="shared" si="21"/>
        <v>00238</v>
      </c>
      <c r="M239" s="71" t="str">
        <f t="shared" si="22"/>
        <v>09 de mayo de 2017</v>
      </c>
      <c r="N239" s="39">
        <f t="shared" si="23"/>
        <v>42856</v>
      </c>
      <c r="O239" s="9" t="str">
        <f t="shared" si="24"/>
        <v>24.000,00</v>
      </c>
      <c r="P239" s="8" t="str">
        <f t="shared" si="25"/>
        <v>Veinticuatro Mil Bolívares con 00/100</v>
      </c>
      <c r="Q239" s="403" t="str">
        <f t="shared" si="26"/>
        <v/>
      </c>
    </row>
    <row r="240" spans="1:17" x14ac:dyDescent="0.25">
      <c r="A240" s="1">
        <f t="shared" si="27"/>
        <v>239</v>
      </c>
      <c r="C240" s="12" t="s">
        <v>17</v>
      </c>
      <c r="D240" s="2">
        <v>42864</v>
      </c>
      <c r="E240" s="3">
        <f>17000*2+26000</f>
        <v>60000</v>
      </c>
      <c r="F240" t="s">
        <v>114</v>
      </c>
      <c r="G240" t="s">
        <v>115</v>
      </c>
      <c r="H240" t="s">
        <v>116</v>
      </c>
      <c r="I240" s="10" t="s">
        <v>431</v>
      </c>
      <c r="J240" s="167" t="s">
        <v>22</v>
      </c>
      <c r="L240" s="9" t="str">
        <f t="shared" si="21"/>
        <v>00239</v>
      </c>
      <c r="M240" s="71" t="str">
        <f t="shared" si="22"/>
        <v>09 de mayo de 2017</v>
      </c>
      <c r="N240" s="39">
        <f t="shared" si="23"/>
        <v>42856</v>
      </c>
      <c r="O240" s="9" t="str">
        <f t="shared" si="24"/>
        <v>60.000,00</v>
      </c>
      <c r="P240" s="8" t="str">
        <f t="shared" si="25"/>
        <v>Sesenta Mil Bolívares con 00/100</v>
      </c>
      <c r="Q240" s="403" t="str">
        <f t="shared" si="26"/>
        <v/>
      </c>
    </row>
    <row r="241" spans="1:17" x14ac:dyDescent="0.25">
      <c r="A241" s="1">
        <f t="shared" si="27"/>
        <v>240</v>
      </c>
      <c r="C241" s="12" t="s">
        <v>17</v>
      </c>
      <c r="D241" s="2">
        <v>42865</v>
      </c>
      <c r="E241" s="3">
        <v>26000</v>
      </c>
      <c r="F241" t="s">
        <v>103</v>
      </c>
      <c r="G241" t="s">
        <v>104</v>
      </c>
      <c r="H241" t="s">
        <v>105</v>
      </c>
      <c r="I241" s="10" t="s">
        <v>421</v>
      </c>
      <c r="J241" s="167" t="s">
        <v>22</v>
      </c>
      <c r="L241" s="9" t="str">
        <f t="shared" si="21"/>
        <v>00240</v>
      </c>
      <c r="M241" s="71" t="str">
        <f t="shared" si="22"/>
        <v>10 de mayo de 2017</v>
      </c>
      <c r="N241" s="39">
        <f t="shared" si="23"/>
        <v>42856</v>
      </c>
      <c r="O241" s="9" t="str">
        <f t="shared" si="24"/>
        <v>26.000,00</v>
      </c>
      <c r="P241" s="8" t="str">
        <f t="shared" si="25"/>
        <v>Veintiseis Mil Bolívares con 00/100</v>
      </c>
      <c r="Q241" s="403" t="str">
        <f t="shared" si="26"/>
        <v/>
      </c>
    </row>
    <row r="242" spans="1:17" x14ac:dyDescent="0.25">
      <c r="A242" s="1">
        <f t="shared" si="27"/>
        <v>241</v>
      </c>
      <c r="C242" s="12" t="s">
        <v>17</v>
      </c>
      <c r="D242" s="2">
        <v>42865</v>
      </c>
      <c r="E242" s="3">
        <v>17000</v>
      </c>
      <c r="F242" t="s">
        <v>284</v>
      </c>
      <c r="G242" t="s">
        <v>276</v>
      </c>
      <c r="H242" t="s">
        <v>285</v>
      </c>
      <c r="I242" s="10" t="s">
        <v>396</v>
      </c>
      <c r="J242" s="167" t="s">
        <v>22</v>
      </c>
      <c r="L242" s="9" t="str">
        <f t="shared" si="21"/>
        <v>00241</v>
      </c>
      <c r="M242" s="71" t="str">
        <f t="shared" si="22"/>
        <v>10 de mayo de 2017</v>
      </c>
      <c r="N242" s="39">
        <f t="shared" si="23"/>
        <v>42856</v>
      </c>
      <c r="O242" s="9" t="str">
        <f t="shared" si="24"/>
        <v>17.000,00</v>
      </c>
      <c r="P242" s="8" t="str">
        <f t="shared" si="25"/>
        <v>Diecisiete Mil Bolívares con 00/100</v>
      </c>
      <c r="Q242" s="403" t="str">
        <f t="shared" si="26"/>
        <v/>
      </c>
    </row>
    <row r="243" spans="1:17" x14ac:dyDescent="0.25">
      <c r="A243" s="1">
        <f t="shared" si="27"/>
        <v>242</v>
      </c>
      <c r="C243" s="12" t="s">
        <v>17</v>
      </c>
      <c r="D243" s="2">
        <v>42865</v>
      </c>
      <c r="E243" s="3">
        <v>10000</v>
      </c>
      <c r="F243" t="s">
        <v>402</v>
      </c>
      <c r="G243" t="s">
        <v>403</v>
      </c>
      <c r="H243" t="s">
        <v>404</v>
      </c>
      <c r="I243" s="10" t="s">
        <v>428</v>
      </c>
      <c r="J243" s="167" t="s">
        <v>22</v>
      </c>
      <c r="L243" s="9" t="str">
        <f t="shared" si="21"/>
        <v>00242</v>
      </c>
      <c r="M243" s="71" t="str">
        <f t="shared" si="22"/>
        <v>10 de mayo de 2017</v>
      </c>
      <c r="N243" s="39">
        <f t="shared" si="23"/>
        <v>42856</v>
      </c>
      <c r="O243" s="9" t="str">
        <f t="shared" si="24"/>
        <v>10.000,00</v>
      </c>
      <c r="P243" s="8" t="str">
        <f t="shared" si="25"/>
        <v>Diez Mil Bolívares con 00/100</v>
      </c>
      <c r="Q243" s="403" t="str">
        <f t="shared" si="26"/>
        <v/>
      </c>
    </row>
    <row r="244" spans="1:17" x14ac:dyDescent="0.25">
      <c r="A244" s="1">
        <f t="shared" si="27"/>
        <v>243</v>
      </c>
      <c r="C244" s="12" t="s">
        <v>17</v>
      </c>
      <c r="D244" s="2">
        <v>42866</v>
      </c>
      <c r="E244" s="3">
        <v>26000</v>
      </c>
      <c r="F244" t="s">
        <v>66</v>
      </c>
      <c r="G244" t="s">
        <v>67</v>
      </c>
      <c r="H244" t="s">
        <v>68</v>
      </c>
      <c r="I244" s="10" t="s">
        <v>432</v>
      </c>
      <c r="J244" s="167" t="s">
        <v>22</v>
      </c>
      <c r="L244" s="9" t="str">
        <f t="shared" si="21"/>
        <v>00243</v>
      </c>
      <c r="M244" s="71" t="str">
        <f t="shared" si="22"/>
        <v>11 de mayo de 2017</v>
      </c>
      <c r="N244" s="39">
        <f t="shared" si="23"/>
        <v>42856</v>
      </c>
      <c r="O244" s="9" t="str">
        <f t="shared" si="24"/>
        <v>26.000,00</v>
      </c>
      <c r="P244" s="8" t="str">
        <f t="shared" si="25"/>
        <v>Veintiseis Mil Bolívares con 00/100</v>
      </c>
      <c r="Q244" s="403" t="str">
        <f t="shared" si="26"/>
        <v/>
      </c>
    </row>
    <row r="245" spans="1:17" x14ac:dyDescent="0.25">
      <c r="A245" s="1">
        <f t="shared" si="27"/>
        <v>244</v>
      </c>
      <c r="C245" s="12" t="s">
        <v>17</v>
      </c>
      <c r="D245" s="2">
        <v>42866</v>
      </c>
      <c r="E245" s="3">
        <v>15000</v>
      </c>
      <c r="F245" t="s">
        <v>181</v>
      </c>
      <c r="G245" t="s">
        <v>182</v>
      </c>
      <c r="H245" t="s">
        <v>183</v>
      </c>
      <c r="I245" s="10" t="s">
        <v>428</v>
      </c>
      <c r="J245" s="167" t="s">
        <v>22</v>
      </c>
      <c r="L245" s="9" t="str">
        <f t="shared" si="21"/>
        <v>00244</v>
      </c>
      <c r="M245" s="71" t="str">
        <f t="shared" si="22"/>
        <v>11 de mayo de 2017</v>
      </c>
      <c r="N245" s="39">
        <f t="shared" si="23"/>
        <v>42856</v>
      </c>
      <c r="O245" s="9" t="str">
        <f t="shared" si="24"/>
        <v>15.000,00</v>
      </c>
      <c r="P245" s="8" t="str">
        <f t="shared" si="25"/>
        <v>Quince Mil Bolívares con 00/100</v>
      </c>
      <c r="Q245" s="403" t="str">
        <f t="shared" si="26"/>
        <v/>
      </c>
    </row>
    <row r="246" spans="1:17" x14ac:dyDescent="0.25">
      <c r="A246" s="1">
        <f t="shared" si="27"/>
        <v>245</v>
      </c>
      <c r="C246" s="12" t="s">
        <v>17</v>
      </c>
      <c r="D246" s="2">
        <v>42866</v>
      </c>
      <c r="E246" s="3">
        <v>10000</v>
      </c>
      <c r="F246" t="s">
        <v>252</v>
      </c>
      <c r="G246" t="s">
        <v>253</v>
      </c>
      <c r="H246" t="s">
        <v>254</v>
      </c>
      <c r="I246" s="10" t="s">
        <v>428</v>
      </c>
      <c r="J246" s="167" t="s">
        <v>22</v>
      </c>
      <c r="L246" s="9" t="str">
        <f t="shared" si="21"/>
        <v>00245</v>
      </c>
      <c r="M246" s="71" t="str">
        <f t="shared" si="22"/>
        <v>11 de mayo de 2017</v>
      </c>
      <c r="N246" s="39">
        <f t="shared" si="23"/>
        <v>42856</v>
      </c>
      <c r="O246" s="9" t="str">
        <f t="shared" si="24"/>
        <v>10.000,00</v>
      </c>
      <c r="P246" s="8" t="str">
        <f t="shared" si="25"/>
        <v>Diez Mil Bolívares con 00/100</v>
      </c>
      <c r="Q246" s="403" t="str">
        <f t="shared" si="26"/>
        <v/>
      </c>
    </row>
    <row r="247" spans="1:17" x14ac:dyDescent="0.25">
      <c r="A247" s="1">
        <f t="shared" si="27"/>
        <v>246</v>
      </c>
      <c r="C247" s="12" t="s">
        <v>17</v>
      </c>
      <c r="D247" s="2">
        <v>42868</v>
      </c>
      <c r="E247" s="3">
        <v>7000</v>
      </c>
      <c r="F247" t="s">
        <v>48</v>
      </c>
      <c r="G247" t="s">
        <v>49</v>
      </c>
      <c r="H247" t="s">
        <v>50</v>
      </c>
      <c r="I247" s="10" t="s">
        <v>428</v>
      </c>
      <c r="J247" s="167" t="s">
        <v>22</v>
      </c>
      <c r="L247" s="9" t="str">
        <f t="shared" si="21"/>
        <v>00246</v>
      </c>
      <c r="M247" s="71" t="str">
        <f t="shared" si="22"/>
        <v>13 de mayo de 2017</v>
      </c>
      <c r="N247" s="39">
        <f t="shared" si="23"/>
        <v>42856</v>
      </c>
      <c r="O247" s="9" t="str">
        <f t="shared" si="24"/>
        <v>7.000,00</v>
      </c>
      <c r="P247" s="8" t="str">
        <f t="shared" si="25"/>
        <v>Siete Mil Bolívares con 00/100</v>
      </c>
      <c r="Q247" s="403" t="str">
        <f t="shared" si="26"/>
        <v/>
      </c>
    </row>
    <row r="248" spans="1:17" x14ac:dyDescent="0.25">
      <c r="A248" s="1">
        <f t="shared" si="27"/>
        <v>247</v>
      </c>
      <c r="C248" s="12" t="s">
        <v>17</v>
      </c>
      <c r="D248" s="2">
        <v>42870</v>
      </c>
      <c r="E248" s="3">
        <v>26000</v>
      </c>
      <c r="F248" t="s">
        <v>36</v>
      </c>
      <c r="G248" t="s">
        <v>37</v>
      </c>
      <c r="H248" t="s">
        <v>38</v>
      </c>
      <c r="I248" s="10" t="s">
        <v>421</v>
      </c>
      <c r="J248" s="167" t="s">
        <v>22</v>
      </c>
      <c r="L248" s="9" t="str">
        <f t="shared" si="21"/>
        <v>00247</v>
      </c>
      <c r="M248" s="71" t="str">
        <f t="shared" si="22"/>
        <v>15 de mayo de 2017</v>
      </c>
      <c r="N248" s="39">
        <f t="shared" si="23"/>
        <v>42856</v>
      </c>
      <c r="O248" s="9" t="str">
        <f t="shared" si="24"/>
        <v>26.000,00</v>
      </c>
      <c r="P248" s="8" t="str">
        <f t="shared" si="25"/>
        <v>Veintiseis Mil Bolívares con 00/100</v>
      </c>
      <c r="Q248" s="403" t="str">
        <f t="shared" si="26"/>
        <v/>
      </c>
    </row>
    <row r="249" spans="1:17" x14ac:dyDescent="0.25">
      <c r="A249" s="1">
        <f t="shared" si="27"/>
        <v>248</v>
      </c>
      <c r="C249" s="12" t="s">
        <v>17</v>
      </c>
      <c r="D249" s="2">
        <v>42870</v>
      </c>
      <c r="E249" s="3">
        <v>17000</v>
      </c>
      <c r="F249" t="s">
        <v>201</v>
      </c>
      <c r="G249" t="s">
        <v>202</v>
      </c>
      <c r="H249" t="s">
        <v>203</v>
      </c>
      <c r="I249" s="10" t="s">
        <v>396</v>
      </c>
      <c r="J249" s="167" t="s">
        <v>22</v>
      </c>
      <c r="L249" s="9" t="str">
        <f t="shared" si="21"/>
        <v>00248</v>
      </c>
      <c r="M249" s="71" t="str">
        <f t="shared" si="22"/>
        <v>15 de mayo de 2017</v>
      </c>
      <c r="N249" s="39">
        <f t="shared" si="23"/>
        <v>42856</v>
      </c>
      <c r="O249" s="9" t="str">
        <f t="shared" si="24"/>
        <v>17.000,00</v>
      </c>
      <c r="P249" s="8" t="str">
        <f t="shared" si="25"/>
        <v>Diecisiete Mil Bolívares con 00/100</v>
      </c>
      <c r="Q249" s="403" t="str">
        <f t="shared" si="26"/>
        <v/>
      </c>
    </row>
    <row r="250" spans="1:17" x14ac:dyDescent="0.25">
      <c r="A250" s="1">
        <f t="shared" si="27"/>
        <v>249</v>
      </c>
      <c r="C250" s="12" t="s">
        <v>17</v>
      </c>
      <c r="D250" s="2">
        <v>42870</v>
      </c>
      <c r="E250" s="3">
        <v>20000</v>
      </c>
      <c r="F250" t="s">
        <v>28</v>
      </c>
      <c r="G250" t="s">
        <v>29</v>
      </c>
      <c r="H250" t="s">
        <v>30</v>
      </c>
      <c r="I250" s="10" t="s">
        <v>428</v>
      </c>
      <c r="J250" s="167" t="s">
        <v>22</v>
      </c>
      <c r="L250" s="9" t="str">
        <f t="shared" si="21"/>
        <v>00249</v>
      </c>
      <c r="M250" s="71" t="str">
        <f t="shared" si="22"/>
        <v>15 de mayo de 2017</v>
      </c>
      <c r="N250" s="39">
        <f t="shared" si="23"/>
        <v>42856</v>
      </c>
      <c r="O250" s="9" t="str">
        <f t="shared" si="24"/>
        <v>20.000,00</v>
      </c>
      <c r="P250" s="8" t="str">
        <f t="shared" si="25"/>
        <v>Veinte Mil Bolívares con 00/100</v>
      </c>
      <c r="Q250" s="403" t="str">
        <f t="shared" si="26"/>
        <v/>
      </c>
    </row>
    <row r="251" spans="1:17" x14ac:dyDescent="0.25">
      <c r="A251" s="1">
        <f t="shared" si="27"/>
        <v>250</v>
      </c>
      <c r="C251" s="12" t="s">
        <v>17</v>
      </c>
      <c r="D251" s="2">
        <v>42870</v>
      </c>
      <c r="E251" s="3">
        <v>26000</v>
      </c>
      <c r="F251" t="s">
        <v>122</v>
      </c>
      <c r="G251" t="s">
        <v>123</v>
      </c>
      <c r="H251" t="s">
        <v>124</v>
      </c>
      <c r="I251" s="10" t="s">
        <v>421</v>
      </c>
      <c r="J251" s="167" t="s">
        <v>22</v>
      </c>
      <c r="L251" s="9" t="str">
        <f t="shared" si="21"/>
        <v>00250</v>
      </c>
      <c r="M251" s="71" t="str">
        <f t="shared" si="22"/>
        <v>15 de mayo de 2017</v>
      </c>
      <c r="N251" s="39">
        <f t="shared" si="23"/>
        <v>42856</v>
      </c>
      <c r="O251" s="9" t="str">
        <f t="shared" si="24"/>
        <v>26.000,00</v>
      </c>
      <c r="P251" s="8" t="str">
        <f t="shared" si="25"/>
        <v>Veintiseis Mil Bolívares con 00/100</v>
      </c>
      <c r="Q251" s="403" t="str">
        <f t="shared" si="26"/>
        <v/>
      </c>
    </row>
    <row r="252" spans="1:17" ht="15.75" thickBot="1" x14ac:dyDescent="0.3">
      <c r="A252" s="1">
        <f t="shared" si="27"/>
        <v>251</v>
      </c>
      <c r="C252" s="12" t="s">
        <v>17</v>
      </c>
      <c r="D252" s="2">
        <v>42870</v>
      </c>
      <c r="E252" s="3">
        <v>26000</v>
      </c>
      <c r="F252" t="s">
        <v>152</v>
      </c>
      <c r="G252" t="s">
        <v>153</v>
      </c>
      <c r="H252" t="s">
        <v>154</v>
      </c>
      <c r="I252" s="10" t="s">
        <v>421</v>
      </c>
      <c r="J252" s="167" t="s">
        <v>22</v>
      </c>
      <c r="L252" s="9" t="str">
        <f t="shared" si="21"/>
        <v>00251</v>
      </c>
      <c r="M252" s="71" t="str">
        <f t="shared" si="22"/>
        <v>15 de mayo de 2017</v>
      </c>
      <c r="N252" s="39">
        <f t="shared" si="23"/>
        <v>42856</v>
      </c>
      <c r="O252" s="9" t="str">
        <f t="shared" si="24"/>
        <v>26.000,00</v>
      </c>
      <c r="P252" s="8" t="str">
        <f t="shared" si="25"/>
        <v>Veintiseis Mil Bolívares con 00/100</v>
      </c>
      <c r="Q252" s="403" t="str">
        <f t="shared" si="26"/>
        <v/>
      </c>
    </row>
    <row r="253" spans="1:17" ht="15.75" thickBot="1" x14ac:dyDescent="0.3">
      <c r="A253" s="1">
        <f t="shared" si="27"/>
        <v>252</v>
      </c>
      <c r="C253" s="12" t="s">
        <v>17</v>
      </c>
      <c r="D253" s="2">
        <v>42864</v>
      </c>
      <c r="E253" s="3">
        <v>5000</v>
      </c>
      <c r="F253" t="s">
        <v>74</v>
      </c>
      <c r="G253" s="27" t="s">
        <v>58</v>
      </c>
      <c r="H253" t="s">
        <v>75</v>
      </c>
      <c r="I253" s="10" t="s">
        <v>428</v>
      </c>
      <c r="J253" s="167" t="s">
        <v>22</v>
      </c>
      <c r="L253" s="9" t="str">
        <f t="shared" si="21"/>
        <v>00252</v>
      </c>
      <c r="M253" s="71" t="str">
        <f t="shared" si="22"/>
        <v>09 de mayo de 2017</v>
      </c>
      <c r="N253" s="39">
        <f t="shared" si="23"/>
        <v>42856</v>
      </c>
      <c r="O253" s="9" t="str">
        <f t="shared" si="24"/>
        <v>5.000,00</v>
      </c>
      <c r="P253" s="8" t="str">
        <f t="shared" si="25"/>
        <v>Cinco Mil Bolívares con 00/100</v>
      </c>
      <c r="Q253" s="403" t="str">
        <f t="shared" si="26"/>
        <v/>
      </c>
    </row>
    <row r="254" spans="1:17" x14ac:dyDescent="0.25">
      <c r="A254" s="1">
        <f t="shared" si="27"/>
        <v>253</v>
      </c>
      <c r="C254" s="12" t="s">
        <v>17</v>
      </c>
      <c r="D254" s="2">
        <v>42871</v>
      </c>
      <c r="E254" s="3">
        <v>17000</v>
      </c>
      <c r="F254" t="s">
        <v>334</v>
      </c>
      <c r="G254" t="s">
        <v>85</v>
      </c>
      <c r="H254" t="s">
        <v>335</v>
      </c>
      <c r="I254" s="10" t="s">
        <v>428</v>
      </c>
      <c r="J254" s="167" t="s">
        <v>22</v>
      </c>
      <c r="L254" s="9" t="str">
        <f t="shared" si="21"/>
        <v>00253</v>
      </c>
      <c r="M254" s="71" t="str">
        <f t="shared" si="22"/>
        <v>16 de mayo de 2017</v>
      </c>
      <c r="N254" s="39">
        <f t="shared" si="23"/>
        <v>42856</v>
      </c>
      <c r="O254" s="9" t="str">
        <f t="shared" si="24"/>
        <v>17.000,00</v>
      </c>
      <c r="P254" s="8" t="str">
        <f t="shared" si="25"/>
        <v>Diecisiete Mil Bolívares con 00/100</v>
      </c>
      <c r="Q254" s="403" t="str">
        <f t="shared" si="26"/>
        <v/>
      </c>
    </row>
    <row r="255" spans="1:17" ht="15.75" thickBot="1" x14ac:dyDescent="0.3">
      <c r="A255" s="1">
        <f t="shared" si="27"/>
        <v>254</v>
      </c>
      <c r="C255" s="12" t="s">
        <v>17</v>
      </c>
      <c r="D255" s="2">
        <v>42872</v>
      </c>
      <c r="E255" s="3">
        <v>26000</v>
      </c>
      <c r="F255" t="s">
        <v>80</v>
      </c>
      <c r="G255" t="s">
        <v>81</v>
      </c>
      <c r="H255" t="s">
        <v>82</v>
      </c>
      <c r="I255" s="10" t="s">
        <v>421</v>
      </c>
      <c r="J255" s="167" t="s">
        <v>22</v>
      </c>
      <c r="L255" s="9" t="str">
        <f t="shared" si="21"/>
        <v>00254</v>
      </c>
      <c r="M255" s="71" t="str">
        <f t="shared" si="22"/>
        <v>17 de mayo de 2017</v>
      </c>
      <c r="N255" s="39">
        <f t="shared" si="23"/>
        <v>42856</v>
      </c>
      <c r="O255" s="9" t="str">
        <f t="shared" si="24"/>
        <v>26.000,00</v>
      </c>
      <c r="P255" s="8" t="str">
        <f t="shared" si="25"/>
        <v>Veintiseis Mil Bolívares con 00/100</v>
      </c>
      <c r="Q255" s="403" t="str">
        <f t="shared" si="26"/>
        <v/>
      </c>
    </row>
    <row r="256" spans="1:17" ht="15.75" thickBot="1" x14ac:dyDescent="0.3">
      <c r="A256" s="1">
        <f t="shared" si="27"/>
        <v>255</v>
      </c>
      <c r="C256" s="12" t="s">
        <v>17</v>
      </c>
      <c r="D256" s="2">
        <v>42809</v>
      </c>
      <c r="E256" s="3">
        <v>20000</v>
      </c>
      <c r="F256" s="31" t="s">
        <v>57</v>
      </c>
      <c r="G256" s="27" t="s">
        <v>58</v>
      </c>
      <c r="H256" s="32" t="s">
        <v>59</v>
      </c>
      <c r="I256" s="10" t="s">
        <v>306</v>
      </c>
      <c r="J256" s="167" t="s">
        <v>22</v>
      </c>
      <c r="K256" s="33"/>
      <c r="L256" s="9" t="str">
        <f t="shared" si="21"/>
        <v>00255</v>
      </c>
      <c r="M256" s="71" t="str">
        <f t="shared" si="22"/>
        <v>15 de marzo de 2017</v>
      </c>
      <c r="N256" s="39">
        <f t="shared" si="23"/>
        <v>42795</v>
      </c>
      <c r="O256" s="9" t="str">
        <f t="shared" si="24"/>
        <v>20.000,00</v>
      </c>
      <c r="P256" s="8" t="str">
        <f t="shared" si="25"/>
        <v>Veinte Mil Bolívares con 00/100</v>
      </c>
      <c r="Q256" s="403" t="str">
        <f t="shared" si="26"/>
        <v/>
      </c>
    </row>
    <row r="257" spans="1:17" ht="15.75" thickBot="1" x14ac:dyDescent="0.3">
      <c r="A257" s="1">
        <f t="shared" si="27"/>
        <v>256</v>
      </c>
      <c r="C257" s="12" t="s">
        <v>17</v>
      </c>
      <c r="D257" s="2">
        <v>42840</v>
      </c>
      <c r="E257" s="3">
        <v>20000</v>
      </c>
      <c r="F257" s="31" t="s">
        <v>57</v>
      </c>
      <c r="G257" s="27" t="s">
        <v>58</v>
      </c>
      <c r="H257" s="32" t="s">
        <v>59</v>
      </c>
      <c r="I257" s="10" t="s">
        <v>396</v>
      </c>
      <c r="J257" s="167" t="s">
        <v>22</v>
      </c>
      <c r="K257" s="33"/>
      <c r="L257" s="9" t="str">
        <f t="shared" si="21"/>
        <v>00256</v>
      </c>
      <c r="M257" s="71" t="str">
        <f t="shared" si="22"/>
        <v>15 de abril de 2017</v>
      </c>
      <c r="N257" s="39">
        <f t="shared" si="23"/>
        <v>42826</v>
      </c>
      <c r="O257" s="9" t="str">
        <f t="shared" si="24"/>
        <v>20.000,00</v>
      </c>
      <c r="P257" s="8" t="str">
        <f t="shared" si="25"/>
        <v>Veinte Mil Bolívares con 00/100</v>
      </c>
      <c r="Q257" s="403" t="str">
        <f t="shared" si="26"/>
        <v/>
      </c>
    </row>
    <row r="258" spans="1:17" ht="15.75" thickBot="1" x14ac:dyDescent="0.3">
      <c r="A258" s="1">
        <f t="shared" si="27"/>
        <v>257</v>
      </c>
      <c r="C258" s="12" t="s">
        <v>17</v>
      </c>
      <c r="D258" s="2">
        <v>42781</v>
      </c>
      <c r="E258" s="3">
        <v>30000</v>
      </c>
      <c r="F258" s="36" t="s">
        <v>423</v>
      </c>
      <c r="G258" s="27" t="s">
        <v>58</v>
      </c>
      <c r="H258" t="s">
        <v>424</v>
      </c>
      <c r="I258" s="10" t="s">
        <v>142</v>
      </c>
      <c r="J258" s="167" t="s">
        <v>22</v>
      </c>
      <c r="L258" s="9" t="str">
        <f t="shared" ref="L258:L321" si="28">IF(ISBLANK(A258),"",TEXT(A258,"00000"))</f>
        <v>00257</v>
      </c>
      <c r="M258" s="71" t="str">
        <f t="shared" ref="M258:M321" si="29">IF(ISBLANK(D258),"",TEXT(D258,"dd")&amp;" de "&amp;TEXT(D258,"mmmm")&amp;" de "&amp;TEXT(YEAR(D258),"0"))</f>
        <v>15 de febrero de 2017</v>
      </c>
      <c r="N258" s="39">
        <f t="shared" ref="N258:N321" si="30">DATE(YEAR(D258),MONTH(D258),1)</f>
        <v>42767</v>
      </c>
      <c r="O258" s="9" t="str">
        <f t="shared" ref="O258:O276" si="31">TEXT(E258,"#.##0,00")</f>
        <v>30.000,00</v>
      </c>
      <c r="P258" s="8" t="str">
        <f t="shared" ref="P258:P321" si="32">CONVERTIRNUM(E258)</f>
        <v>Treinta Mil Bolívares con 00/100</v>
      </c>
      <c r="Q258" s="403" t="str">
        <f t="shared" si="26"/>
        <v/>
      </c>
    </row>
    <row r="259" spans="1:17" ht="15.75" thickBot="1" x14ac:dyDescent="0.3">
      <c r="A259" s="1">
        <f t="shared" si="27"/>
        <v>258</v>
      </c>
      <c r="C259" s="12" t="s">
        <v>17</v>
      </c>
      <c r="D259" s="2">
        <v>42809</v>
      </c>
      <c r="E259" s="3">
        <v>30000</v>
      </c>
      <c r="F259" s="36" t="s">
        <v>423</v>
      </c>
      <c r="G259" s="27" t="s">
        <v>58</v>
      </c>
      <c r="H259" t="s">
        <v>424</v>
      </c>
      <c r="I259" s="10" t="s">
        <v>306</v>
      </c>
      <c r="J259" s="167" t="s">
        <v>22</v>
      </c>
      <c r="L259" s="9" t="str">
        <f t="shared" si="28"/>
        <v>00258</v>
      </c>
      <c r="M259" s="71" t="str">
        <f t="shared" si="29"/>
        <v>15 de marzo de 2017</v>
      </c>
      <c r="N259" s="39">
        <f t="shared" si="30"/>
        <v>42795</v>
      </c>
      <c r="O259" s="9" t="str">
        <f t="shared" si="31"/>
        <v>30.000,00</v>
      </c>
      <c r="P259" s="8" t="str">
        <f t="shared" si="32"/>
        <v>Treinta Mil Bolívares con 00/100</v>
      </c>
      <c r="Q259" s="403" t="str">
        <f t="shared" ref="Q259:Q322" si="33">IF(C259="û","Anulado","")</f>
        <v/>
      </c>
    </row>
    <row r="260" spans="1:17" ht="15.75" thickBot="1" x14ac:dyDescent="0.3">
      <c r="A260" s="1">
        <f t="shared" ref="A260:A323" si="34">A259+1</f>
        <v>259</v>
      </c>
      <c r="C260" s="12" t="s">
        <v>17</v>
      </c>
      <c r="D260" s="2">
        <v>42840</v>
      </c>
      <c r="E260" s="3">
        <v>30000</v>
      </c>
      <c r="F260" s="36" t="s">
        <v>423</v>
      </c>
      <c r="G260" s="27" t="s">
        <v>58</v>
      </c>
      <c r="H260" t="s">
        <v>424</v>
      </c>
      <c r="I260" s="10" t="s">
        <v>396</v>
      </c>
      <c r="J260" s="167" t="s">
        <v>22</v>
      </c>
      <c r="L260" s="9" t="str">
        <f t="shared" si="28"/>
        <v>00259</v>
      </c>
      <c r="M260" s="71" t="str">
        <f t="shared" si="29"/>
        <v>15 de abril de 2017</v>
      </c>
      <c r="N260" s="39">
        <f t="shared" si="30"/>
        <v>42826</v>
      </c>
      <c r="O260" s="9" t="str">
        <f t="shared" si="31"/>
        <v>30.000,00</v>
      </c>
      <c r="P260" s="8" t="str">
        <f t="shared" si="32"/>
        <v>Treinta Mil Bolívares con 00/100</v>
      </c>
      <c r="Q260" s="403" t="str">
        <f t="shared" si="33"/>
        <v/>
      </c>
    </row>
    <row r="261" spans="1:17" ht="15.75" thickBot="1" x14ac:dyDescent="0.3">
      <c r="A261" s="1">
        <f t="shared" si="34"/>
        <v>260</v>
      </c>
      <c r="C261" s="12" t="s">
        <v>17</v>
      </c>
      <c r="D261" s="2">
        <v>42873</v>
      </c>
      <c r="E261" s="3">
        <v>20000</v>
      </c>
      <c r="F261" t="s">
        <v>118</v>
      </c>
      <c r="G261" t="s">
        <v>119</v>
      </c>
      <c r="H261" t="s">
        <v>120</v>
      </c>
      <c r="I261" s="10" t="s">
        <v>428</v>
      </c>
      <c r="J261" s="167" t="s">
        <v>22</v>
      </c>
      <c r="L261" s="9" t="str">
        <f t="shared" si="28"/>
        <v>00260</v>
      </c>
      <c r="M261" s="71" t="str">
        <f t="shared" si="29"/>
        <v>18 de mayo de 2017</v>
      </c>
      <c r="N261" s="39">
        <f t="shared" si="30"/>
        <v>42856</v>
      </c>
      <c r="O261" s="9" t="str">
        <f t="shared" si="31"/>
        <v>20.000,00</v>
      </c>
      <c r="P261" s="8" t="str">
        <f t="shared" si="32"/>
        <v>Veinte Mil Bolívares con 00/100</v>
      </c>
      <c r="Q261" s="403" t="str">
        <f t="shared" si="33"/>
        <v/>
      </c>
    </row>
    <row r="262" spans="1:17" ht="15.75" thickBot="1" x14ac:dyDescent="0.3">
      <c r="A262" s="1">
        <f t="shared" si="34"/>
        <v>261</v>
      </c>
      <c r="C262" s="12" t="s">
        <v>17</v>
      </c>
      <c r="D262" s="2">
        <v>42877</v>
      </c>
      <c r="E262" s="3">
        <v>30000</v>
      </c>
      <c r="F262" s="31" t="s">
        <v>57</v>
      </c>
      <c r="G262" s="27" t="s">
        <v>58</v>
      </c>
      <c r="H262" s="32" t="s">
        <v>59</v>
      </c>
      <c r="I262" s="10" t="s">
        <v>421</v>
      </c>
      <c r="J262" s="167" t="s">
        <v>22</v>
      </c>
      <c r="K262" s="33"/>
      <c r="L262" s="9" t="str">
        <f t="shared" si="28"/>
        <v>00261</v>
      </c>
      <c r="M262" s="71" t="str">
        <f t="shared" si="29"/>
        <v>22 de mayo de 2017</v>
      </c>
      <c r="N262" s="39">
        <f t="shared" si="30"/>
        <v>42856</v>
      </c>
      <c r="O262" s="9" t="str">
        <f t="shared" si="31"/>
        <v>30.000,00</v>
      </c>
      <c r="P262" s="8" t="str">
        <f t="shared" si="32"/>
        <v>Treinta Mil Bolívares con 00/100</v>
      </c>
      <c r="Q262" s="403" t="str">
        <f t="shared" si="33"/>
        <v/>
      </c>
    </row>
    <row r="263" spans="1:17" ht="15.75" thickBot="1" x14ac:dyDescent="0.3">
      <c r="A263" s="1">
        <f t="shared" si="34"/>
        <v>262</v>
      </c>
      <c r="C263" s="12" t="s">
        <v>17</v>
      </c>
      <c r="D263" s="2">
        <v>42877</v>
      </c>
      <c r="E263" s="3">
        <f>17000+17000</f>
        <v>34000</v>
      </c>
      <c r="F263" t="s">
        <v>319</v>
      </c>
      <c r="G263" s="27" t="s">
        <v>58</v>
      </c>
      <c r="H263" t="s">
        <v>320</v>
      </c>
      <c r="I263" s="10" t="s">
        <v>433</v>
      </c>
      <c r="J263" s="167" t="s">
        <v>22</v>
      </c>
      <c r="L263" s="9" t="str">
        <f t="shared" si="28"/>
        <v>00262</v>
      </c>
      <c r="M263" s="71" t="str">
        <f t="shared" si="29"/>
        <v>22 de mayo de 2017</v>
      </c>
      <c r="N263" s="39">
        <f t="shared" si="30"/>
        <v>42856</v>
      </c>
      <c r="O263" s="9" t="str">
        <f t="shared" si="31"/>
        <v>34.000,00</v>
      </c>
      <c r="P263" s="8" t="str">
        <f t="shared" si="32"/>
        <v>Treinta y Cuatro Mil Bolívares con 00/100</v>
      </c>
      <c r="Q263" s="403" t="str">
        <f t="shared" si="33"/>
        <v/>
      </c>
    </row>
    <row r="264" spans="1:17" ht="15.75" thickBot="1" x14ac:dyDescent="0.3">
      <c r="A264" s="1">
        <f t="shared" si="34"/>
        <v>263</v>
      </c>
      <c r="C264" s="12" t="s">
        <v>17</v>
      </c>
      <c r="D264" s="2">
        <v>42878</v>
      </c>
      <c r="E264" s="3">
        <v>40000</v>
      </c>
      <c r="F264" s="36" t="s">
        <v>423</v>
      </c>
      <c r="G264" s="27" t="s">
        <v>58</v>
      </c>
      <c r="H264" t="s">
        <v>424</v>
      </c>
      <c r="I264" s="10" t="s">
        <v>421</v>
      </c>
      <c r="J264" s="167" t="s">
        <v>22</v>
      </c>
      <c r="L264" s="9" t="str">
        <f t="shared" si="28"/>
        <v>00263</v>
      </c>
      <c r="M264" s="71" t="str">
        <f t="shared" si="29"/>
        <v>23 de mayo de 2017</v>
      </c>
      <c r="N264" s="39">
        <f t="shared" si="30"/>
        <v>42856</v>
      </c>
      <c r="O264" s="9" t="str">
        <f t="shared" si="31"/>
        <v>40.000,00</v>
      </c>
      <c r="P264" s="8" t="str">
        <f t="shared" si="32"/>
        <v>Cuarenta Mil Bolívares con 00/100</v>
      </c>
      <c r="Q264" s="403" t="str">
        <f t="shared" si="33"/>
        <v/>
      </c>
    </row>
    <row r="265" spans="1:17" ht="15.75" thickBot="1" x14ac:dyDescent="0.3">
      <c r="A265" s="1">
        <f t="shared" si="34"/>
        <v>264</v>
      </c>
      <c r="C265" s="12" t="s">
        <v>17</v>
      </c>
      <c r="D265" s="2">
        <v>42879</v>
      </c>
      <c r="E265" s="3">
        <v>26000</v>
      </c>
      <c r="F265" t="s">
        <v>259</v>
      </c>
      <c r="G265" s="27" t="s">
        <v>58</v>
      </c>
      <c r="H265" t="s">
        <v>261</v>
      </c>
      <c r="I265" s="10" t="s">
        <v>421</v>
      </c>
      <c r="J265" s="167" t="s">
        <v>22</v>
      </c>
      <c r="L265" s="9" t="str">
        <f t="shared" si="28"/>
        <v>00264</v>
      </c>
      <c r="M265" s="71" t="str">
        <f t="shared" si="29"/>
        <v>24 de mayo de 2017</v>
      </c>
      <c r="N265" s="39">
        <f t="shared" si="30"/>
        <v>42856</v>
      </c>
      <c r="O265" s="9" t="str">
        <f t="shared" si="31"/>
        <v>26.000,00</v>
      </c>
      <c r="P265" s="8" t="str">
        <f t="shared" si="32"/>
        <v>Veintiseis Mil Bolívares con 00/100</v>
      </c>
      <c r="Q265" s="403" t="str">
        <f t="shared" si="33"/>
        <v/>
      </c>
    </row>
    <row r="266" spans="1:17" x14ac:dyDescent="0.25">
      <c r="A266" s="1">
        <f t="shared" si="34"/>
        <v>265</v>
      </c>
      <c r="C266" s="12" t="s">
        <v>17</v>
      </c>
      <c r="D266" s="2">
        <v>42881</v>
      </c>
      <c r="E266" s="3">
        <v>22000</v>
      </c>
      <c r="F266" t="s">
        <v>126</v>
      </c>
      <c r="G266" t="s">
        <v>127</v>
      </c>
      <c r="H266" t="s">
        <v>128</v>
      </c>
      <c r="I266" s="10" t="s">
        <v>417</v>
      </c>
      <c r="J266" s="167" t="s">
        <v>22</v>
      </c>
      <c r="L266" s="9" t="str">
        <f t="shared" si="28"/>
        <v>00265</v>
      </c>
      <c r="M266" s="71" t="str">
        <f t="shared" si="29"/>
        <v>26 de mayo de 2017</v>
      </c>
      <c r="N266" s="39">
        <f t="shared" si="30"/>
        <v>42856</v>
      </c>
      <c r="O266" s="9" t="str">
        <f t="shared" si="31"/>
        <v>22.000,00</v>
      </c>
      <c r="P266" s="8" t="str">
        <f t="shared" si="32"/>
        <v>Veintidos Mil Bolívares con 00/100</v>
      </c>
      <c r="Q266" s="403" t="str">
        <f t="shared" si="33"/>
        <v/>
      </c>
    </row>
    <row r="267" spans="1:17" ht="15.75" thickBot="1" x14ac:dyDescent="0.3">
      <c r="A267" s="1">
        <f t="shared" si="34"/>
        <v>266</v>
      </c>
      <c r="C267" s="12" t="s">
        <v>17</v>
      </c>
      <c r="D267" s="2">
        <v>42879</v>
      </c>
      <c r="E267" s="3">
        <v>3000</v>
      </c>
      <c r="F267" t="s">
        <v>144</v>
      </c>
      <c r="G267" t="s">
        <v>145</v>
      </c>
      <c r="H267" t="s">
        <v>146</v>
      </c>
      <c r="I267" s="10" t="s">
        <v>405</v>
      </c>
      <c r="J267" s="167" t="s">
        <v>22</v>
      </c>
      <c r="L267" s="9" t="str">
        <f t="shared" si="28"/>
        <v>00266</v>
      </c>
      <c r="M267" s="71" t="str">
        <f t="shared" si="29"/>
        <v>24 de mayo de 2017</v>
      </c>
      <c r="N267" s="39">
        <f t="shared" si="30"/>
        <v>42856</v>
      </c>
      <c r="O267" s="9" t="str">
        <f t="shared" si="31"/>
        <v>3.000,00</v>
      </c>
      <c r="P267" s="8" t="str">
        <f t="shared" si="32"/>
        <v>Tres Mil Bolívares con 00/100</v>
      </c>
      <c r="Q267" s="403" t="str">
        <f t="shared" si="33"/>
        <v/>
      </c>
    </row>
    <row r="268" spans="1:17" ht="15.75" thickBot="1" x14ac:dyDescent="0.3">
      <c r="A268" s="1">
        <f t="shared" si="34"/>
        <v>267</v>
      </c>
      <c r="C268" s="12" t="s">
        <v>17</v>
      </c>
      <c r="D268" s="2">
        <v>42881</v>
      </c>
      <c r="E268" s="3">
        <v>5000</v>
      </c>
      <c r="F268" t="s">
        <v>303</v>
      </c>
      <c r="G268" s="27" t="s">
        <v>58</v>
      </c>
      <c r="H268" t="s">
        <v>304</v>
      </c>
      <c r="I268" s="10" t="s">
        <v>428</v>
      </c>
      <c r="J268" s="167" t="s">
        <v>22</v>
      </c>
      <c r="L268" s="9" t="str">
        <f t="shared" si="28"/>
        <v>00267</v>
      </c>
      <c r="M268" s="71" t="str">
        <f t="shared" si="29"/>
        <v>26 de mayo de 2017</v>
      </c>
      <c r="N268" s="39">
        <f t="shared" si="30"/>
        <v>42856</v>
      </c>
      <c r="O268" s="9" t="str">
        <f t="shared" si="31"/>
        <v>5.000,00</v>
      </c>
      <c r="P268" s="8" t="str">
        <f t="shared" si="32"/>
        <v>Cinco Mil Bolívares con 00/100</v>
      </c>
      <c r="Q268" s="403" t="str">
        <f t="shared" si="33"/>
        <v/>
      </c>
    </row>
    <row r="269" spans="1:17" x14ac:dyDescent="0.25">
      <c r="A269" s="1">
        <f t="shared" si="34"/>
        <v>268</v>
      </c>
      <c r="C269" s="12" t="s">
        <v>17</v>
      </c>
      <c r="D269" s="2">
        <v>42882</v>
      </c>
      <c r="E269" s="3">
        <v>26000</v>
      </c>
      <c r="F269" t="s">
        <v>215</v>
      </c>
      <c r="G269" t="s">
        <v>216</v>
      </c>
      <c r="H269" t="s">
        <v>217</v>
      </c>
      <c r="I269" s="13" t="s">
        <v>421</v>
      </c>
      <c r="J269" s="167" t="s">
        <v>22</v>
      </c>
      <c r="L269" s="9" t="str">
        <f t="shared" si="28"/>
        <v>00268</v>
      </c>
      <c r="M269" s="71" t="str">
        <f t="shared" si="29"/>
        <v>27 de mayo de 2017</v>
      </c>
      <c r="N269" s="39">
        <f t="shared" si="30"/>
        <v>42856</v>
      </c>
      <c r="O269" s="9" t="str">
        <f t="shared" si="31"/>
        <v>26.000,00</v>
      </c>
      <c r="P269" s="8" t="str">
        <f t="shared" si="32"/>
        <v>Veintiseis Mil Bolívares con 00/100</v>
      </c>
      <c r="Q269" s="403" t="str">
        <f t="shared" si="33"/>
        <v/>
      </c>
    </row>
    <row r="270" spans="1:17" ht="15.75" thickBot="1" x14ac:dyDescent="0.3">
      <c r="A270" s="1">
        <f t="shared" si="34"/>
        <v>269</v>
      </c>
      <c r="C270" s="12" t="s">
        <v>17</v>
      </c>
      <c r="D270" s="2">
        <v>42882</v>
      </c>
      <c r="E270" s="3">
        <v>15000</v>
      </c>
      <c r="F270" t="s">
        <v>434</v>
      </c>
      <c r="G270" t="s">
        <v>435</v>
      </c>
      <c r="H270" t="s">
        <v>436</v>
      </c>
      <c r="I270" s="10" t="s">
        <v>437</v>
      </c>
      <c r="J270" s="167" t="s">
        <v>22</v>
      </c>
      <c r="L270" s="9" t="str">
        <f t="shared" si="28"/>
        <v>00269</v>
      </c>
      <c r="M270" s="71" t="str">
        <f t="shared" si="29"/>
        <v>27 de mayo de 2017</v>
      </c>
      <c r="N270" s="39">
        <f t="shared" si="30"/>
        <v>42856</v>
      </c>
      <c r="O270" s="9" t="str">
        <f t="shared" si="31"/>
        <v>15.000,00</v>
      </c>
      <c r="P270" s="8" t="str">
        <f t="shared" si="32"/>
        <v>Quince Mil Bolívares con 00/100</v>
      </c>
      <c r="Q270" s="403" t="str">
        <f t="shared" si="33"/>
        <v/>
      </c>
    </row>
    <row r="271" spans="1:17" ht="15.75" thickBot="1" x14ac:dyDescent="0.3">
      <c r="A271" s="1">
        <f t="shared" si="34"/>
        <v>270</v>
      </c>
      <c r="C271" s="12" t="s">
        <v>17</v>
      </c>
      <c r="D271" s="2">
        <v>42883</v>
      </c>
      <c r="E271" s="3">
        <v>9000</v>
      </c>
      <c r="F271" t="s">
        <v>319</v>
      </c>
      <c r="G271" s="27" t="s">
        <v>58</v>
      </c>
      <c r="H271" t="s">
        <v>320</v>
      </c>
      <c r="I271" s="10" t="s">
        <v>422</v>
      </c>
      <c r="J271" s="167" t="s">
        <v>22</v>
      </c>
      <c r="L271" s="9" t="str">
        <f t="shared" si="28"/>
        <v>00270</v>
      </c>
      <c r="M271" s="71" t="str">
        <f t="shared" si="29"/>
        <v>28 de mayo de 2017</v>
      </c>
      <c r="N271" s="39">
        <f t="shared" si="30"/>
        <v>42856</v>
      </c>
      <c r="O271" s="9" t="str">
        <f t="shared" si="31"/>
        <v>9.000,00</v>
      </c>
      <c r="P271" s="8" t="str">
        <f t="shared" si="32"/>
        <v>Nueve Mil Bolívares con 00/100</v>
      </c>
      <c r="Q271" s="403" t="str">
        <f t="shared" si="33"/>
        <v/>
      </c>
    </row>
    <row r="272" spans="1:17" x14ac:dyDescent="0.25">
      <c r="A272" s="1">
        <f t="shared" si="34"/>
        <v>271</v>
      </c>
      <c r="C272" s="12" t="s">
        <v>17</v>
      </c>
      <c r="D272" s="2">
        <v>42883</v>
      </c>
      <c r="E272" s="3">
        <v>26000</v>
      </c>
      <c r="F272" t="s">
        <v>138</v>
      </c>
      <c r="G272" t="s">
        <v>139</v>
      </c>
      <c r="H272" t="s">
        <v>140</v>
      </c>
      <c r="I272" s="10" t="s">
        <v>421</v>
      </c>
      <c r="J272" s="167" t="s">
        <v>22</v>
      </c>
      <c r="L272" s="9" t="str">
        <f t="shared" si="28"/>
        <v>00271</v>
      </c>
      <c r="M272" s="71" t="str">
        <f t="shared" si="29"/>
        <v>28 de mayo de 2017</v>
      </c>
      <c r="N272" s="39">
        <f t="shared" si="30"/>
        <v>42856</v>
      </c>
      <c r="O272" s="9" t="str">
        <f t="shared" si="31"/>
        <v>26.000,00</v>
      </c>
      <c r="P272" s="8" t="str">
        <f t="shared" si="32"/>
        <v>Veintiseis Mil Bolívares con 00/100</v>
      </c>
      <c r="Q272" s="403" t="str">
        <f t="shared" si="33"/>
        <v/>
      </c>
    </row>
    <row r="273" spans="1:17" x14ac:dyDescent="0.25">
      <c r="A273" s="1">
        <f t="shared" si="34"/>
        <v>272</v>
      </c>
      <c r="C273" s="12" t="s">
        <v>17</v>
      </c>
      <c r="D273" s="2">
        <v>42884</v>
      </c>
      <c r="E273" s="3">
        <f>17000+2*26000</f>
        <v>69000</v>
      </c>
      <c r="F273" t="s">
        <v>243</v>
      </c>
      <c r="G273" t="s">
        <v>244</v>
      </c>
      <c r="H273" t="s">
        <v>245</v>
      </c>
      <c r="I273" s="10" t="s">
        <v>438</v>
      </c>
      <c r="J273" s="167" t="s">
        <v>22</v>
      </c>
      <c r="L273" s="9" t="str">
        <f t="shared" si="28"/>
        <v>00272</v>
      </c>
      <c r="M273" s="71" t="str">
        <f t="shared" si="29"/>
        <v>29 de mayo de 2017</v>
      </c>
      <c r="N273" s="39">
        <f t="shared" si="30"/>
        <v>42856</v>
      </c>
      <c r="O273" s="9" t="str">
        <f t="shared" si="31"/>
        <v>69.000,00</v>
      </c>
      <c r="P273" s="8" t="str">
        <f t="shared" si="32"/>
        <v>Sesenta y Nueve Mil Bolívares con 00/100</v>
      </c>
      <c r="Q273" s="403" t="str">
        <f t="shared" si="33"/>
        <v/>
      </c>
    </row>
    <row r="274" spans="1:17" x14ac:dyDescent="0.25">
      <c r="A274" s="1">
        <f t="shared" si="34"/>
        <v>273</v>
      </c>
      <c r="C274" s="12" t="s">
        <v>17</v>
      </c>
      <c r="D274" s="2">
        <v>42884</v>
      </c>
      <c r="E274" s="3">
        <v>26000</v>
      </c>
      <c r="F274" t="s">
        <v>206</v>
      </c>
      <c r="G274" t="s">
        <v>207</v>
      </c>
      <c r="H274" t="s">
        <v>208</v>
      </c>
      <c r="I274" s="10" t="s">
        <v>421</v>
      </c>
      <c r="J274" s="167" t="s">
        <v>22</v>
      </c>
      <c r="L274" s="9" t="str">
        <f t="shared" si="28"/>
        <v>00273</v>
      </c>
      <c r="M274" s="71" t="str">
        <f t="shared" si="29"/>
        <v>29 de mayo de 2017</v>
      </c>
      <c r="N274" s="39">
        <f t="shared" si="30"/>
        <v>42856</v>
      </c>
      <c r="O274" s="9" t="str">
        <f t="shared" si="31"/>
        <v>26.000,00</v>
      </c>
      <c r="P274" s="8" t="str">
        <f t="shared" si="32"/>
        <v>Veintiseis Mil Bolívares con 00/100</v>
      </c>
      <c r="Q274" s="403" t="str">
        <f t="shared" si="33"/>
        <v/>
      </c>
    </row>
    <row r="275" spans="1:17" x14ac:dyDescent="0.25">
      <c r="A275" s="1">
        <f t="shared" si="34"/>
        <v>274</v>
      </c>
      <c r="C275" s="12" t="s">
        <v>17</v>
      </c>
      <c r="D275" s="2">
        <v>42884</v>
      </c>
      <c r="E275" s="3">
        <v>27000</v>
      </c>
      <c r="F275" t="s">
        <v>134</v>
      </c>
      <c r="G275" t="s">
        <v>135</v>
      </c>
      <c r="H275" t="s">
        <v>136</v>
      </c>
      <c r="I275" s="10" t="s">
        <v>421</v>
      </c>
      <c r="J275" s="167" t="s">
        <v>22</v>
      </c>
      <c r="L275" s="9" t="str">
        <f t="shared" si="28"/>
        <v>00274</v>
      </c>
      <c r="M275" s="71" t="str">
        <f t="shared" si="29"/>
        <v>29 de mayo de 2017</v>
      </c>
      <c r="N275" s="39">
        <f t="shared" si="30"/>
        <v>42856</v>
      </c>
      <c r="O275" s="9" t="str">
        <f t="shared" si="31"/>
        <v>27.000,00</v>
      </c>
      <c r="P275" s="8" t="str">
        <f t="shared" si="32"/>
        <v>Veintisiete Mil Bolívares con 00/100</v>
      </c>
      <c r="Q275" s="403" t="str">
        <f t="shared" si="33"/>
        <v/>
      </c>
    </row>
    <row r="276" spans="1:17" x14ac:dyDescent="0.25">
      <c r="A276" s="1">
        <f t="shared" si="34"/>
        <v>275</v>
      </c>
      <c r="C276" s="12" t="s">
        <v>17</v>
      </c>
      <c r="D276" s="2">
        <v>42887</v>
      </c>
      <c r="E276" s="3">
        <v>20000</v>
      </c>
      <c r="F276" t="s">
        <v>312</v>
      </c>
      <c r="G276" t="s">
        <v>313</v>
      </c>
      <c r="H276" t="s">
        <v>314</v>
      </c>
      <c r="I276" s="10" t="s">
        <v>428</v>
      </c>
      <c r="J276" s="167" t="s">
        <v>22</v>
      </c>
      <c r="L276" s="9" t="str">
        <f t="shared" si="28"/>
        <v>00275</v>
      </c>
      <c r="M276" s="71" t="str">
        <f t="shared" si="29"/>
        <v>01 de junio de 2017</v>
      </c>
      <c r="N276" s="39">
        <f t="shared" si="30"/>
        <v>42887</v>
      </c>
      <c r="O276" s="9" t="str">
        <f t="shared" si="31"/>
        <v>20.000,00</v>
      </c>
      <c r="P276" s="8" t="str">
        <f t="shared" si="32"/>
        <v>Veinte Mil Bolívares con 00/100</v>
      </c>
      <c r="Q276" s="403" t="str">
        <f t="shared" si="33"/>
        <v/>
      </c>
    </row>
    <row r="277" spans="1:17" x14ac:dyDescent="0.25">
      <c r="A277" s="1">
        <f t="shared" si="34"/>
        <v>276</v>
      </c>
      <c r="C277" s="12" t="s">
        <v>17</v>
      </c>
      <c r="D277" s="2">
        <v>42887</v>
      </c>
      <c r="E277" s="3">
        <v>4000</v>
      </c>
      <c r="F277" t="s">
        <v>126</v>
      </c>
      <c r="G277" t="s">
        <v>127</v>
      </c>
      <c r="H277" t="s">
        <v>128</v>
      </c>
      <c r="I277" s="10" t="s">
        <v>422</v>
      </c>
      <c r="J277" s="167" t="s">
        <v>22</v>
      </c>
      <c r="L277" s="9" t="str">
        <f t="shared" si="28"/>
        <v>00276</v>
      </c>
      <c r="M277" s="71" t="str">
        <f t="shared" si="29"/>
        <v>01 de junio de 2017</v>
      </c>
      <c r="N277" s="39">
        <f t="shared" si="30"/>
        <v>42887</v>
      </c>
      <c r="O277" s="9" t="str">
        <f>TEXT(E277,"#.##0,00")</f>
        <v>4.000,00</v>
      </c>
      <c r="P277" s="8" t="str">
        <f t="shared" si="32"/>
        <v>Cuatro Mil Bolívares con 00/100</v>
      </c>
      <c r="Q277" s="403" t="str">
        <f t="shared" si="33"/>
        <v/>
      </c>
    </row>
    <row r="278" spans="1:17" x14ac:dyDescent="0.25">
      <c r="A278" s="1">
        <f t="shared" si="34"/>
        <v>277</v>
      </c>
      <c r="C278" s="12" t="s">
        <v>17</v>
      </c>
      <c r="D278" s="2">
        <v>42887</v>
      </c>
      <c r="E278" s="3">
        <f>4*17000+2*26000</f>
        <v>120000</v>
      </c>
      <c r="F278" t="s">
        <v>439</v>
      </c>
      <c r="G278" t="s">
        <v>440</v>
      </c>
      <c r="H278" t="s">
        <v>441</v>
      </c>
      <c r="I278" s="10" t="s">
        <v>442</v>
      </c>
      <c r="J278" s="167" t="s">
        <v>22</v>
      </c>
      <c r="L278" s="9" t="str">
        <f t="shared" si="28"/>
        <v>00277</v>
      </c>
      <c r="M278" s="71" t="str">
        <f t="shared" si="29"/>
        <v>01 de junio de 2017</v>
      </c>
      <c r="N278" s="39">
        <f t="shared" si="30"/>
        <v>42887</v>
      </c>
      <c r="O278" s="9" t="str">
        <f>TEXT(E278,"#.##0,00")</f>
        <v>120.000,00</v>
      </c>
      <c r="P278" s="8" t="str">
        <f t="shared" si="32"/>
        <v>Ciento Veinte Mil Bolívares con 00/100</v>
      </c>
      <c r="Q278" s="403" t="str">
        <f t="shared" si="33"/>
        <v/>
      </c>
    </row>
    <row r="279" spans="1:17" x14ac:dyDescent="0.25">
      <c r="A279" s="1">
        <f t="shared" si="34"/>
        <v>278</v>
      </c>
      <c r="C279" s="12" t="s">
        <v>17</v>
      </c>
      <c r="D279" s="2">
        <v>42887</v>
      </c>
      <c r="E279" s="3">
        <v>26000</v>
      </c>
      <c r="F279" t="s">
        <v>18</v>
      </c>
      <c r="G279" t="s">
        <v>19</v>
      </c>
      <c r="H279" t="s">
        <v>20</v>
      </c>
      <c r="I279" s="10" t="s">
        <v>443</v>
      </c>
      <c r="J279" s="167" t="s">
        <v>22</v>
      </c>
      <c r="L279" s="9" t="str">
        <f t="shared" si="28"/>
        <v>00278</v>
      </c>
      <c r="M279" s="71" t="str">
        <f t="shared" si="29"/>
        <v>01 de junio de 2017</v>
      </c>
      <c r="N279" s="39">
        <f t="shared" si="30"/>
        <v>42887</v>
      </c>
      <c r="O279" s="9" t="str">
        <f>TEXT(E279,"#.##0,00")</f>
        <v>26.000,00</v>
      </c>
      <c r="P279" s="8" t="str">
        <f t="shared" si="32"/>
        <v>Veintiseis Mil Bolívares con 00/100</v>
      </c>
      <c r="Q279" s="403" t="str">
        <f t="shared" si="33"/>
        <v/>
      </c>
    </row>
    <row r="280" spans="1:17" x14ac:dyDescent="0.25">
      <c r="A280" s="1">
        <f t="shared" si="34"/>
        <v>279</v>
      </c>
      <c r="C280" s="12" t="s">
        <v>17</v>
      </c>
      <c r="D280" s="2">
        <v>42890</v>
      </c>
      <c r="E280" s="3">
        <v>26000</v>
      </c>
      <c r="F280" t="s">
        <v>444</v>
      </c>
      <c r="G280" t="s">
        <v>445</v>
      </c>
      <c r="H280" t="s">
        <v>75</v>
      </c>
      <c r="I280" s="10" t="s">
        <v>446</v>
      </c>
      <c r="J280" s="167" t="s">
        <v>22</v>
      </c>
      <c r="L280" s="9" t="str">
        <f t="shared" si="28"/>
        <v>00279</v>
      </c>
      <c r="M280" s="71" t="str">
        <f t="shared" si="29"/>
        <v>04 de junio de 2017</v>
      </c>
      <c r="N280" s="39">
        <f t="shared" si="30"/>
        <v>42887</v>
      </c>
      <c r="O280" s="9" t="str">
        <f t="shared" ref="O280:O302" si="35">TEXT(E280,"#.##0,00")</f>
        <v>26.000,00</v>
      </c>
      <c r="P280" s="8" t="str">
        <f t="shared" si="32"/>
        <v>Veintiseis Mil Bolívares con 00/100</v>
      </c>
      <c r="Q280" s="403" t="str">
        <f t="shared" si="33"/>
        <v/>
      </c>
    </row>
    <row r="281" spans="1:17" x14ac:dyDescent="0.25">
      <c r="A281" s="1">
        <f t="shared" si="34"/>
        <v>280</v>
      </c>
      <c r="C281" s="12" t="s">
        <v>17</v>
      </c>
      <c r="D281" s="2">
        <v>42890</v>
      </c>
      <c r="E281" s="3">
        <v>17000</v>
      </c>
      <c r="F281" t="s">
        <v>230</v>
      </c>
      <c r="G281" t="s">
        <v>231</v>
      </c>
      <c r="H281" t="s">
        <v>232</v>
      </c>
      <c r="I281" s="10" t="s">
        <v>396</v>
      </c>
      <c r="J281" s="167" t="s">
        <v>22</v>
      </c>
      <c r="L281" s="9" t="str">
        <f t="shared" si="28"/>
        <v>00280</v>
      </c>
      <c r="M281" s="71" t="str">
        <f t="shared" si="29"/>
        <v>04 de junio de 2017</v>
      </c>
      <c r="N281" s="39">
        <f t="shared" si="30"/>
        <v>42887</v>
      </c>
      <c r="O281" s="9" t="str">
        <f t="shared" si="35"/>
        <v>17.000,00</v>
      </c>
      <c r="P281" s="8" t="str">
        <f t="shared" si="32"/>
        <v>Diecisiete Mil Bolívares con 00/100</v>
      </c>
      <c r="Q281" s="403" t="str">
        <f t="shared" si="33"/>
        <v/>
      </c>
    </row>
    <row r="282" spans="1:17" x14ac:dyDescent="0.25">
      <c r="A282" s="1">
        <f t="shared" si="34"/>
        <v>281</v>
      </c>
      <c r="C282" s="12" t="s">
        <v>17</v>
      </c>
      <c r="D282" s="2">
        <v>42891</v>
      </c>
      <c r="E282" s="3">
        <v>10000</v>
      </c>
      <c r="F282" t="s">
        <v>48</v>
      </c>
      <c r="G282" t="s">
        <v>49</v>
      </c>
      <c r="H282" t="s">
        <v>50</v>
      </c>
      <c r="I282" s="10" t="s">
        <v>447</v>
      </c>
      <c r="J282" s="167" t="s">
        <v>22</v>
      </c>
      <c r="L282" s="9" t="str">
        <f t="shared" si="28"/>
        <v>00281</v>
      </c>
      <c r="M282" s="71" t="str">
        <f t="shared" si="29"/>
        <v>05 de junio de 2017</v>
      </c>
      <c r="N282" s="39">
        <f t="shared" si="30"/>
        <v>42887</v>
      </c>
      <c r="O282" s="9" t="str">
        <f t="shared" si="35"/>
        <v>10.000,00</v>
      </c>
      <c r="P282" s="8" t="str">
        <f t="shared" si="32"/>
        <v>Diez Mil Bolívares con 00/100</v>
      </c>
      <c r="Q282" s="403" t="str">
        <f t="shared" si="33"/>
        <v/>
      </c>
    </row>
    <row r="283" spans="1:17" x14ac:dyDescent="0.25">
      <c r="A283" s="1">
        <f t="shared" si="34"/>
        <v>282</v>
      </c>
      <c r="C283" s="12" t="s">
        <v>17</v>
      </c>
      <c r="D283" s="2">
        <v>42891</v>
      </c>
      <c r="E283" s="3">
        <v>26000</v>
      </c>
      <c r="F283" t="s">
        <v>148</v>
      </c>
      <c r="G283" t="s">
        <v>149</v>
      </c>
      <c r="H283" t="s">
        <v>150</v>
      </c>
      <c r="I283" s="10" t="s">
        <v>421</v>
      </c>
      <c r="J283" s="167" t="s">
        <v>22</v>
      </c>
      <c r="L283" s="9" t="str">
        <f t="shared" si="28"/>
        <v>00282</v>
      </c>
      <c r="M283" s="71" t="str">
        <f t="shared" si="29"/>
        <v>05 de junio de 2017</v>
      </c>
      <c r="N283" s="39">
        <f t="shared" si="30"/>
        <v>42887</v>
      </c>
      <c r="O283" s="9" t="str">
        <f t="shared" si="35"/>
        <v>26.000,00</v>
      </c>
      <c r="P283" s="8" t="str">
        <f t="shared" si="32"/>
        <v>Veintiseis Mil Bolívares con 00/100</v>
      </c>
      <c r="Q283" s="403" t="str">
        <f t="shared" si="33"/>
        <v/>
      </c>
    </row>
    <row r="284" spans="1:17" x14ac:dyDescent="0.25">
      <c r="A284" s="1">
        <f t="shared" si="34"/>
        <v>283</v>
      </c>
      <c r="C284" s="12" t="s">
        <v>17</v>
      </c>
      <c r="D284" s="2">
        <v>42892</v>
      </c>
      <c r="E284" s="3">
        <v>15000</v>
      </c>
      <c r="F284" t="s">
        <v>181</v>
      </c>
      <c r="G284" t="s">
        <v>182</v>
      </c>
      <c r="H284" t="s">
        <v>183</v>
      </c>
      <c r="I284" s="10" t="s">
        <v>447</v>
      </c>
      <c r="J284" s="167" t="s">
        <v>22</v>
      </c>
      <c r="L284" s="9" t="str">
        <f t="shared" si="28"/>
        <v>00283</v>
      </c>
      <c r="M284" s="71" t="str">
        <f t="shared" si="29"/>
        <v>06 de junio de 2017</v>
      </c>
      <c r="N284" s="39">
        <f t="shared" si="30"/>
        <v>42887</v>
      </c>
      <c r="O284" s="9" t="str">
        <f t="shared" si="35"/>
        <v>15.000,00</v>
      </c>
      <c r="P284" s="8" t="str">
        <f t="shared" si="32"/>
        <v>Quince Mil Bolívares con 00/100</v>
      </c>
      <c r="Q284" s="403" t="str">
        <f t="shared" si="33"/>
        <v/>
      </c>
    </row>
    <row r="285" spans="1:17" x14ac:dyDescent="0.25">
      <c r="A285" s="1">
        <f t="shared" si="34"/>
        <v>284</v>
      </c>
      <c r="C285" s="12" t="s">
        <v>17</v>
      </c>
      <c r="D285" s="2">
        <v>42892</v>
      </c>
      <c r="E285" s="3">
        <v>26000</v>
      </c>
      <c r="F285" t="s">
        <v>162</v>
      </c>
      <c r="G285" t="s">
        <v>163</v>
      </c>
      <c r="H285" t="s">
        <v>164</v>
      </c>
      <c r="I285" s="349" t="s">
        <v>421</v>
      </c>
      <c r="J285" s="167" t="s">
        <v>22</v>
      </c>
      <c r="L285" s="9" t="str">
        <f t="shared" si="28"/>
        <v>00284</v>
      </c>
      <c r="M285" s="71" t="str">
        <f t="shared" si="29"/>
        <v>06 de junio de 2017</v>
      </c>
      <c r="N285" s="39">
        <f t="shared" si="30"/>
        <v>42887</v>
      </c>
      <c r="O285" s="9" t="str">
        <f t="shared" si="35"/>
        <v>26.000,00</v>
      </c>
      <c r="P285" s="8" t="str">
        <f t="shared" si="32"/>
        <v>Veintiseis Mil Bolívares con 00/100</v>
      </c>
      <c r="Q285" s="403" t="str">
        <f t="shared" si="33"/>
        <v/>
      </c>
    </row>
    <row r="286" spans="1:17" x14ac:dyDescent="0.25">
      <c r="A286" s="1">
        <f t="shared" si="34"/>
        <v>285</v>
      </c>
      <c r="C286" s="12" t="s">
        <v>17</v>
      </c>
      <c r="D286" s="2">
        <v>42893</v>
      </c>
      <c r="E286" s="3">
        <f>9000+26000</f>
        <v>35000</v>
      </c>
      <c r="F286" t="s">
        <v>167</v>
      </c>
      <c r="G286" t="s">
        <v>168</v>
      </c>
      <c r="H286" t="s">
        <v>169</v>
      </c>
      <c r="I286" s="10" t="s">
        <v>448</v>
      </c>
      <c r="J286" s="167" t="s">
        <v>22</v>
      </c>
      <c r="L286" s="9" t="str">
        <f t="shared" si="28"/>
        <v>00285</v>
      </c>
      <c r="M286" s="71" t="str">
        <f t="shared" si="29"/>
        <v>07 de junio de 2017</v>
      </c>
      <c r="N286" s="39">
        <f t="shared" si="30"/>
        <v>42887</v>
      </c>
      <c r="O286" s="9" t="str">
        <f t="shared" si="35"/>
        <v>35.000,00</v>
      </c>
      <c r="P286" s="8" t="str">
        <f t="shared" si="32"/>
        <v>Treinta y Cinco Mil Bolívares con 00/100</v>
      </c>
      <c r="Q286" s="403" t="str">
        <f t="shared" si="33"/>
        <v/>
      </c>
    </row>
    <row r="287" spans="1:17" x14ac:dyDescent="0.25">
      <c r="A287" s="1">
        <f t="shared" si="34"/>
        <v>286</v>
      </c>
      <c r="C287" s="12" t="s">
        <v>17</v>
      </c>
      <c r="D287" s="2">
        <v>42893</v>
      </c>
      <c r="E287" s="3">
        <v>26000</v>
      </c>
      <c r="F287" t="s">
        <v>24</v>
      </c>
      <c r="G287" t="s">
        <v>25</v>
      </c>
      <c r="H287" t="s">
        <v>26</v>
      </c>
      <c r="I287" s="10" t="s">
        <v>446</v>
      </c>
      <c r="J287" s="167" t="s">
        <v>22</v>
      </c>
      <c r="L287" s="9" t="str">
        <f t="shared" si="28"/>
        <v>00286</v>
      </c>
      <c r="M287" s="71" t="str">
        <f t="shared" si="29"/>
        <v>07 de junio de 2017</v>
      </c>
      <c r="N287" s="39">
        <f t="shared" si="30"/>
        <v>42887</v>
      </c>
      <c r="O287" s="9" t="str">
        <f t="shared" si="35"/>
        <v>26.000,00</v>
      </c>
      <c r="P287" s="8" t="str">
        <f t="shared" si="32"/>
        <v>Veintiseis Mil Bolívares con 00/100</v>
      </c>
      <c r="Q287" s="403" t="str">
        <f t="shared" si="33"/>
        <v/>
      </c>
    </row>
    <row r="288" spans="1:17" x14ac:dyDescent="0.25">
      <c r="A288" s="1">
        <f t="shared" si="34"/>
        <v>287</v>
      </c>
      <c r="C288" s="12" t="s">
        <v>17</v>
      </c>
      <c r="D288" s="2">
        <v>42893</v>
      </c>
      <c r="E288" s="3">
        <v>27000</v>
      </c>
      <c r="F288" t="s">
        <v>44</v>
      </c>
      <c r="G288" t="s">
        <v>45</v>
      </c>
      <c r="H288" t="s">
        <v>46</v>
      </c>
      <c r="I288" s="10" t="s">
        <v>446</v>
      </c>
      <c r="J288" s="167" t="s">
        <v>22</v>
      </c>
      <c r="L288" s="9" t="str">
        <f t="shared" si="28"/>
        <v>00287</v>
      </c>
      <c r="M288" s="71" t="str">
        <f t="shared" si="29"/>
        <v>07 de junio de 2017</v>
      </c>
      <c r="N288" s="39">
        <f t="shared" si="30"/>
        <v>42887</v>
      </c>
      <c r="O288" s="9" t="str">
        <f t="shared" si="35"/>
        <v>27.000,00</v>
      </c>
      <c r="P288" s="8" t="str">
        <f t="shared" si="32"/>
        <v>Veintisiete Mil Bolívares con 00/100</v>
      </c>
      <c r="Q288" s="403" t="str">
        <f t="shared" si="33"/>
        <v/>
      </c>
    </row>
    <row r="289" spans="1:17" x14ac:dyDescent="0.25">
      <c r="A289" s="1">
        <f t="shared" si="34"/>
        <v>288</v>
      </c>
      <c r="C289" s="12" t="s">
        <v>17</v>
      </c>
      <c r="D289" s="2">
        <v>42893</v>
      </c>
      <c r="E289" s="3">
        <v>26000</v>
      </c>
      <c r="F289" t="s">
        <v>107</v>
      </c>
      <c r="G289" t="s">
        <v>108</v>
      </c>
      <c r="H289" t="s">
        <v>109</v>
      </c>
      <c r="I289" s="10" t="s">
        <v>421</v>
      </c>
      <c r="J289" s="167" t="s">
        <v>22</v>
      </c>
      <c r="L289" s="9" t="str">
        <f t="shared" si="28"/>
        <v>00288</v>
      </c>
      <c r="M289" s="71" t="str">
        <f t="shared" si="29"/>
        <v>07 de junio de 2017</v>
      </c>
      <c r="N289" s="39">
        <f t="shared" si="30"/>
        <v>42887</v>
      </c>
      <c r="O289" s="9" t="str">
        <f t="shared" si="35"/>
        <v>26.000,00</v>
      </c>
      <c r="P289" s="8" t="str">
        <f t="shared" si="32"/>
        <v>Veintiseis Mil Bolívares con 00/100</v>
      </c>
      <c r="Q289" s="403" t="str">
        <f t="shared" si="33"/>
        <v/>
      </c>
    </row>
    <row r="290" spans="1:17" x14ac:dyDescent="0.25">
      <c r="A290" s="1">
        <f t="shared" si="34"/>
        <v>289</v>
      </c>
      <c r="C290" s="12" t="s">
        <v>17</v>
      </c>
      <c r="D290" s="2">
        <v>42888</v>
      </c>
      <c r="E290" s="3">
        <v>26000</v>
      </c>
      <c r="F290" t="s">
        <v>62</v>
      </c>
      <c r="G290" t="s">
        <v>63</v>
      </c>
      <c r="H290" t="s">
        <v>64</v>
      </c>
      <c r="I290" s="10" t="s">
        <v>421</v>
      </c>
      <c r="J290" s="167" t="s">
        <v>22</v>
      </c>
      <c r="L290" s="9" t="str">
        <f t="shared" si="28"/>
        <v>00289</v>
      </c>
      <c r="M290" s="71" t="str">
        <f t="shared" si="29"/>
        <v>02 de junio de 2017</v>
      </c>
      <c r="N290" s="39">
        <f t="shared" si="30"/>
        <v>42887</v>
      </c>
      <c r="O290" s="9" t="str">
        <f t="shared" si="35"/>
        <v>26.000,00</v>
      </c>
      <c r="P290" s="8" t="str">
        <f t="shared" si="32"/>
        <v>Veintiseis Mil Bolívares con 00/100</v>
      </c>
      <c r="Q290" s="403" t="str">
        <f t="shared" si="33"/>
        <v/>
      </c>
    </row>
    <row r="291" spans="1:17" x14ac:dyDescent="0.25">
      <c r="A291" s="1">
        <f t="shared" si="34"/>
        <v>290</v>
      </c>
      <c r="C291" s="12" t="s">
        <v>17</v>
      </c>
      <c r="D291" s="2">
        <v>42888</v>
      </c>
      <c r="E291" s="3">
        <v>26000</v>
      </c>
      <c r="F291" t="s">
        <v>354</v>
      </c>
      <c r="G291" t="s">
        <v>355</v>
      </c>
      <c r="H291" t="s">
        <v>356</v>
      </c>
      <c r="I291" s="10" t="s">
        <v>421</v>
      </c>
      <c r="J291" s="167" t="s">
        <v>22</v>
      </c>
      <c r="L291" s="9" t="str">
        <f t="shared" si="28"/>
        <v>00290</v>
      </c>
      <c r="M291" s="71" t="str">
        <f t="shared" si="29"/>
        <v>02 de junio de 2017</v>
      </c>
      <c r="N291" s="39">
        <f t="shared" si="30"/>
        <v>42887</v>
      </c>
      <c r="O291" s="9" t="str">
        <f t="shared" si="35"/>
        <v>26.000,00</v>
      </c>
      <c r="P291" s="8" t="str">
        <f t="shared" si="32"/>
        <v>Veintiseis Mil Bolívares con 00/100</v>
      </c>
      <c r="Q291" s="403" t="str">
        <f t="shared" si="33"/>
        <v/>
      </c>
    </row>
    <row r="292" spans="1:17" x14ac:dyDescent="0.25">
      <c r="A292" s="1">
        <f t="shared" si="34"/>
        <v>291</v>
      </c>
      <c r="C292" s="12" t="s">
        <v>17</v>
      </c>
      <c r="D292" s="2">
        <v>42890</v>
      </c>
      <c r="E292" s="3">
        <v>26000</v>
      </c>
      <c r="F292" t="s">
        <v>90</v>
      </c>
      <c r="G292" t="s">
        <v>91</v>
      </c>
      <c r="H292" t="s">
        <v>92</v>
      </c>
      <c r="I292" s="10" t="s">
        <v>446</v>
      </c>
      <c r="J292" s="167" t="s">
        <v>22</v>
      </c>
      <c r="L292" s="9" t="str">
        <f t="shared" si="28"/>
        <v>00291</v>
      </c>
      <c r="M292" s="71" t="str">
        <f t="shared" si="29"/>
        <v>04 de junio de 2017</v>
      </c>
      <c r="N292" s="39">
        <f t="shared" si="30"/>
        <v>42887</v>
      </c>
      <c r="O292" s="9" t="str">
        <f t="shared" si="35"/>
        <v>26.000,00</v>
      </c>
      <c r="P292" s="8" t="str">
        <f t="shared" si="32"/>
        <v>Veintiseis Mil Bolívares con 00/100</v>
      </c>
      <c r="Q292" s="403" t="str">
        <f t="shared" si="33"/>
        <v/>
      </c>
    </row>
    <row r="293" spans="1:17" x14ac:dyDescent="0.25">
      <c r="A293" s="1">
        <f t="shared" si="34"/>
        <v>292</v>
      </c>
      <c r="C293" s="12" t="s">
        <v>17</v>
      </c>
      <c r="D293" s="2">
        <v>42892</v>
      </c>
      <c r="E293" s="3">
        <v>26000</v>
      </c>
      <c r="F293" t="s">
        <v>80</v>
      </c>
      <c r="G293" t="s">
        <v>81</v>
      </c>
      <c r="H293" t="s">
        <v>82</v>
      </c>
      <c r="I293" s="10" t="s">
        <v>446</v>
      </c>
      <c r="J293" s="167" t="s">
        <v>22</v>
      </c>
      <c r="L293" s="9" t="str">
        <f t="shared" si="28"/>
        <v>00292</v>
      </c>
      <c r="M293" s="71" t="str">
        <f t="shared" si="29"/>
        <v>06 de junio de 2017</v>
      </c>
      <c r="N293" s="39">
        <f t="shared" si="30"/>
        <v>42887</v>
      </c>
      <c r="O293" s="9" t="str">
        <f t="shared" si="35"/>
        <v>26.000,00</v>
      </c>
      <c r="P293" s="8" t="str">
        <f t="shared" si="32"/>
        <v>Veintiseis Mil Bolívares con 00/100</v>
      </c>
      <c r="Q293" s="403" t="str">
        <f t="shared" si="33"/>
        <v/>
      </c>
    </row>
    <row r="294" spans="1:17" x14ac:dyDescent="0.25">
      <c r="A294" s="1">
        <f t="shared" si="34"/>
        <v>293</v>
      </c>
      <c r="C294" s="12" t="s">
        <v>17</v>
      </c>
      <c r="D294" s="2">
        <v>42872</v>
      </c>
      <c r="E294" s="3">
        <v>26000</v>
      </c>
      <c r="F294" t="s">
        <v>287</v>
      </c>
      <c r="G294" t="s">
        <v>288</v>
      </c>
      <c r="H294" t="s">
        <v>289</v>
      </c>
      <c r="I294" s="10" t="s">
        <v>421</v>
      </c>
      <c r="J294" s="167" t="s">
        <v>22</v>
      </c>
      <c r="L294" s="9" t="str">
        <f t="shared" si="28"/>
        <v>00293</v>
      </c>
      <c r="M294" s="71" t="str">
        <f t="shared" si="29"/>
        <v>17 de mayo de 2017</v>
      </c>
      <c r="N294" s="39">
        <f t="shared" si="30"/>
        <v>42856</v>
      </c>
      <c r="O294" s="9" t="str">
        <f t="shared" si="35"/>
        <v>26.000,00</v>
      </c>
      <c r="P294" s="8" t="str">
        <f t="shared" si="32"/>
        <v>Veintiseis Mil Bolívares con 00/100</v>
      </c>
      <c r="Q294" s="403" t="str">
        <f t="shared" si="33"/>
        <v/>
      </c>
    </row>
    <row r="295" spans="1:17" x14ac:dyDescent="0.25">
      <c r="A295" s="1">
        <f t="shared" si="34"/>
        <v>294</v>
      </c>
      <c r="C295" s="12" t="s">
        <v>17</v>
      </c>
      <c r="D295" s="2">
        <v>42888</v>
      </c>
      <c r="E295" s="3">
        <v>26000</v>
      </c>
      <c r="F295" t="s">
        <v>296</v>
      </c>
      <c r="G295" t="s">
        <v>297</v>
      </c>
      <c r="H295" t="s">
        <v>298</v>
      </c>
      <c r="I295" s="10" t="s">
        <v>421</v>
      </c>
      <c r="J295" s="167" t="s">
        <v>22</v>
      </c>
      <c r="L295" s="9" t="str">
        <f t="shared" si="28"/>
        <v>00294</v>
      </c>
      <c r="M295" s="71" t="str">
        <f t="shared" si="29"/>
        <v>02 de junio de 2017</v>
      </c>
      <c r="N295" s="39">
        <f t="shared" si="30"/>
        <v>42887</v>
      </c>
      <c r="O295" s="9" t="str">
        <f t="shared" si="35"/>
        <v>26.000,00</v>
      </c>
      <c r="P295" s="8" t="str">
        <f t="shared" si="32"/>
        <v>Veintiseis Mil Bolívares con 00/100</v>
      </c>
      <c r="Q295" s="403" t="str">
        <f t="shared" si="33"/>
        <v/>
      </c>
    </row>
    <row r="296" spans="1:17" x14ac:dyDescent="0.25">
      <c r="A296" s="1">
        <f t="shared" si="34"/>
        <v>295</v>
      </c>
      <c r="C296" s="12" t="s">
        <v>17</v>
      </c>
      <c r="D296" s="2">
        <v>42895</v>
      </c>
      <c r="E296" s="3">
        <v>26000</v>
      </c>
      <c r="F296" t="s">
        <v>103</v>
      </c>
      <c r="G296" t="s">
        <v>104</v>
      </c>
      <c r="H296" t="s">
        <v>105</v>
      </c>
      <c r="I296" s="10" t="s">
        <v>446</v>
      </c>
      <c r="J296" s="167" t="s">
        <v>22</v>
      </c>
      <c r="L296" s="9" t="str">
        <f t="shared" si="28"/>
        <v>00295</v>
      </c>
      <c r="M296" s="71" t="str">
        <f t="shared" si="29"/>
        <v>09 de junio de 2017</v>
      </c>
      <c r="N296" s="39">
        <f t="shared" si="30"/>
        <v>42887</v>
      </c>
      <c r="O296" s="9" t="str">
        <f t="shared" si="35"/>
        <v>26.000,00</v>
      </c>
      <c r="P296" s="8" t="str">
        <f t="shared" si="32"/>
        <v>Veintiseis Mil Bolívares con 00/100</v>
      </c>
      <c r="Q296" s="403" t="str">
        <f t="shared" si="33"/>
        <v/>
      </c>
    </row>
    <row r="297" spans="1:17" x14ac:dyDescent="0.25">
      <c r="A297" s="1">
        <f t="shared" si="34"/>
        <v>296</v>
      </c>
      <c r="C297" s="12" t="s">
        <v>17</v>
      </c>
      <c r="D297" s="2">
        <v>42895</v>
      </c>
      <c r="E297" s="3">
        <f>2*26000</f>
        <v>52000</v>
      </c>
      <c r="F297" t="s">
        <v>337</v>
      </c>
      <c r="G297" t="s">
        <v>338</v>
      </c>
      <c r="H297" t="s">
        <v>339</v>
      </c>
      <c r="I297" s="10" t="s">
        <v>449</v>
      </c>
      <c r="J297" s="167" t="s">
        <v>22</v>
      </c>
      <c r="L297" s="9" t="str">
        <f t="shared" si="28"/>
        <v>00296</v>
      </c>
      <c r="M297" s="71" t="str">
        <f t="shared" si="29"/>
        <v>09 de junio de 2017</v>
      </c>
      <c r="N297" s="39">
        <f t="shared" si="30"/>
        <v>42887</v>
      </c>
      <c r="O297" s="9" t="str">
        <f t="shared" si="35"/>
        <v>52.000,00</v>
      </c>
      <c r="P297" s="8" t="str">
        <f t="shared" si="32"/>
        <v>Cincuenta y Dos Mil Bolívares con 00/100</v>
      </c>
      <c r="Q297" s="403" t="str">
        <f t="shared" si="33"/>
        <v/>
      </c>
    </row>
    <row r="298" spans="1:17" x14ac:dyDescent="0.25">
      <c r="A298" s="1">
        <f t="shared" si="34"/>
        <v>297</v>
      </c>
      <c r="C298" s="12" t="s">
        <v>17</v>
      </c>
      <c r="D298" s="2">
        <v>42887</v>
      </c>
      <c r="E298" s="3">
        <v>17000</v>
      </c>
      <c r="F298" t="s">
        <v>363</v>
      </c>
      <c r="G298" t="s">
        <v>364</v>
      </c>
      <c r="H298" t="s">
        <v>365</v>
      </c>
      <c r="I298" s="10" t="s">
        <v>396</v>
      </c>
      <c r="J298" s="167" t="s">
        <v>22</v>
      </c>
      <c r="L298" s="9" t="str">
        <f t="shared" si="28"/>
        <v>00297</v>
      </c>
      <c r="M298" s="71" t="str">
        <f t="shared" si="29"/>
        <v>01 de junio de 2017</v>
      </c>
      <c r="N298" s="39">
        <f t="shared" si="30"/>
        <v>42887</v>
      </c>
      <c r="O298" s="9" t="str">
        <f t="shared" si="35"/>
        <v>17.000,00</v>
      </c>
      <c r="P298" s="8" t="str">
        <f t="shared" si="32"/>
        <v>Diecisiete Mil Bolívares con 00/100</v>
      </c>
      <c r="Q298" s="403" t="str">
        <f t="shared" si="33"/>
        <v/>
      </c>
    </row>
    <row r="299" spans="1:17" x14ac:dyDescent="0.25">
      <c r="A299" s="1">
        <f t="shared" si="34"/>
        <v>298</v>
      </c>
      <c r="C299" s="12" t="s">
        <v>17</v>
      </c>
      <c r="D299" s="2">
        <v>42902</v>
      </c>
      <c r="E299" s="3">
        <f>26000*2+13000-9000</f>
        <v>56000</v>
      </c>
      <c r="F299" t="s">
        <v>100</v>
      </c>
      <c r="G299" t="s">
        <v>95</v>
      </c>
      <c r="H299" t="s">
        <v>101</v>
      </c>
      <c r="I299" s="10" t="s">
        <v>450</v>
      </c>
      <c r="J299" s="167" t="s">
        <v>22</v>
      </c>
      <c r="L299" s="9" t="str">
        <f t="shared" si="28"/>
        <v>00298</v>
      </c>
      <c r="M299" s="71" t="str">
        <f t="shared" si="29"/>
        <v>16 de junio de 2017</v>
      </c>
      <c r="N299" s="39">
        <f t="shared" si="30"/>
        <v>42887</v>
      </c>
      <c r="O299" s="9" t="str">
        <f t="shared" si="35"/>
        <v>56.000,00</v>
      </c>
      <c r="P299" s="8" t="str">
        <f t="shared" si="32"/>
        <v>Cincuenta y Seis Mil Bolívares con 00/100</v>
      </c>
      <c r="Q299" s="403" t="str">
        <f t="shared" si="33"/>
        <v/>
      </c>
    </row>
    <row r="300" spans="1:17" ht="15.75" thickBot="1" x14ac:dyDescent="0.3">
      <c r="A300" s="1">
        <f t="shared" si="34"/>
        <v>299</v>
      </c>
      <c r="C300" s="12" t="s">
        <v>17</v>
      </c>
      <c r="D300" s="2">
        <v>42902</v>
      </c>
      <c r="E300" s="3">
        <f>4000*2</f>
        <v>8000</v>
      </c>
      <c r="F300" t="s">
        <v>94</v>
      </c>
      <c r="G300" t="s">
        <v>95</v>
      </c>
      <c r="H300" t="s">
        <v>96</v>
      </c>
      <c r="I300" s="10" t="s">
        <v>451</v>
      </c>
      <c r="J300" s="167" t="s">
        <v>22</v>
      </c>
      <c r="L300" s="9" t="str">
        <f t="shared" si="28"/>
        <v>00299</v>
      </c>
      <c r="M300" s="71" t="str">
        <f t="shared" si="29"/>
        <v>16 de junio de 2017</v>
      </c>
      <c r="N300" s="39">
        <f t="shared" si="30"/>
        <v>42887</v>
      </c>
      <c r="O300" s="9" t="str">
        <f t="shared" si="35"/>
        <v>8.000,00</v>
      </c>
      <c r="P300" s="8" t="str">
        <f t="shared" si="32"/>
        <v>Ocho Mil Bolívares con 00/100</v>
      </c>
      <c r="Q300" s="403" t="str">
        <f t="shared" si="33"/>
        <v/>
      </c>
    </row>
    <row r="301" spans="1:17" ht="15.75" thickBot="1" x14ac:dyDescent="0.3">
      <c r="A301" s="1">
        <f t="shared" si="34"/>
        <v>300</v>
      </c>
      <c r="C301" s="12" t="s">
        <v>17</v>
      </c>
      <c r="D301" s="2">
        <v>42894</v>
      </c>
      <c r="E301" s="3">
        <v>20000</v>
      </c>
      <c r="F301" t="s">
        <v>177</v>
      </c>
      <c r="G301" s="27" t="s">
        <v>58</v>
      </c>
      <c r="H301" t="s">
        <v>179</v>
      </c>
      <c r="I301" s="10" t="s">
        <v>421</v>
      </c>
      <c r="J301" s="167" t="s">
        <v>22</v>
      </c>
      <c r="L301" s="9" t="str">
        <f t="shared" si="28"/>
        <v>00300</v>
      </c>
      <c r="M301" s="71" t="str">
        <f t="shared" si="29"/>
        <v>08 de junio de 2017</v>
      </c>
      <c r="N301" s="39">
        <f t="shared" si="30"/>
        <v>42887</v>
      </c>
      <c r="O301" s="9" t="str">
        <f t="shared" si="35"/>
        <v>20.000,00</v>
      </c>
      <c r="P301" s="8" t="str">
        <f t="shared" si="32"/>
        <v>Veinte Mil Bolívares con 00/100</v>
      </c>
      <c r="Q301" s="403" t="str">
        <f t="shared" si="33"/>
        <v/>
      </c>
    </row>
    <row r="302" spans="1:17" x14ac:dyDescent="0.25">
      <c r="A302" s="1">
        <f t="shared" si="34"/>
        <v>301</v>
      </c>
      <c r="C302" s="12" t="s">
        <v>17</v>
      </c>
      <c r="D302" s="2">
        <v>42870</v>
      </c>
      <c r="E302" s="3">
        <f>17000</f>
        <v>17000</v>
      </c>
      <c r="F302" t="s">
        <v>206</v>
      </c>
      <c r="G302" t="s">
        <v>207</v>
      </c>
      <c r="H302" t="s">
        <v>208</v>
      </c>
      <c r="I302" s="10" t="s">
        <v>396</v>
      </c>
      <c r="J302" s="167" t="s">
        <v>22</v>
      </c>
      <c r="L302" s="9" t="str">
        <f t="shared" si="28"/>
        <v>00301</v>
      </c>
      <c r="M302" s="71" t="str">
        <f t="shared" si="29"/>
        <v>15 de mayo de 2017</v>
      </c>
      <c r="N302" s="39">
        <f t="shared" si="30"/>
        <v>42856</v>
      </c>
      <c r="O302" s="9" t="str">
        <f t="shared" si="35"/>
        <v>17.000,00</v>
      </c>
      <c r="P302" s="8" t="str">
        <f t="shared" si="32"/>
        <v>Diecisiete Mil Bolívares con 00/100</v>
      </c>
      <c r="Q302" s="403" t="str">
        <f t="shared" si="33"/>
        <v/>
      </c>
    </row>
    <row r="303" spans="1:17" x14ac:dyDescent="0.25">
      <c r="A303" s="1">
        <f t="shared" si="34"/>
        <v>302</v>
      </c>
      <c r="C303" s="12" t="s">
        <v>17</v>
      </c>
      <c r="D303" s="2">
        <v>42891</v>
      </c>
      <c r="E303" s="3">
        <v>26000</v>
      </c>
      <c r="F303" t="s">
        <v>107</v>
      </c>
      <c r="G303" t="s">
        <v>108</v>
      </c>
      <c r="H303" t="s">
        <v>109</v>
      </c>
      <c r="I303" s="10" t="s">
        <v>446</v>
      </c>
      <c r="J303" s="167" t="s">
        <v>22</v>
      </c>
      <c r="L303" s="9" t="str">
        <f t="shared" si="28"/>
        <v>00302</v>
      </c>
      <c r="M303" s="71" t="str">
        <f t="shared" si="29"/>
        <v>05 de junio de 2017</v>
      </c>
      <c r="N303" s="39">
        <f t="shared" si="30"/>
        <v>42887</v>
      </c>
      <c r="O303" s="9" t="str">
        <f t="shared" ref="O303:O314" si="36">TEXT(E303,"#.##0,00")</f>
        <v>26.000,00</v>
      </c>
      <c r="P303" s="8" t="str">
        <f t="shared" si="32"/>
        <v>Veintiseis Mil Bolívares con 00/100</v>
      </c>
      <c r="Q303" s="403" t="str">
        <f t="shared" si="33"/>
        <v/>
      </c>
    </row>
    <row r="304" spans="1:17" ht="15.75" thickBot="1" x14ac:dyDescent="0.3">
      <c r="A304" s="1">
        <f t="shared" si="34"/>
        <v>303</v>
      </c>
      <c r="C304" s="12" t="s">
        <v>17</v>
      </c>
      <c r="D304" s="2">
        <v>42900</v>
      </c>
      <c r="E304" s="3">
        <f>10000</f>
        <v>10000</v>
      </c>
      <c r="F304" t="s">
        <v>230</v>
      </c>
      <c r="G304" t="s">
        <v>231</v>
      </c>
      <c r="H304" t="s">
        <v>232</v>
      </c>
      <c r="I304" s="10" t="s">
        <v>452</v>
      </c>
      <c r="J304" s="167" t="s">
        <v>453</v>
      </c>
      <c r="L304" s="9" t="str">
        <f t="shared" si="28"/>
        <v>00303</v>
      </c>
      <c r="M304" s="71" t="str">
        <f t="shared" si="29"/>
        <v>14 de junio de 2017</v>
      </c>
      <c r="N304" s="39">
        <f t="shared" si="30"/>
        <v>42887</v>
      </c>
      <c r="O304" s="9" t="str">
        <f t="shared" si="36"/>
        <v>10.000,00</v>
      </c>
      <c r="P304" s="8" t="str">
        <f t="shared" si="32"/>
        <v>Diez Mil Bolívares con 00/100</v>
      </c>
      <c r="Q304" s="403" t="str">
        <f t="shared" si="33"/>
        <v/>
      </c>
    </row>
    <row r="305" spans="1:17" ht="15.75" thickBot="1" x14ac:dyDescent="0.3">
      <c r="A305" s="1">
        <f t="shared" si="34"/>
        <v>304</v>
      </c>
      <c r="C305" s="12" t="s">
        <v>17</v>
      </c>
      <c r="D305" s="2">
        <v>42900</v>
      </c>
      <c r="E305" s="3">
        <v>40000</v>
      </c>
      <c r="F305" s="36" t="s">
        <v>423</v>
      </c>
      <c r="G305" s="27" t="s">
        <v>58</v>
      </c>
      <c r="H305" t="s">
        <v>424</v>
      </c>
      <c r="I305" s="10" t="s">
        <v>446</v>
      </c>
      <c r="J305" s="167" t="s">
        <v>22</v>
      </c>
      <c r="L305" s="9" t="str">
        <f t="shared" si="28"/>
        <v>00304</v>
      </c>
      <c r="M305" s="71" t="str">
        <f t="shared" si="29"/>
        <v>14 de junio de 2017</v>
      </c>
      <c r="N305" s="39">
        <f t="shared" si="30"/>
        <v>42887</v>
      </c>
      <c r="O305" s="9" t="str">
        <f t="shared" si="36"/>
        <v>40.000,00</v>
      </c>
      <c r="P305" s="8" t="str">
        <f t="shared" si="32"/>
        <v>Cuarenta Mil Bolívares con 00/100</v>
      </c>
      <c r="Q305" s="403" t="str">
        <f t="shared" si="33"/>
        <v/>
      </c>
    </row>
    <row r="306" spans="1:17" ht="15.75" thickBot="1" x14ac:dyDescent="0.3">
      <c r="A306" s="1">
        <f t="shared" si="34"/>
        <v>305</v>
      </c>
      <c r="C306" s="12" t="s">
        <v>17</v>
      </c>
      <c r="D306" s="2">
        <v>42900</v>
      </c>
      <c r="E306" s="3">
        <v>7000</v>
      </c>
      <c r="F306" s="36" t="s">
        <v>423</v>
      </c>
      <c r="G306" s="27" t="s">
        <v>58</v>
      </c>
      <c r="H306" t="s">
        <v>424</v>
      </c>
      <c r="I306" s="10" t="s">
        <v>452</v>
      </c>
      <c r="J306" s="167" t="s">
        <v>453</v>
      </c>
      <c r="L306" s="9" t="str">
        <f t="shared" si="28"/>
        <v>00305</v>
      </c>
      <c r="M306" s="71" t="str">
        <f t="shared" si="29"/>
        <v>14 de junio de 2017</v>
      </c>
      <c r="N306" s="39">
        <f t="shared" si="30"/>
        <v>42887</v>
      </c>
      <c r="O306" s="9" t="str">
        <f t="shared" si="36"/>
        <v>7.000,00</v>
      </c>
      <c r="P306" s="8" t="str">
        <f t="shared" si="32"/>
        <v>Siete Mil Bolívares con 00/100</v>
      </c>
      <c r="Q306" s="403" t="str">
        <f t="shared" si="33"/>
        <v/>
      </c>
    </row>
    <row r="307" spans="1:17" ht="15.75" thickBot="1" x14ac:dyDescent="0.3">
      <c r="A307" s="1">
        <f t="shared" si="34"/>
        <v>306</v>
      </c>
      <c r="C307" s="12" t="s">
        <v>17</v>
      </c>
      <c r="D307" s="2">
        <v>42900</v>
      </c>
      <c r="E307" s="3">
        <v>7000</v>
      </c>
      <c r="F307" t="s">
        <v>148</v>
      </c>
      <c r="G307" t="s">
        <v>149</v>
      </c>
      <c r="H307" t="s">
        <v>150</v>
      </c>
      <c r="I307" s="10" t="s">
        <v>452</v>
      </c>
      <c r="J307" s="167" t="s">
        <v>453</v>
      </c>
      <c r="L307" s="9" t="str">
        <f t="shared" si="28"/>
        <v>00306</v>
      </c>
      <c r="M307" s="71" t="str">
        <f t="shared" si="29"/>
        <v>14 de junio de 2017</v>
      </c>
      <c r="N307" s="39">
        <f t="shared" si="30"/>
        <v>42887</v>
      </c>
      <c r="O307" s="9" t="str">
        <f t="shared" si="36"/>
        <v>7.000,00</v>
      </c>
      <c r="P307" s="8" t="str">
        <f t="shared" si="32"/>
        <v>Siete Mil Bolívares con 00/100</v>
      </c>
      <c r="Q307" s="403" t="str">
        <f t="shared" si="33"/>
        <v/>
      </c>
    </row>
    <row r="308" spans="1:17" ht="15.75" thickBot="1" x14ac:dyDescent="0.3">
      <c r="A308" s="1">
        <f t="shared" si="34"/>
        <v>307</v>
      </c>
      <c r="C308" s="12" t="s">
        <v>17</v>
      </c>
      <c r="D308" s="2">
        <v>42900</v>
      </c>
      <c r="E308" s="3">
        <f>26000*2</f>
        <v>52000</v>
      </c>
      <c r="F308" t="s">
        <v>239</v>
      </c>
      <c r="G308" s="225" t="s">
        <v>240</v>
      </c>
      <c r="H308" t="s">
        <v>241</v>
      </c>
      <c r="I308" s="10" t="s">
        <v>449</v>
      </c>
      <c r="J308" s="167" t="s">
        <v>22</v>
      </c>
      <c r="L308" s="9" t="str">
        <f t="shared" si="28"/>
        <v>00307</v>
      </c>
      <c r="M308" s="71" t="str">
        <f t="shared" si="29"/>
        <v>14 de junio de 2017</v>
      </c>
      <c r="N308" s="39">
        <f t="shared" si="30"/>
        <v>42887</v>
      </c>
      <c r="O308" s="9" t="str">
        <f t="shared" si="36"/>
        <v>52.000,00</v>
      </c>
      <c r="P308" s="8" t="str">
        <f t="shared" si="32"/>
        <v>Cincuenta y Dos Mil Bolívares con 00/100</v>
      </c>
      <c r="Q308" s="403" t="str">
        <f t="shared" si="33"/>
        <v/>
      </c>
    </row>
    <row r="309" spans="1:17" ht="15.75" thickBot="1" x14ac:dyDescent="0.3">
      <c r="A309" s="1">
        <f t="shared" si="34"/>
        <v>308</v>
      </c>
      <c r="C309" s="12" t="s">
        <v>17</v>
      </c>
      <c r="D309" s="2">
        <v>42900</v>
      </c>
      <c r="E309" s="3">
        <v>7000</v>
      </c>
      <c r="F309" t="s">
        <v>239</v>
      </c>
      <c r="G309" s="225" t="s">
        <v>240</v>
      </c>
      <c r="H309" t="s">
        <v>241</v>
      </c>
      <c r="I309" s="10" t="s">
        <v>452</v>
      </c>
      <c r="J309" s="167" t="s">
        <v>453</v>
      </c>
      <c r="L309" s="9" t="str">
        <f t="shared" si="28"/>
        <v>00308</v>
      </c>
      <c r="M309" s="71" t="str">
        <f t="shared" si="29"/>
        <v>14 de junio de 2017</v>
      </c>
      <c r="N309" s="39">
        <f t="shared" si="30"/>
        <v>42887</v>
      </c>
      <c r="O309" s="9" t="str">
        <f t="shared" si="36"/>
        <v>7.000,00</v>
      </c>
      <c r="P309" s="8" t="str">
        <f t="shared" si="32"/>
        <v>Siete Mil Bolívares con 00/100</v>
      </c>
      <c r="Q309" s="403" t="str">
        <f t="shared" si="33"/>
        <v/>
      </c>
    </row>
    <row r="310" spans="1:17" x14ac:dyDescent="0.25">
      <c r="A310" s="1">
        <f t="shared" si="34"/>
        <v>309</v>
      </c>
      <c r="C310" s="12" t="s">
        <v>17</v>
      </c>
      <c r="D310" s="2">
        <v>42900</v>
      </c>
      <c r="E310" s="3">
        <f>17000*2</f>
        <v>34000</v>
      </c>
      <c r="F310" t="s">
        <v>264</v>
      </c>
      <c r="G310" t="s">
        <v>265</v>
      </c>
      <c r="H310" t="s">
        <v>266</v>
      </c>
      <c r="I310" s="10" t="s">
        <v>454</v>
      </c>
      <c r="J310" s="167" t="s">
        <v>22</v>
      </c>
      <c r="L310" s="9" t="str">
        <f t="shared" si="28"/>
        <v>00309</v>
      </c>
      <c r="M310" s="71" t="str">
        <f t="shared" si="29"/>
        <v>14 de junio de 2017</v>
      </c>
      <c r="N310" s="39">
        <f t="shared" si="30"/>
        <v>42887</v>
      </c>
      <c r="O310" s="9" t="str">
        <f t="shared" si="36"/>
        <v>34.000,00</v>
      </c>
      <c r="P310" s="8" t="str">
        <f t="shared" si="32"/>
        <v>Treinta y Cuatro Mil Bolívares con 00/100</v>
      </c>
      <c r="Q310" s="403" t="str">
        <f t="shared" si="33"/>
        <v/>
      </c>
    </row>
    <row r="311" spans="1:17" x14ac:dyDescent="0.25">
      <c r="A311" s="1">
        <f t="shared" si="34"/>
        <v>310</v>
      </c>
      <c r="C311" s="12" t="s">
        <v>17</v>
      </c>
      <c r="D311" s="2">
        <v>42900</v>
      </c>
      <c r="E311" s="3">
        <v>7000</v>
      </c>
      <c r="F311" t="s">
        <v>264</v>
      </c>
      <c r="G311" t="s">
        <v>265</v>
      </c>
      <c r="H311" t="s">
        <v>266</v>
      </c>
      <c r="I311" s="10" t="s">
        <v>452</v>
      </c>
      <c r="J311" s="167" t="s">
        <v>453</v>
      </c>
      <c r="L311" s="9" t="str">
        <f t="shared" si="28"/>
        <v>00310</v>
      </c>
      <c r="M311" s="71" t="str">
        <f t="shared" si="29"/>
        <v>14 de junio de 2017</v>
      </c>
      <c r="N311" s="39">
        <f t="shared" si="30"/>
        <v>42887</v>
      </c>
      <c r="O311" s="9" t="str">
        <f t="shared" si="36"/>
        <v>7.000,00</v>
      </c>
      <c r="P311" s="8" t="str">
        <f t="shared" si="32"/>
        <v>Siete Mil Bolívares con 00/100</v>
      </c>
      <c r="Q311" s="403" t="str">
        <f t="shared" si="33"/>
        <v/>
      </c>
    </row>
    <row r="312" spans="1:17" x14ac:dyDescent="0.25">
      <c r="A312" s="1">
        <f t="shared" si="34"/>
        <v>311</v>
      </c>
      <c r="C312" s="12" t="s">
        <v>17</v>
      </c>
      <c r="D312" s="2">
        <v>42900</v>
      </c>
      <c r="E312" s="3">
        <v>7000</v>
      </c>
      <c r="F312" t="s">
        <v>44</v>
      </c>
      <c r="G312" t="s">
        <v>45</v>
      </c>
      <c r="H312" t="s">
        <v>46</v>
      </c>
      <c r="I312" s="10" t="s">
        <v>452</v>
      </c>
      <c r="J312" s="167" t="s">
        <v>453</v>
      </c>
      <c r="L312" s="9" t="str">
        <f t="shared" si="28"/>
        <v>00311</v>
      </c>
      <c r="M312" s="71" t="str">
        <f t="shared" si="29"/>
        <v>14 de junio de 2017</v>
      </c>
      <c r="N312" s="39">
        <f t="shared" si="30"/>
        <v>42887</v>
      </c>
      <c r="O312" s="9" t="str">
        <f t="shared" si="36"/>
        <v>7.000,00</v>
      </c>
      <c r="P312" s="8" t="str">
        <f t="shared" si="32"/>
        <v>Siete Mil Bolívares con 00/100</v>
      </c>
      <c r="Q312" s="403" t="str">
        <f t="shared" si="33"/>
        <v/>
      </c>
    </row>
    <row r="313" spans="1:17" x14ac:dyDescent="0.25">
      <c r="A313" s="1">
        <f t="shared" si="34"/>
        <v>312</v>
      </c>
      <c r="C313" s="12" t="s">
        <v>17</v>
      </c>
      <c r="D313" s="2">
        <v>42900</v>
      </c>
      <c r="E313" s="3">
        <v>13000</v>
      </c>
      <c r="F313" t="s">
        <v>402</v>
      </c>
      <c r="G313" t="s">
        <v>403</v>
      </c>
      <c r="H313" t="s">
        <v>404</v>
      </c>
      <c r="I313" s="10" t="s">
        <v>447</v>
      </c>
      <c r="J313" s="167" t="s">
        <v>22</v>
      </c>
      <c r="L313" s="9" t="str">
        <f t="shared" si="28"/>
        <v>00312</v>
      </c>
      <c r="M313" s="71" t="str">
        <f t="shared" si="29"/>
        <v>14 de junio de 2017</v>
      </c>
      <c r="N313" s="39">
        <f t="shared" si="30"/>
        <v>42887</v>
      </c>
      <c r="O313" s="9" t="str">
        <f t="shared" si="36"/>
        <v>13.000,00</v>
      </c>
      <c r="P313" s="8" t="str">
        <f t="shared" si="32"/>
        <v>Trece Mil Bolívares con 00/100</v>
      </c>
      <c r="Q313" s="403" t="str">
        <f t="shared" si="33"/>
        <v/>
      </c>
    </row>
    <row r="314" spans="1:17" ht="15.75" thickBot="1" x14ac:dyDescent="0.3">
      <c r="A314" s="1">
        <f t="shared" si="34"/>
        <v>313</v>
      </c>
      <c r="C314" s="12" t="s">
        <v>17</v>
      </c>
      <c r="D314" s="2">
        <v>42900</v>
      </c>
      <c r="E314" s="3">
        <v>7000</v>
      </c>
      <c r="F314" t="s">
        <v>24</v>
      </c>
      <c r="G314" t="s">
        <v>25</v>
      </c>
      <c r="H314" t="s">
        <v>26</v>
      </c>
      <c r="I314" s="10" t="s">
        <v>452</v>
      </c>
      <c r="J314" s="167" t="s">
        <v>453</v>
      </c>
      <c r="L314" s="9" t="str">
        <f t="shared" si="28"/>
        <v>00313</v>
      </c>
      <c r="M314" s="71" t="str">
        <f t="shared" si="29"/>
        <v>14 de junio de 2017</v>
      </c>
      <c r="N314" s="39">
        <f t="shared" si="30"/>
        <v>42887</v>
      </c>
      <c r="O314" s="9" t="str">
        <f t="shared" si="36"/>
        <v>7.000,00</v>
      </c>
      <c r="P314" s="8" t="str">
        <f t="shared" si="32"/>
        <v>Siete Mil Bolívares con 00/100</v>
      </c>
      <c r="Q314" s="403" t="str">
        <f t="shared" si="33"/>
        <v/>
      </c>
    </row>
    <row r="315" spans="1:17" ht="15.75" thickBot="1" x14ac:dyDescent="0.3">
      <c r="A315" s="1">
        <f t="shared" si="34"/>
        <v>314</v>
      </c>
      <c r="C315" s="12" t="s">
        <v>17</v>
      </c>
      <c r="D315" s="2">
        <v>42900</v>
      </c>
      <c r="E315" s="3">
        <v>7000</v>
      </c>
      <c r="F315" t="s">
        <v>455</v>
      </c>
      <c r="G315" s="27" t="s">
        <v>58</v>
      </c>
      <c r="H315" t="s">
        <v>456</v>
      </c>
      <c r="I315" s="10" t="s">
        <v>452</v>
      </c>
      <c r="J315" s="167" t="s">
        <v>453</v>
      </c>
      <c r="L315" s="9" t="str">
        <f t="shared" si="28"/>
        <v>00314</v>
      </c>
      <c r="M315" s="71" t="str">
        <f t="shared" si="29"/>
        <v>14 de junio de 2017</v>
      </c>
      <c r="N315" s="39">
        <f t="shared" si="30"/>
        <v>42887</v>
      </c>
      <c r="O315" s="9" t="str">
        <f>TEXT(E315,"#.##0,00")</f>
        <v>7.000,00</v>
      </c>
      <c r="P315" s="8" t="str">
        <f t="shared" si="32"/>
        <v>Siete Mil Bolívares con 00/100</v>
      </c>
      <c r="Q315" s="403" t="str">
        <f t="shared" si="33"/>
        <v/>
      </c>
    </row>
    <row r="316" spans="1:17" ht="15.75" thickBot="1" x14ac:dyDescent="0.3">
      <c r="A316" s="1">
        <f t="shared" si="34"/>
        <v>315</v>
      </c>
      <c r="C316" s="12" t="s">
        <v>17</v>
      </c>
      <c r="D316" s="2">
        <v>42901</v>
      </c>
      <c r="E316" s="3">
        <v>15000</v>
      </c>
      <c r="F316" t="s">
        <v>398</v>
      </c>
      <c r="G316" s="74" t="s">
        <v>29</v>
      </c>
      <c r="H316" t="s">
        <v>399</v>
      </c>
      <c r="I316" s="10" t="s">
        <v>457</v>
      </c>
      <c r="J316" s="167" t="s">
        <v>22</v>
      </c>
      <c r="L316" s="9" t="str">
        <f t="shared" si="28"/>
        <v>00315</v>
      </c>
      <c r="M316" s="71" t="str">
        <f t="shared" si="29"/>
        <v>15 de junio de 2017</v>
      </c>
      <c r="N316" s="39">
        <f t="shared" si="30"/>
        <v>42887</v>
      </c>
      <c r="O316" s="9" t="str">
        <f>TEXT(E316,"#.##0,00")</f>
        <v>15.000,00</v>
      </c>
      <c r="P316" s="8" t="str">
        <f t="shared" si="32"/>
        <v>Quince Mil Bolívares con 00/100</v>
      </c>
      <c r="Q316" s="403" t="str">
        <f t="shared" si="33"/>
        <v/>
      </c>
    </row>
    <row r="317" spans="1:17" ht="15.75" thickBot="1" x14ac:dyDescent="0.3">
      <c r="A317" s="1">
        <f t="shared" si="34"/>
        <v>316</v>
      </c>
      <c r="C317" s="12" t="s">
        <v>17</v>
      </c>
      <c r="D317" s="2">
        <v>42901</v>
      </c>
      <c r="E317" s="3">
        <v>5000</v>
      </c>
      <c r="F317" t="s">
        <v>398</v>
      </c>
      <c r="G317" s="74" t="s">
        <v>29</v>
      </c>
      <c r="H317" t="s">
        <v>399</v>
      </c>
      <c r="I317" s="10" t="s">
        <v>458</v>
      </c>
      <c r="J317" s="167" t="s">
        <v>453</v>
      </c>
      <c r="L317" s="9" t="str">
        <f t="shared" si="28"/>
        <v>00316</v>
      </c>
      <c r="M317" s="71" t="str">
        <f t="shared" si="29"/>
        <v>15 de junio de 2017</v>
      </c>
      <c r="N317" s="39">
        <f t="shared" si="30"/>
        <v>42887</v>
      </c>
      <c r="O317" s="9" t="str">
        <f t="shared" ref="O317:O323" si="37">TEXT(E317,"#.##0,00")</f>
        <v>5.000,00</v>
      </c>
      <c r="P317" s="8" t="str">
        <f t="shared" si="32"/>
        <v>Cinco Mil Bolívares con 00/100</v>
      </c>
      <c r="Q317" s="403" t="str">
        <f t="shared" si="33"/>
        <v/>
      </c>
    </row>
    <row r="318" spans="1:17" x14ac:dyDescent="0.25">
      <c r="A318" s="1">
        <f t="shared" si="34"/>
        <v>317</v>
      </c>
      <c r="C318" s="12" t="s">
        <v>17</v>
      </c>
      <c r="D318" s="2">
        <v>42901</v>
      </c>
      <c r="E318" s="3">
        <v>20000</v>
      </c>
      <c r="F318" t="s">
        <v>28</v>
      </c>
      <c r="G318" t="s">
        <v>29</v>
      </c>
      <c r="H318" t="s">
        <v>30</v>
      </c>
      <c r="I318" s="10" t="s">
        <v>447</v>
      </c>
      <c r="J318" s="167" t="s">
        <v>22</v>
      </c>
      <c r="L318" s="9" t="str">
        <f t="shared" si="28"/>
        <v>00317</v>
      </c>
      <c r="M318" s="71" t="str">
        <f t="shared" si="29"/>
        <v>15 de junio de 2017</v>
      </c>
      <c r="N318" s="39">
        <f t="shared" si="30"/>
        <v>42887</v>
      </c>
      <c r="O318" s="9" t="str">
        <f t="shared" si="37"/>
        <v>20.000,00</v>
      </c>
      <c r="P318" s="8" t="str">
        <f t="shared" si="32"/>
        <v>Veinte Mil Bolívares con 00/100</v>
      </c>
      <c r="Q318" s="403" t="str">
        <f t="shared" si="33"/>
        <v/>
      </c>
    </row>
    <row r="319" spans="1:17" x14ac:dyDescent="0.25">
      <c r="A319" s="1">
        <f t="shared" si="34"/>
        <v>318</v>
      </c>
      <c r="C319" s="12" t="s">
        <v>17</v>
      </c>
      <c r="D319" s="2">
        <v>42901</v>
      </c>
      <c r="E319" s="3">
        <v>7000</v>
      </c>
      <c r="F319" t="s">
        <v>107</v>
      </c>
      <c r="G319" t="s">
        <v>108</v>
      </c>
      <c r="H319" t="s">
        <v>109</v>
      </c>
      <c r="I319" s="10" t="s">
        <v>452</v>
      </c>
      <c r="J319" s="167" t="s">
        <v>453</v>
      </c>
      <c r="L319" s="9" t="str">
        <f t="shared" si="28"/>
        <v>00318</v>
      </c>
      <c r="M319" s="71" t="str">
        <f t="shared" si="29"/>
        <v>15 de junio de 2017</v>
      </c>
      <c r="N319" s="39">
        <f t="shared" si="30"/>
        <v>42887</v>
      </c>
      <c r="O319" s="9" t="str">
        <f t="shared" si="37"/>
        <v>7.000,00</v>
      </c>
      <c r="P319" s="8" t="str">
        <f t="shared" si="32"/>
        <v>Siete Mil Bolívares con 00/100</v>
      </c>
      <c r="Q319" s="403" t="str">
        <f t="shared" si="33"/>
        <v/>
      </c>
    </row>
    <row r="320" spans="1:17" x14ac:dyDescent="0.25">
      <c r="A320" s="1">
        <f t="shared" si="34"/>
        <v>319</v>
      </c>
      <c r="C320" s="12" t="s">
        <v>17</v>
      </c>
      <c r="D320" s="2">
        <v>42901</v>
      </c>
      <c r="E320" s="3">
        <v>1500</v>
      </c>
      <c r="F320" t="s">
        <v>107</v>
      </c>
      <c r="G320" t="s">
        <v>108</v>
      </c>
      <c r="H320" t="s">
        <v>109</v>
      </c>
      <c r="I320" s="10" t="s">
        <v>459</v>
      </c>
      <c r="J320" s="167" t="s">
        <v>460</v>
      </c>
      <c r="L320" s="9" t="str">
        <f t="shared" si="28"/>
        <v>00319</v>
      </c>
      <c r="M320" s="71" t="str">
        <f t="shared" si="29"/>
        <v>15 de junio de 2017</v>
      </c>
      <c r="N320" s="39">
        <f t="shared" si="30"/>
        <v>42887</v>
      </c>
      <c r="O320" s="9" t="str">
        <f t="shared" si="37"/>
        <v>1.500,00</v>
      </c>
      <c r="P320" s="8" t="str">
        <f t="shared" si="32"/>
        <v>Mil Quinientos Bolívares con 00/100</v>
      </c>
      <c r="Q320" s="403" t="str">
        <f t="shared" si="33"/>
        <v/>
      </c>
    </row>
    <row r="321" spans="1:17" x14ac:dyDescent="0.25">
      <c r="A321" s="1">
        <f t="shared" si="34"/>
        <v>320</v>
      </c>
      <c r="C321" s="12" t="s">
        <v>17</v>
      </c>
      <c r="D321" s="2">
        <v>42901</v>
      </c>
      <c r="E321" s="3">
        <v>7000</v>
      </c>
      <c r="F321" t="s">
        <v>36</v>
      </c>
      <c r="G321" t="s">
        <v>37</v>
      </c>
      <c r="H321" t="s">
        <v>38</v>
      </c>
      <c r="I321" s="10" t="s">
        <v>452</v>
      </c>
      <c r="J321" s="167" t="s">
        <v>453</v>
      </c>
      <c r="L321" s="9" t="str">
        <f t="shared" si="28"/>
        <v>00320</v>
      </c>
      <c r="M321" s="71" t="str">
        <f t="shared" si="29"/>
        <v>15 de junio de 2017</v>
      </c>
      <c r="N321" s="39">
        <f t="shared" si="30"/>
        <v>42887</v>
      </c>
      <c r="O321" s="9" t="str">
        <f t="shared" si="37"/>
        <v>7.000,00</v>
      </c>
      <c r="P321" s="8" t="str">
        <f t="shared" si="32"/>
        <v>Siete Mil Bolívares con 00/100</v>
      </c>
      <c r="Q321" s="403" t="str">
        <f t="shared" si="33"/>
        <v/>
      </c>
    </row>
    <row r="322" spans="1:17" x14ac:dyDescent="0.25">
      <c r="A322" s="1">
        <f t="shared" si="34"/>
        <v>321</v>
      </c>
      <c r="C322" s="12" t="s">
        <v>17</v>
      </c>
      <c r="D322" s="2">
        <v>42902</v>
      </c>
      <c r="E322" s="3">
        <v>7000</v>
      </c>
      <c r="F322" t="s">
        <v>201</v>
      </c>
      <c r="G322" t="s">
        <v>202</v>
      </c>
      <c r="H322" t="s">
        <v>203</v>
      </c>
      <c r="I322" s="10" t="s">
        <v>452</v>
      </c>
      <c r="J322" s="167" t="s">
        <v>453</v>
      </c>
      <c r="L322" s="9" t="str">
        <f t="shared" ref="L322:L385" si="38">IF(ISBLANK(A322),"",TEXT(A322,"00000"))</f>
        <v>00321</v>
      </c>
      <c r="M322" s="71" t="str">
        <f t="shared" ref="M322:M385" si="39">IF(ISBLANK(D322),"",TEXT(D322,"dd")&amp;" de "&amp;TEXT(D322,"mmmm")&amp;" de "&amp;TEXT(YEAR(D322),"0"))</f>
        <v>16 de junio de 2017</v>
      </c>
      <c r="N322" s="39">
        <f t="shared" ref="N322:N385" si="40">DATE(YEAR(D322),MONTH(D322),1)</f>
        <v>42887</v>
      </c>
      <c r="O322" s="9" t="str">
        <f t="shared" si="37"/>
        <v>7.000,00</v>
      </c>
      <c r="P322" s="8" t="str">
        <f t="shared" ref="P322:P366" si="41">CONVERTIRNUM(E322)</f>
        <v>Siete Mil Bolívares con 00/100</v>
      </c>
      <c r="Q322" s="403" t="str">
        <f t="shared" si="33"/>
        <v/>
      </c>
    </row>
    <row r="323" spans="1:17" x14ac:dyDescent="0.25">
      <c r="A323" s="1">
        <f t="shared" si="34"/>
        <v>322</v>
      </c>
      <c r="C323" s="12" t="s">
        <v>17</v>
      </c>
      <c r="D323" s="2">
        <v>42902</v>
      </c>
      <c r="E323" s="3">
        <v>7000</v>
      </c>
      <c r="F323" t="s">
        <v>100</v>
      </c>
      <c r="G323" t="s">
        <v>95</v>
      </c>
      <c r="H323" t="s">
        <v>101</v>
      </c>
      <c r="I323" s="10" t="s">
        <v>452</v>
      </c>
      <c r="J323" s="167" t="s">
        <v>453</v>
      </c>
      <c r="L323" s="9" t="str">
        <f t="shared" si="38"/>
        <v>00322</v>
      </c>
      <c r="M323" s="71" t="str">
        <f t="shared" si="39"/>
        <v>16 de junio de 2017</v>
      </c>
      <c r="N323" s="39">
        <f t="shared" si="40"/>
        <v>42887</v>
      </c>
      <c r="O323" s="9" t="str">
        <f t="shared" si="37"/>
        <v>7.000,00</v>
      </c>
      <c r="P323" s="8" t="str">
        <f t="shared" si="41"/>
        <v>Siete Mil Bolívares con 00/100</v>
      </c>
      <c r="Q323" s="403" t="str">
        <f t="shared" ref="Q323:Q386" si="42">IF(C323="û","Anulado","")</f>
        <v/>
      </c>
    </row>
    <row r="324" spans="1:17" x14ac:dyDescent="0.25">
      <c r="A324" s="1">
        <f t="shared" ref="A324:A387" si="43">A323+1</f>
        <v>323</v>
      </c>
      <c r="C324" s="12" t="s">
        <v>17</v>
      </c>
      <c r="D324" s="2">
        <v>42902</v>
      </c>
      <c r="E324" s="3">
        <v>27000</v>
      </c>
      <c r="F324" t="s">
        <v>201</v>
      </c>
      <c r="G324" t="s">
        <v>202</v>
      </c>
      <c r="H324" t="s">
        <v>203</v>
      </c>
      <c r="I324" s="10" t="s">
        <v>461</v>
      </c>
      <c r="J324" s="167" t="s">
        <v>22</v>
      </c>
      <c r="L324" s="9" t="str">
        <f t="shared" si="38"/>
        <v>00323</v>
      </c>
      <c r="M324" s="71" t="str">
        <f t="shared" si="39"/>
        <v>16 de junio de 2017</v>
      </c>
      <c r="N324" s="39">
        <f t="shared" si="40"/>
        <v>42887</v>
      </c>
      <c r="O324" s="9" t="str">
        <f t="shared" ref="O324:O329" si="44">TEXT(E324,"#.##0,00")</f>
        <v>27.000,00</v>
      </c>
      <c r="P324" s="8" t="str">
        <f t="shared" si="41"/>
        <v>Veintisiete Mil Bolívares con 00/100</v>
      </c>
      <c r="Q324" s="403" t="str">
        <f t="shared" si="42"/>
        <v/>
      </c>
    </row>
    <row r="325" spans="1:17" x14ac:dyDescent="0.25">
      <c r="A325" s="1">
        <f t="shared" si="43"/>
        <v>324</v>
      </c>
      <c r="C325" s="12" t="s">
        <v>17</v>
      </c>
      <c r="D325" s="2">
        <v>42902</v>
      </c>
      <c r="E325" s="3">
        <v>26000</v>
      </c>
      <c r="F325" t="s">
        <v>354</v>
      </c>
      <c r="G325" t="s">
        <v>355</v>
      </c>
      <c r="H325" t="s">
        <v>356</v>
      </c>
      <c r="I325" s="10" t="s">
        <v>462</v>
      </c>
      <c r="J325" s="167" t="s">
        <v>22</v>
      </c>
      <c r="L325" s="9" t="str">
        <f t="shared" si="38"/>
        <v>00324</v>
      </c>
      <c r="M325" s="71" t="str">
        <f t="shared" si="39"/>
        <v>16 de junio de 2017</v>
      </c>
      <c r="N325" s="39">
        <f t="shared" si="40"/>
        <v>42887</v>
      </c>
      <c r="O325" s="9" t="str">
        <f t="shared" si="44"/>
        <v>26.000,00</v>
      </c>
      <c r="P325" s="8" t="str">
        <f t="shared" si="41"/>
        <v>Veintiseis Mil Bolívares con 00/100</v>
      </c>
      <c r="Q325" s="403" t="str">
        <f t="shared" si="42"/>
        <v/>
      </c>
    </row>
    <row r="326" spans="1:17" x14ac:dyDescent="0.25">
      <c r="A326" s="1">
        <f t="shared" si="43"/>
        <v>325</v>
      </c>
      <c r="C326" s="12" t="s">
        <v>17</v>
      </c>
      <c r="D326" s="2">
        <v>42902</v>
      </c>
      <c r="E326" s="3">
        <v>7000</v>
      </c>
      <c r="F326" t="s">
        <v>48</v>
      </c>
      <c r="G326" t="s">
        <v>49</v>
      </c>
      <c r="H326" t="s">
        <v>50</v>
      </c>
      <c r="I326" s="10" t="s">
        <v>452</v>
      </c>
      <c r="J326" s="167" t="s">
        <v>453</v>
      </c>
      <c r="L326" s="9" t="str">
        <f t="shared" si="38"/>
        <v>00325</v>
      </c>
      <c r="M326" s="71" t="str">
        <f t="shared" si="39"/>
        <v>16 de junio de 2017</v>
      </c>
      <c r="N326" s="39">
        <f t="shared" si="40"/>
        <v>42887</v>
      </c>
      <c r="O326" s="9" t="str">
        <f t="shared" si="44"/>
        <v>7.000,00</v>
      </c>
      <c r="P326" s="8" t="str">
        <f t="shared" si="41"/>
        <v>Siete Mil Bolívares con 00/100</v>
      </c>
      <c r="Q326" s="403" t="str">
        <f t="shared" si="42"/>
        <v/>
      </c>
    </row>
    <row r="327" spans="1:17" x14ac:dyDescent="0.25">
      <c r="A327" s="1">
        <f t="shared" si="43"/>
        <v>326</v>
      </c>
      <c r="C327" s="12" t="s">
        <v>17</v>
      </c>
      <c r="D327" s="2">
        <v>42902</v>
      </c>
      <c r="E327" s="3">
        <v>26000</v>
      </c>
      <c r="F327" t="s">
        <v>36</v>
      </c>
      <c r="G327" t="s">
        <v>37</v>
      </c>
      <c r="H327" t="s">
        <v>38</v>
      </c>
      <c r="I327" s="10" t="s">
        <v>446</v>
      </c>
      <c r="J327" s="167" t="s">
        <v>22</v>
      </c>
      <c r="L327" s="9" t="str">
        <f t="shared" si="38"/>
        <v>00326</v>
      </c>
      <c r="M327" s="71" t="str">
        <f t="shared" si="39"/>
        <v>16 de junio de 2017</v>
      </c>
      <c r="N327" s="39">
        <f t="shared" si="40"/>
        <v>42887</v>
      </c>
      <c r="O327" s="9" t="str">
        <f t="shared" si="44"/>
        <v>26.000,00</v>
      </c>
      <c r="P327" s="8" t="str">
        <f t="shared" si="41"/>
        <v>Veintiseis Mil Bolívares con 00/100</v>
      </c>
      <c r="Q327" s="403" t="str">
        <f t="shared" si="42"/>
        <v/>
      </c>
    </row>
    <row r="328" spans="1:17" x14ac:dyDescent="0.25">
      <c r="A328" s="1">
        <f t="shared" si="43"/>
        <v>327</v>
      </c>
      <c r="C328" s="12" t="s">
        <v>17</v>
      </c>
      <c r="D328" s="2">
        <v>42903</v>
      </c>
      <c r="E328" s="3">
        <v>26000</v>
      </c>
      <c r="F328" t="s">
        <v>197</v>
      </c>
      <c r="G328" t="s">
        <v>198</v>
      </c>
      <c r="H328" t="s">
        <v>199</v>
      </c>
      <c r="I328" s="10" t="s">
        <v>421</v>
      </c>
      <c r="J328" s="167" t="s">
        <v>22</v>
      </c>
      <c r="L328" s="9" t="str">
        <f t="shared" si="38"/>
        <v>00327</v>
      </c>
      <c r="M328" s="71" t="str">
        <f t="shared" si="39"/>
        <v>17 de junio de 2017</v>
      </c>
      <c r="N328" s="39">
        <f t="shared" si="40"/>
        <v>42887</v>
      </c>
      <c r="O328" s="9" t="str">
        <f t="shared" si="44"/>
        <v>26.000,00</v>
      </c>
      <c r="P328" s="8" t="str">
        <f t="shared" si="41"/>
        <v>Veintiseis Mil Bolívares con 00/100</v>
      </c>
      <c r="Q328" s="403" t="str">
        <f t="shared" si="42"/>
        <v/>
      </c>
    </row>
    <row r="329" spans="1:17" x14ac:dyDescent="0.25">
      <c r="A329" s="1">
        <f t="shared" si="43"/>
        <v>328</v>
      </c>
      <c r="C329" s="12" t="s">
        <v>17</v>
      </c>
      <c r="D329" s="2">
        <v>42905</v>
      </c>
      <c r="E329" s="3">
        <v>56000</v>
      </c>
      <c r="F329" t="s">
        <v>185</v>
      </c>
      <c r="G329" t="s">
        <v>186</v>
      </c>
      <c r="H329" t="s">
        <v>187</v>
      </c>
      <c r="I329" s="10" t="s">
        <v>463</v>
      </c>
      <c r="J329" s="167" t="s">
        <v>22</v>
      </c>
      <c r="L329" s="9" t="str">
        <f t="shared" si="38"/>
        <v>00328</v>
      </c>
      <c r="M329" s="71" t="str">
        <f t="shared" si="39"/>
        <v>19 de junio de 2017</v>
      </c>
      <c r="N329" s="39">
        <f t="shared" si="40"/>
        <v>42887</v>
      </c>
      <c r="O329" s="9" t="str">
        <f t="shared" si="44"/>
        <v>56.000,00</v>
      </c>
      <c r="P329" s="8" t="str">
        <f t="shared" si="41"/>
        <v>Cincuenta y Seis Mil Bolívares con 00/100</v>
      </c>
      <c r="Q329" s="403" t="str">
        <f t="shared" si="42"/>
        <v/>
      </c>
    </row>
    <row r="330" spans="1:17" x14ac:dyDescent="0.25">
      <c r="A330" s="1">
        <f t="shared" si="43"/>
        <v>329</v>
      </c>
      <c r="C330" s="12" t="s">
        <v>17</v>
      </c>
      <c r="D330" s="2">
        <v>42905</v>
      </c>
      <c r="E330" s="3">
        <v>7000</v>
      </c>
      <c r="F330" t="s">
        <v>90</v>
      </c>
      <c r="G330" t="s">
        <v>91</v>
      </c>
      <c r="H330" t="s">
        <v>92</v>
      </c>
      <c r="I330" s="10" t="s">
        <v>452</v>
      </c>
      <c r="J330" s="167" t="s">
        <v>453</v>
      </c>
      <c r="L330" s="9" t="str">
        <f t="shared" si="38"/>
        <v>00329</v>
      </c>
      <c r="M330" s="71" t="str">
        <f t="shared" si="39"/>
        <v>19 de junio de 2017</v>
      </c>
      <c r="N330" s="39">
        <f t="shared" si="40"/>
        <v>42887</v>
      </c>
      <c r="O330" s="9" t="str">
        <f>TEXT(E330,"#.##0,00")</f>
        <v>7.000,00</v>
      </c>
      <c r="P330" s="8" t="str">
        <f t="shared" si="41"/>
        <v>Siete Mil Bolívares con 00/100</v>
      </c>
      <c r="Q330" s="403" t="str">
        <f t="shared" si="42"/>
        <v/>
      </c>
    </row>
    <row r="331" spans="1:17" x14ac:dyDescent="0.25">
      <c r="A331" s="1">
        <f t="shared" si="43"/>
        <v>330</v>
      </c>
      <c r="C331" s="12" t="s">
        <v>17</v>
      </c>
      <c r="D331" s="2">
        <v>42906</v>
      </c>
      <c r="E331" s="3">
        <v>7000</v>
      </c>
      <c r="F331" t="s">
        <v>296</v>
      </c>
      <c r="G331" t="s">
        <v>297</v>
      </c>
      <c r="H331" t="s">
        <v>298</v>
      </c>
      <c r="I331" s="10" t="s">
        <v>452</v>
      </c>
      <c r="J331" s="167" t="s">
        <v>453</v>
      </c>
      <c r="L331" s="9" t="str">
        <f t="shared" si="38"/>
        <v>00330</v>
      </c>
      <c r="M331" s="71" t="str">
        <f t="shared" si="39"/>
        <v>20 de junio de 2017</v>
      </c>
      <c r="N331" s="39">
        <f t="shared" si="40"/>
        <v>42887</v>
      </c>
      <c r="O331" s="9" t="str">
        <f>TEXT(E331,"#.##0,00")</f>
        <v>7.000,00</v>
      </c>
      <c r="P331" s="8" t="str">
        <f t="shared" si="41"/>
        <v>Siete Mil Bolívares con 00/100</v>
      </c>
      <c r="Q331" s="403" t="str">
        <f t="shared" si="42"/>
        <v/>
      </c>
    </row>
    <row r="332" spans="1:17" ht="15.75" customHeight="1" x14ac:dyDescent="0.25">
      <c r="A332" s="1">
        <f t="shared" si="43"/>
        <v>331</v>
      </c>
      <c r="C332" s="12" t="s">
        <v>17</v>
      </c>
      <c r="D332" s="2">
        <v>42906</v>
      </c>
      <c r="E332" s="3">
        <v>7000</v>
      </c>
      <c r="F332" t="s">
        <v>181</v>
      </c>
      <c r="G332" t="s">
        <v>182</v>
      </c>
      <c r="H332" t="s">
        <v>183</v>
      </c>
      <c r="I332" s="10" t="s">
        <v>452</v>
      </c>
      <c r="J332" s="167" t="s">
        <v>453</v>
      </c>
      <c r="L332" s="9" t="str">
        <f t="shared" si="38"/>
        <v>00331</v>
      </c>
      <c r="M332" s="71" t="str">
        <f t="shared" si="39"/>
        <v>20 de junio de 2017</v>
      </c>
      <c r="N332" s="39">
        <f t="shared" si="40"/>
        <v>42887</v>
      </c>
      <c r="O332" s="9" t="str">
        <f>TEXT(E332,"#.##0,00")</f>
        <v>7.000,00</v>
      </c>
      <c r="P332" s="8" t="str">
        <f t="shared" si="41"/>
        <v>Siete Mil Bolívares con 00/100</v>
      </c>
      <c r="Q332" s="403" t="str">
        <f t="shared" si="42"/>
        <v/>
      </c>
    </row>
    <row r="333" spans="1:17" x14ac:dyDescent="0.25">
      <c r="A333" s="1">
        <f t="shared" si="43"/>
        <v>332</v>
      </c>
      <c r="C333" s="12" t="s">
        <v>17</v>
      </c>
      <c r="D333" s="2">
        <v>42907</v>
      </c>
      <c r="E333" s="3">
        <v>13000</v>
      </c>
      <c r="F333" t="s">
        <v>185</v>
      </c>
      <c r="G333" t="s">
        <v>186</v>
      </c>
      <c r="H333" t="s">
        <v>187</v>
      </c>
      <c r="I333" s="10" t="s">
        <v>464</v>
      </c>
      <c r="J333" s="167" t="s">
        <v>22</v>
      </c>
      <c r="L333" s="9" t="str">
        <f t="shared" si="38"/>
        <v>00332</v>
      </c>
      <c r="M333" s="71" t="str">
        <f t="shared" si="39"/>
        <v>21 de junio de 2017</v>
      </c>
      <c r="N333" s="39">
        <f t="shared" si="40"/>
        <v>42887</v>
      </c>
      <c r="O333" s="9" t="str">
        <f>TEXT(E333,"#.##0,00")</f>
        <v>13.000,00</v>
      </c>
      <c r="P333" s="8" t="str">
        <f t="shared" si="41"/>
        <v>Trece Mil Bolívares con 00/100</v>
      </c>
      <c r="Q333" s="403" t="str">
        <f t="shared" si="42"/>
        <v/>
      </c>
    </row>
    <row r="334" spans="1:17" x14ac:dyDescent="0.25">
      <c r="A334" s="1">
        <f t="shared" si="43"/>
        <v>333</v>
      </c>
      <c r="C334" s="12" t="s">
        <v>17</v>
      </c>
      <c r="D334" s="2">
        <v>42907</v>
      </c>
      <c r="E334" s="3">
        <v>7000</v>
      </c>
      <c r="F334" t="s">
        <v>185</v>
      </c>
      <c r="G334" t="s">
        <v>186</v>
      </c>
      <c r="H334" t="s">
        <v>187</v>
      </c>
      <c r="I334" s="10" t="s">
        <v>452</v>
      </c>
      <c r="J334" s="167" t="s">
        <v>453</v>
      </c>
      <c r="L334" s="9" t="str">
        <f t="shared" si="38"/>
        <v>00333</v>
      </c>
      <c r="M334" s="71" t="str">
        <f t="shared" si="39"/>
        <v>21 de junio de 2017</v>
      </c>
      <c r="N334" s="39">
        <f t="shared" si="40"/>
        <v>42887</v>
      </c>
      <c r="O334" s="9" t="str">
        <f>TEXT(E334,"#.##0,00")</f>
        <v>7.000,00</v>
      </c>
      <c r="P334" s="8" t="str">
        <f t="shared" si="41"/>
        <v>Siete Mil Bolívares con 00/100</v>
      </c>
      <c r="Q334" s="403" t="str">
        <f t="shared" si="42"/>
        <v/>
      </c>
    </row>
    <row r="335" spans="1:17" ht="15.75" thickBot="1" x14ac:dyDescent="0.3">
      <c r="A335" s="1">
        <f t="shared" si="43"/>
        <v>334</v>
      </c>
      <c r="C335" s="12" t="s">
        <v>17</v>
      </c>
      <c r="D335" s="2">
        <v>42907</v>
      </c>
      <c r="E335" s="3">
        <v>7500</v>
      </c>
      <c r="F335" t="s">
        <v>465</v>
      </c>
      <c r="G335" t="s">
        <v>466</v>
      </c>
      <c r="H335" t="s">
        <v>467</v>
      </c>
      <c r="I335" s="10" t="s">
        <v>452</v>
      </c>
      <c r="J335" s="167" t="s">
        <v>453</v>
      </c>
      <c r="L335" s="9" t="str">
        <f t="shared" si="38"/>
        <v>00334</v>
      </c>
      <c r="M335" s="71" t="str">
        <f t="shared" si="39"/>
        <v>21 de junio de 2017</v>
      </c>
      <c r="N335" s="39">
        <f t="shared" si="40"/>
        <v>42887</v>
      </c>
      <c r="O335" s="9" t="str">
        <f t="shared" ref="O335:O350" si="45">TEXT(E335,"#.##0,00")</f>
        <v>7.500,00</v>
      </c>
      <c r="P335" s="8" t="str">
        <f t="shared" si="41"/>
        <v>Siete Mil Quinientos Bolívares con 00/100</v>
      </c>
      <c r="Q335" s="403" t="str">
        <f t="shared" si="42"/>
        <v/>
      </c>
    </row>
    <row r="336" spans="1:17" ht="15.75" thickBot="1" x14ac:dyDescent="0.3">
      <c r="A336" s="1">
        <f t="shared" si="43"/>
        <v>335</v>
      </c>
      <c r="C336" s="12" t="s">
        <v>17</v>
      </c>
      <c r="D336" s="2">
        <v>42907</v>
      </c>
      <c r="E336" s="3">
        <v>7000</v>
      </c>
      <c r="F336" t="s">
        <v>319</v>
      </c>
      <c r="G336" s="27" t="s">
        <v>58</v>
      </c>
      <c r="H336" t="s">
        <v>320</v>
      </c>
      <c r="I336" s="10" t="s">
        <v>452</v>
      </c>
      <c r="J336" s="167" t="s">
        <v>453</v>
      </c>
      <c r="L336" s="9" t="str">
        <f t="shared" si="38"/>
        <v>00335</v>
      </c>
      <c r="M336" s="71" t="str">
        <f t="shared" si="39"/>
        <v>21 de junio de 2017</v>
      </c>
      <c r="N336" s="39">
        <f t="shared" si="40"/>
        <v>42887</v>
      </c>
      <c r="O336" s="9" t="str">
        <f t="shared" si="45"/>
        <v>7.000,00</v>
      </c>
      <c r="P336" s="8" t="str">
        <f t="shared" si="41"/>
        <v>Siete Mil Bolívares con 00/100</v>
      </c>
      <c r="Q336" s="403" t="str">
        <f t="shared" si="42"/>
        <v/>
      </c>
    </row>
    <row r="337" spans="1:17" ht="15.75" thickBot="1" x14ac:dyDescent="0.3">
      <c r="A337" s="1">
        <f t="shared" si="43"/>
        <v>336</v>
      </c>
      <c r="C337" s="12" t="s">
        <v>17</v>
      </c>
      <c r="D337" s="2">
        <v>42907</v>
      </c>
      <c r="E337" s="3">
        <v>30000</v>
      </c>
      <c r="F337" s="31" t="s">
        <v>57</v>
      </c>
      <c r="G337" s="27" t="s">
        <v>58</v>
      </c>
      <c r="H337" s="32" t="s">
        <v>59</v>
      </c>
      <c r="I337" s="10" t="s">
        <v>446</v>
      </c>
      <c r="J337" s="167" t="s">
        <v>22</v>
      </c>
      <c r="K337" s="33"/>
      <c r="L337" s="9" t="str">
        <f t="shared" si="38"/>
        <v>00336</v>
      </c>
      <c r="M337" s="71" t="str">
        <f t="shared" si="39"/>
        <v>21 de junio de 2017</v>
      </c>
      <c r="N337" s="39">
        <f t="shared" si="40"/>
        <v>42887</v>
      </c>
      <c r="O337" s="9" t="str">
        <f t="shared" si="45"/>
        <v>30.000,00</v>
      </c>
      <c r="P337" s="8" t="str">
        <f t="shared" si="41"/>
        <v>Treinta Mil Bolívares con 00/100</v>
      </c>
      <c r="Q337" s="403" t="str">
        <f t="shared" si="42"/>
        <v/>
      </c>
    </row>
    <row r="338" spans="1:17" ht="15.75" thickBot="1" x14ac:dyDescent="0.3">
      <c r="A338" s="1">
        <f t="shared" si="43"/>
        <v>337</v>
      </c>
      <c r="C338" s="12" t="s">
        <v>17</v>
      </c>
      <c r="D338" s="2">
        <v>42907</v>
      </c>
      <c r="E338" s="3">
        <v>7000</v>
      </c>
      <c r="F338" s="31" t="s">
        <v>57</v>
      </c>
      <c r="G338" s="27" t="s">
        <v>58</v>
      </c>
      <c r="H338" s="32" t="s">
        <v>59</v>
      </c>
      <c r="I338" s="10" t="s">
        <v>452</v>
      </c>
      <c r="J338" s="167" t="s">
        <v>453</v>
      </c>
      <c r="K338" s="33"/>
      <c r="L338" s="9" t="str">
        <f t="shared" si="38"/>
        <v>00337</v>
      </c>
      <c r="M338" s="71" t="str">
        <f t="shared" si="39"/>
        <v>21 de junio de 2017</v>
      </c>
      <c r="N338" s="39">
        <f t="shared" si="40"/>
        <v>42887</v>
      </c>
      <c r="O338" s="9" t="str">
        <f t="shared" si="45"/>
        <v>7.000,00</v>
      </c>
      <c r="P338" s="8" t="str">
        <f t="shared" si="41"/>
        <v>Siete Mil Bolívares con 00/100</v>
      </c>
      <c r="Q338" s="403" t="str">
        <f t="shared" si="42"/>
        <v/>
      </c>
    </row>
    <row r="339" spans="1:17" ht="15.75" thickBot="1" x14ac:dyDescent="0.3">
      <c r="A339" s="1">
        <f t="shared" si="43"/>
        <v>338</v>
      </c>
      <c r="C339" s="12" t="s">
        <v>17</v>
      </c>
      <c r="D339" s="2">
        <v>42907</v>
      </c>
      <c r="E339" s="3">
        <v>5000</v>
      </c>
      <c r="F339" t="s">
        <v>177</v>
      </c>
      <c r="G339" s="74" t="s">
        <v>178</v>
      </c>
      <c r="H339" t="s">
        <v>179</v>
      </c>
      <c r="I339" s="10" t="s">
        <v>468</v>
      </c>
      <c r="J339" s="167" t="s">
        <v>453</v>
      </c>
      <c r="L339" s="9" t="str">
        <f t="shared" si="38"/>
        <v>00338</v>
      </c>
      <c r="M339" s="71" t="str">
        <f t="shared" si="39"/>
        <v>21 de junio de 2017</v>
      </c>
      <c r="N339" s="39">
        <f t="shared" si="40"/>
        <v>42887</v>
      </c>
      <c r="O339" s="9" t="str">
        <f t="shared" si="45"/>
        <v>5.000,00</v>
      </c>
      <c r="P339" s="8" t="str">
        <f t="shared" si="41"/>
        <v>Cinco Mil Bolívares con 00/100</v>
      </c>
      <c r="Q339" s="403" t="str">
        <f t="shared" si="42"/>
        <v/>
      </c>
    </row>
    <row r="340" spans="1:17" x14ac:dyDescent="0.25">
      <c r="A340" s="1">
        <f t="shared" si="43"/>
        <v>339</v>
      </c>
      <c r="C340" s="12" t="s">
        <v>17</v>
      </c>
      <c r="D340" s="2">
        <v>42907</v>
      </c>
      <c r="E340" s="3">
        <v>9000</v>
      </c>
      <c r="F340" t="s">
        <v>219</v>
      </c>
      <c r="G340" t="s">
        <v>220</v>
      </c>
      <c r="H340" t="s">
        <v>221</v>
      </c>
      <c r="I340" s="10" t="s">
        <v>464</v>
      </c>
      <c r="J340" s="167" t="s">
        <v>22</v>
      </c>
      <c r="L340" s="9" t="str">
        <f t="shared" si="38"/>
        <v>00339</v>
      </c>
      <c r="M340" s="71" t="str">
        <f t="shared" si="39"/>
        <v>21 de junio de 2017</v>
      </c>
      <c r="N340" s="39">
        <f t="shared" si="40"/>
        <v>42887</v>
      </c>
      <c r="O340" s="9" t="str">
        <f t="shared" si="45"/>
        <v>9.000,00</v>
      </c>
      <c r="P340" s="8" t="str">
        <f t="shared" si="41"/>
        <v>Nueve Mil Bolívares con 00/100</v>
      </c>
      <c r="Q340" s="403" t="str">
        <f t="shared" si="42"/>
        <v/>
      </c>
    </row>
    <row r="341" spans="1:17" x14ac:dyDescent="0.25">
      <c r="A341" s="1">
        <f t="shared" si="43"/>
        <v>340</v>
      </c>
      <c r="C341" s="12" t="s">
        <v>17</v>
      </c>
      <c r="D341" s="2">
        <v>42907</v>
      </c>
      <c r="E341" s="3">
        <v>7000</v>
      </c>
      <c r="F341" t="s">
        <v>219</v>
      </c>
      <c r="G341" t="s">
        <v>220</v>
      </c>
      <c r="H341" t="s">
        <v>221</v>
      </c>
      <c r="I341" s="10" t="s">
        <v>452</v>
      </c>
      <c r="J341" s="167" t="s">
        <v>453</v>
      </c>
      <c r="L341" s="9" t="str">
        <f t="shared" si="38"/>
        <v>00340</v>
      </c>
      <c r="M341" s="71" t="str">
        <f t="shared" si="39"/>
        <v>21 de junio de 2017</v>
      </c>
      <c r="N341" s="39">
        <f t="shared" si="40"/>
        <v>42887</v>
      </c>
      <c r="O341" s="9" t="str">
        <f t="shared" si="45"/>
        <v>7.000,00</v>
      </c>
      <c r="P341" s="8" t="str">
        <f t="shared" si="41"/>
        <v>Siete Mil Bolívares con 00/100</v>
      </c>
      <c r="Q341" s="403" t="str">
        <f t="shared" si="42"/>
        <v/>
      </c>
    </row>
    <row r="342" spans="1:17" x14ac:dyDescent="0.25">
      <c r="A342" s="1">
        <f t="shared" si="43"/>
        <v>341</v>
      </c>
      <c r="C342" s="12" t="s">
        <v>17</v>
      </c>
      <c r="D342" s="2">
        <v>42907</v>
      </c>
      <c r="E342" s="3">
        <v>7000</v>
      </c>
      <c r="F342" t="s">
        <v>162</v>
      </c>
      <c r="G342" t="s">
        <v>163</v>
      </c>
      <c r="H342" t="s">
        <v>164</v>
      </c>
      <c r="I342" s="10" t="s">
        <v>452</v>
      </c>
      <c r="J342" s="167" t="s">
        <v>453</v>
      </c>
      <c r="L342" s="9" t="str">
        <f t="shared" si="38"/>
        <v>00341</v>
      </c>
      <c r="M342" s="71" t="str">
        <f t="shared" si="39"/>
        <v>21 de junio de 2017</v>
      </c>
      <c r="N342" s="39">
        <f t="shared" si="40"/>
        <v>42887</v>
      </c>
      <c r="O342" s="9" t="str">
        <f t="shared" si="45"/>
        <v>7.000,00</v>
      </c>
      <c r="P342" s="8" t="str">
        <f t="shared" si="41"/>
        <v>Siete Mil Bolívares con 00/100</v>
      </c>
      <c r="Q342" s="403" t="str">
        <f t="shared" si="42"/>
        <v/>
      </c>
    </row>
    <row r="343" spans="1:17" x14ac:dyDescent="0.25">
      <c r="A343" s="1">
        <f t="shared" si="43"/>
        <v>342</v>
      </c>
      <c r="C343" s="12" t="s">
        <v>17</v>
      </c>
      <c r="D343" s="2">
        <v>42907</v>
      </c>
      <c r="E343" s="3">
        <v>7000</v>
      </c>
      <c r="F343" t="s">
        <v>66</v>
      </c>
      <c r="G343" t="s">
        <v>67</v>
      </c>
      <c r="H343" t="s">
        <v>68</v>
      </c>
      <c r="I343" s="10" t="s">
        <v>452</v>
      </c>
      <c r="J343" s="167" t="s">
        <v>453</v>
      </c>
      <c r="L343" s="9" t="str">
        <f t="shared" si="38"/>
        <v>00342</v>
      </c>
      <c r="M343" s="71" t="str">
        <f t="shared" si="39"/>
        <v>21 de junio de 2017</v>
      </c>
      <c r="N343" s="39">
        <f t="shared" si="40"/>
        <v>42887</v>
      </c>
      <c r="O343" s="9" t="str">
        <f t="shared" si="45"/>
        <v>7.000,00</v>
      </c>
      <c r="P343" s="8" t="str">
        <f t="shared" si="41"/>
        <v>Siete Mil Bolívares con 00/100</v>
      </c>
      <c r="Q343" s="403" t="str">
        <f t="shared" si="42"/>
        <v/>
      </c>
    </row>
    <row r="344" spans="1:17" x14ac:dyDescent="0.25">
      <c r="A344" s="1">
        <f t="shared" si="43"/>
        <v>343</v>
      </c>
      <c r="C344" s="12" t="s">
        <v>17</v>
      </c>
      <c r="D344" s="2">
        <v>42907</v>
      </c>
      <c r="E344" s="3">
        <v>26000</v>
      </c>
      <c r="F344" t="s">
        <v>152</v>
      </c>
      <c r="G344" t="s">
        <v>153</v>
      </c>
      <c r="H344" t="s">
        <v>154</v>
      </c>
      <c r="I344" s="10" t="s">
        <v>446</v>
      </c>
      <c r="J344" s="167" t="s">
        <v>22</v>
      </c>
      <c r="L344" s="9" t="str">
        <f t="shared" si="38"/>
        <v>00343</v>
      </c>
      <c r="M344" s="71" t="str">
        <f t="shared" si="39"/>
        <v>21 de junio de 2017</v>
      </c>
      <c r="N344" s="39">
        <f t="shared" si="40"/>
        <v>42887</v>
      </c>
      <c r="O344" s="9" t="str">
        <f t="shared" si="45"/>
        <v>26.000,00</v>
      </c>
      <c r="P344" s="8" t="str">
        <f t="shared" si="41"/>
        <v>Veintiseis Mil Bolívares con 00/100</v>
      </c>
      <c r="Q344" s="403" t="str">
        <f t="shared" si="42"/>
        <v/>
      </c>
    </row>
    <row r="345" spans="1:17" x14ac:dyDescent="0.25">
      <c r="A345" s="1">
        <f t="shared" si="43"/>
        <v>344</v>
      </c>
      <c r="C345" s="12" t="s">
        <v>17</v>
      </c>
      <c r="D345" s="2">
        <v>42907</v>
      </c>
      <c r="E345" s="3">
        <v>7000</v>
      </c>
      <c r="F345" t="s">
        <v>152</v>
      </c>
      <c r="G345" t="s">
        <v>153</v>
      </c>
      <c r="H345" t="s">
        <v>154</v>
      </c>
      <c r="I345" s="10" t="s">
        <v>452</v>
      </c>
      <c r="J345" s="167" t="s">
        <v>453</v>
      </c>
      <c r="L345" s="9" t="str">
        <f t="shared" si="38"/>
        <v>00344</v>
      </c>
      <c r="M345" s="71" t="str">
        <f t="shared" si="39"/>
        <v>21 de junio de 2017</v>
      </c>
      <c r="N345" s="39">
        <f t="shared" si="40"/>
        <v>42887</v>
      </c>
      <c r="O345" s="9" t="str">
        <f t="shared" si="45"/>
        <v>7.000,00</v>
      </c>
      <c r="P345" s="8" t="str">
        <f t="shared" si="41"/>
        <v>Siete Mil Bolívares con 00/100</v>
      </c>
      <c r="Q345" s="403" t="str">
        <f t="shared" si="42"/>
        <v/>
      </c>
    </row>
    <row r="346" spans="1:17" x14ac:dyDescent="0.25">
      <c r="A346" s="1">
        <f t="shared" si="43"/>
        <v>345</v>
      </c>
      <c r="C346" s="12" t="s">
        <v>17</v>
      </c>
      <c r="D346" s="2">
        <v>42908</v>
      </c>
      <c r="E346" s="3">
        <v>7000</v>
      </c>
      <c r="F346" t="s">
        <v>103</v>
      </c>
      <c r="G346" t="s">
        <v>104</v>
      </c>
      <c r="H346" t="s">
        <v>105</v>
      </c>
      <c r="I346" s="10" t="s">
        <v>452</v>
      </c>
      <c r="J346" s="167" t="s">
        <v>453</v>
      </c>
      <c r="L346" s="9" t="str">
        <f t="shared" si="38"/>
        <v>00345</v>
      </c>
      <c r="M346" s="71" t="str">
        <f t="shared" si="39"/>
        <v>22 de junio de 2017</v>
      </c>
      <c r="N346" s="39">
        <f t="shared" si="40"/>
        <v>42887</v>
      </c>
      <c r="O346" s="9" t="str">
        <f t="shared" si="45"/>
        <v>7.000,00</v>
      </c>
      <c r="P346" s="8" t="str">
        <f t="shared" si="41"/>
        <v>Siete Mil Bolívares con 00/100</v>
      </c>
      <c r="Q346" s="403" t="str">
        <f t="shared" si="42"/>
        <v/>
      </c>
    </row>
    <row r="347" spans="1:17" ht="15.75" thickBot="1" x14ac:dyDescent="0.3">
      <c r="A347" s="1">
        <f t="shared" si="43"/>
        <v>346</v>
      </c>
      <c r="C347" s="12" t="s">
        <v>17</v>
      </c>
      <c r="D347" s="2">
        <v>42908</v>
      </c>
      <c r="E347" s="3">
        <v>3000</v>
      </c>
      <c r="F347" t="s">
        <v>324</v>
      </c>
      <c r="G347" t="s">
        <v>325</v>
      </c>
      <c r="H347" t="s">
        <v>326</v>
      </c>
      <c r="I347" s="10" t="s">
        <v>458</v>
      </c>
      <c r="J347" s="167" t="s">
        <v>453</v>
      </c>
      <c r="L347" s="9" t="str">
        <f t="shared" si="38"/>
        <v>00346</v>
      </c>
      <c r="M347" s="71" t="str">
        <f t="shared" si="39"/>
        <v>22 de junio de 2017</v>
      </c>
      <c r="N347" s="39">
        <f t="shared" si="40"/>
        <v>42887</v>
      </c>
      <c r="O347" s="9" t="str">
        <f t="shared" si="45"/>
        <v>3.000,00</v>
      </c>
      <c r="P347" s="8" t="str">
        <f t="shared" si="41"/>
        <v>Tres Mil Bolívares con 00/100</v>
      </c>
      <c r="Q347" s="403" t="str">
        <f t="shared" si="42"/>
        <v/>
      </c>
    </row>
    <row r="348" spans="1:17" ht="15.75" thickBot="1" x14ac:dyDescent="0.3">
      <c r="A348" s="1">
        <f t="shared" si="43"/>
        <v>347</v>
      </c>
      <c r="C348" s="12" t="s">
        <v>17</v>
      </c>
      <c r="D348" s="2">
        <v>42908</v>
      </c>
      <c r="E348" s="3">
        <v>7000</v>
      </c>
      <c r="F348" t="s">
        <v>259</v>
      </c>
      <c r="G348" s="27" t="s">
        <v>58</v>
      </c>
      <c r="H348" t="s">
        <v>261</v>
      </c>
      <c r="I348" s="10" t="s">
        <v>452</v>
      </c>
      <c r="J348" s="167" t="s">
        <v>453</v>
      </c>
      <c r="L348" s="9" t="str">
        <f t="shared" si="38"/>
        <v>00347</v>
      </c>
      <c r="M348" s="71" t="str">
        <f t="shared" si="39"/>
        <v>22 de junio de 2017</v>
      </c>
      <c r="N348" s="39">
        <f t="shared" si="40"/>
        <v>42887</v>
      </c>
      <c r="O348" s="9" t="str">
        <f t="shared" si="45"/>
        <v>7.000,00</v>
      </c>
      <c r="P348" s="8" t="str">
        <f t="shared" si="41"/>
        <v>Siete Mil Bolívares con 00/100</v>
      </c>
      <c r="Q348" s="403" t="str">
        <f t="shared" si="42"/>
        <v/>
      </c>
    </row>
    <row r="349" spans="1:17" x14ac:dyDescent="0.25">
      <c r="A349" s="1">
        <f t="shared" si="43"/>
        <v>348</v>
      </c>
      <c r="C349" s="12" t="s">
        <v>17</v>
      </c>
      <c r="D349" s="2">
        <v>42908</v>
      </c>
      <c r="E349" s="3">
        <v>4320</v>
      </c>
      <c r="F349" t="s">
        <v>28</v>
      </c>
      <c r="G349" t="s">
        <v>29</v>
      </c>
      <c r="H349" t="s">
        <v>30</v>
      </c>
      <c r="I349" s="10" t="s">
        <v>458</v>
      </c>
      <c r="J349" s="167" t="s">
        <v>453</v>
      </c>
      <c r="L349" s="9" t="str">
        <f t="shared" si="38"/>
        <v>00348</v>
      </c>
      <c r="M349" s="71" t="str">
        <f t="shared" si="39"/>
        <v>22 de junio de 2017</v>
      </c>
      <c r="N349" s="39">
        <f t="shared" si="40"/>
        <v>42887</v>
      </c>
      <c r="O349" s="9" t="str">
        <f t="shared" si="45"/>
        <v>4.320,00</v>
      </c>
      <c r="P349" s="8" t="str">
        <f t="shared" si="41"/>
        <v>Cuatro Mil Trescientos Veinte Bolívares con 00/100</v>
      </c>
      <c r="Q349" s="403" t="str">
        <f t="shared" si="42"/>
        <v/>
      </c>
    </row>
    <row r="350" spans="1:17" x14ac:dyDescent="0.25">
      <c r="A350" s="1">
        <f t="shared" si="43"/>
        <v>349</v>
      </c>
      <c r="C350" s="12" t="s">
        <v>17</v>
      </c>
      <c r="D350" s="2">
        <v>42908</v>
      </c>
      <c r="E350" s="3">
        <v>26000</v>
      </c>
      <c r="F350" t="s">
        <v>211</v>
      </c>
      <c r="G350" t="s">
        <v>212</v>
      </c>
      <c r="H350" t="s">
        <v>213</v>
      </c>
      <c r="I350" s="10" t="s">
        <v>446</v>
      </c>
      <c r="J350" s="167" t="s">
        <v>22</v>
      </c>
      <c r="L350" s="9" t="str">
        <f t="shared" si="38"/>
        <v>00349</v>
      </c>
      <c r="M350" s="71" t="str">
        <f t="shared" si="39"/>
        <v>22 de junio de 2017</v>
      </c>
      <c r="N350" s="39">
        <f t="shared" si="40"/>
        <v>42887</v>
      </c>
      <c r="O350" s="9" t="str">
        <f t="shared" si="45"/>
        <v>26.000,00</v>
      </c>
      <c r="P350" s="8" t="str">
        <f t="shared" si="41"/>
        <v>Veintiseis Mil Bolívares con 00/100</v>
      </c>
      <c r="Q350" s="403" t="str">
        <f t="shared" si="42"/>
        <v/>
      </c>
    </row>
    <row r="351" spans="1:17" x14ac:dyDescent="0.25">
      <c r="A351" s="1">
        <f t="shared" si="43"/>
        <v>350</v>
      </c>
      <c r="C351" s="12" t="s">
        <v>17</v>
      </c>
      <c r="D351" s="2">
        <v>42908</v>
      </c>
      <c r="E351" s="3">
        <v>7000</v>
      </c>
      <c r="F351" t="s">
        <v>211</v>
      </c>
      <c r="G351" t="s">
        <v>212</v>
      </c>
      <c r="H351" t="s">
        <v>213</v>
      </c>
      <c r="I351" s="10" t="s">
        <v>452</v>
      </c>
      <c r="J351" s="167" t="s">
        <v>453</v>
      </c>
      <c r="L351" s="9" t="str">
        <f t="shared" si="38"/>
        <v>00350</v>
      </c>
      <c r="M351" s="71" t="str">
        <f t="shared" si="39"/>
        <v>22 de junio de 2017</v>
      </c>
      <c r="N351" s="39">
        <f t="shared" si="40"/>
        <v>42887</v>
      </c>
      <c r="O351" s="9" t="str">
        <f t="shared" ref="O351:O366" si="46">TEXT(E351,"#.##0,00")</f>
        <v>7.000,00</v>
      </c>
      <c r="P351" s="8" t="str">
        <f t="shared" si="41"/>
        <v>Siete Mil Bolívares con 00/100</v>
      </c>
      <c r="Q351" s="403" t="str">
        <f t="shared" si="42"/>
        <v/>
      </c>
    </row>
    <row r="352" spans="1:17" x14ac:dyDescent="0.25">
      <c r="A352" s="1">
        <f t="shared" si="43"/>
        <v>351</v>
      </c>
      <c r="C352" s="12" t="s">
        <v>17</v>
      </c>
      <c r="D352" s="2">
        <v>42908</v>
      </c>
      <c r="E352" s="3">
        <v>26000</v>
      </c>
      <c r="F352" t="s">
        <v>230</v>
      </c>
      <c r="G352" t="s">
        <v>231</v>
      </c>
      <c r="H352" t="s">
        <v>232</v>
      </c>
      <c r="I352" s="10" t="s">
        <v>421</v>
      </c>
      <c r="J352" s="167" t="s">
        <v>22</v>
      </c>
      <c r="L352" s="9" t="str">
        <f t="shared" si="38"/>
        <v>00351</v>
      </c>
      <c r="M352" s="71" t="str">
        <f t="shared" si="39"/>
        <v>22 de junio de 2017</v>
      </c>
      <c r="N352" s="39">
        <f t="shared" si="40"/>
        <v>42887</v>
      </c>
      <c r="O352" s="9" t="str">
        <f t="shared" si="46"/>
        <v>26.000,00</v>
      </c>
      <c r="P352" s="8" t="str">
        <f t="shared" si="41"/>
        <v>Veintiseis Mil Bolívares con 00/100</v>
      </c>
      <c r="Q352" s="403" t="str">
        <f t="shared" si="42"/>
        <v/>
      </c>
    </row>
    <row r="353" spans="1:17" x14ac:dyDescent="0.25">
      <c r="A353" s="1">
        <f t="shared" si="43"/>
        <v>352</v>
      </c>
      <c r="C353" s="12" t="s">
        <v>17</v>
      </c>
      <c r="D353" s="2">
        <v>42908</v>
      </c>
      <c r="E353" s="3">
        <v>7000</v>
      </c>
      <c r="F353" t="s">
        <v>138</v>
      </c>
      <c r="G353" t="s">
        <v>139</v>
      </c>
      <c r="H353" t="s">
        <v>140</v>
      </c>
      <c r="I353" s="10" t="s">
        <v>452</v>
      </c>
      <c r="J353" s="167" t="s">
        <v>453</v>
      </c>
      <c r="L353" s="9" t="str">
        <f t="shared" si="38"/>
        <v>00352</v>
      </c>
      <c r="M353" s="71" t="str">
        <f t="shared" si="39"/>
        <v>22 de junio de 2017</v>
      </c>
      <c r="N353" s="39">
        <f t="shared" si="40"/>
        <v>42887</v>
      </c>
      <c r="O353" s="9" t="str">
        <f t="shared" si="46"/>
        <v>7.000,00</v>
      </c>
      <c r="P353" s="8" t="str">
        <f t="shared" si="41"/>
        <v>Siete Mil Bolívares con 00/100</v>
      </c>
      <c r="Q353" s="403" t="str">
        <f t="shared" si="42"/>
        <v/>
      </c>
    </row>
    <row r="354" spans="1:17" x14ac:dyDescent="0.25">
      <c r="A354" s="1">
        <f t="shared" si="43"/>
        <v>353</v>
      </c>
      <c r="C354" s="12" t="s">
        <v>17</v>
      </c>
      <c r="D354" s="2">
        <v>42909</v>
      </c>
      <c r="E354" s="3">
        <v>7000</v>
      </c>
      <c r="F354" t="s">
        <v>312</v>
      </c>
      <c r="G354" t="s">
        <v>313</v>
      </c>
      <c r="H354" t="s">
        <v>314</v>
      </c>
      <c r="I354" s="10" t="s">
        <v>452</v>
      </c>
      <c r="J354" s="167" t="s">
        <v>453</v>
      </c>
      <c r="L354" s="9" t="str">
        <f t="shared" si="38"/>
        <v>00353</v>
      </c>
      <c r="M354" s="71" t="str">
        <f t="shared" si="39"/>
        <v>23 de junio de 2017</v>
      </c>
      <c r="N354" s="39">
        <f t="shared" si="40"/>
        <v>42887</v>
      </c>
      <c r="O354" s="9" t="str">
        <f t="shared" si="46"/>
        <v>7.000,00</v>
      </c>
      <c r="P354" s="8" t="str">
        <f t="shared" si="41"/>
        <v>Siete Mil Bolívares con 00/100</v>
      </c>
      <c r="Q354" s="403" t="str">
        <f t="shared" si="42"/>
        <v/>
      </c>
    </row>
    <row r="355" spans="1:17" x14ac:dyDescent="0.25">
      <c r="A355" s="1">
        <f t="shared" si="43"/>
        <v>354</v>
      </c>
      <c r="C355" s="12" t="s">
        <v>17</v>
      </c>
      <c r="D355" s="2">
        <v>42910</v>
      </c>
      <c r="E355" s="3">
        <v>30000</v>
      </c>
      <c r="F355" t="s">
        <v>413</v>
      </c>
      <c r="G355" t="s">
        <v>414</v>
      </c>
      <c r="H355" t="s">
        <v>415</v>
      </c>
      <c r="I355" s="10" t="s">
        <v>469</v>
      </c>
      <c r="J355" s="167" t="s">
        <v>22</v>
      </c>
      <c r="L355" s="9" t="str">
        <f t="shared" si="38"/>
        <v>00354</v>
      </c>
      <c r="M355" s="71" t="str">
        <f t="shared" si="39"/>
        <v>24 de junio de 2017</v>
      </c>
      <c r="N355" s="39">
        <f t="shared" si="40"/>
        <v>42887</v>
      </c>
      <c r="O355" s="9" t="str">
        <f t="shared" si="46"/>
        <v>30.000,00</v>
      </c>
      <c r="P355" s="8" t="str">
        <f t="shared" si="41"/>
        <v>Treinta Mil Bolívares con 00/100</v>
      </c>
      <c r="Q355" s="403" t="str">
        <f t="shared" si="42"/>
        <v/>
      </c>
    </row>
    <row r="356" spans="1:17" x14ac:dyDescent="0.25">
      <c r="A356" s="1">
        <f t="shared" si="43"/>
        <v>355</v>
      </c>
      <c r="C356" s="12" t="s">
        <v>17</v>
      </c>
      <c r="D356" s="2">
        <v>42910</v>
      </c>
      <c r="E356" s="3">
        <v>20000</v>
      </c>
      <c r="F356" t="s">
        <v>118</v>
      </c>
      <c r="G356" t="s">
        <v>119</v>
      </c>
      <c r="H356" t="s">
        <v>120</v>
      </c>
      <c r="I356" s="10" t="s">
        <v>447</v>
      </c>
      <c r="J356" s="167" t="s">
        <v>22</v>
      </c>
      <c r="L356" s="9" t="str">
        <f t="shared" si="38"/>
        <v>00355</v>
      </c>
      <c r="M356" s="71" t="str">
        <f t="shared" si="39"/>
        <v>24 de junio de 2017</v>
      </c>
      <c r="N356" s="39">
        <f t="shared" si="40"/>
        <v>42887</v>
      </c>
      <c r="O356" s="9" t="str">
        <f t="shared" si="46"/>
        <v>20.000,00</v>
      </c>
      <c r="P356" s="8" t="str">
        <f t="shared" si="41"/>
        <v>Veinte Mil Bolívares con 00/100</v>
      </c>
      <c r="Q356" s="403" t="str">
        <f t="shared" si="42"/>
        <v/>
      </c>
    </row>
    <row r="357" spans="1:17" x14ac:dyDescent="0.25">
      <c r="A357" s="1">
        <f t="shared" si="43"/>
        <v>356</v>
      </c>
      <c r="C357" s="12" t="s">
        <v>17</v>
      </c>
      <c r="D357" s="2">
        <v>42912</v>
      </c>
      <c r="E357" s="3">
        <v>7000</v>
      </c>
      <c r="F357" t="s">
        <v>80</v>
      </c>
      <c r="G357" t="s">
        <v>81</v>
      </c>
      <c r="H357" t="s">
        <v>82</v>
      </c>
      <c r="I357" s="10" t="s">
        <v>452</v>
      </c>
      <c r="J357" s="167" t="s">
        <v>453</v>
      </c>
      <c r="L357" s="9" t="str">
        <f t="shared" si="38"/>
        <v>00356</v>
      </c>
      <c r="M357" s="71" t="str">
        <f t="shared" si="39"/>
        <v>26 de junio de 2017</v>
      </c>
      <c r="N357" s="39">
        <f t="shared" si="40"/>
        <v>42887</v>
      </c>
      <c r="O357" s="9" t="str">
        <f t="shared" si="46"/>
        <v>7.000,00</v>
      </c>
      <c r="P357" s="8" t="str">
        <f t="shared" si="41"/>
        <v>Siete Mil Bolívares con 00/100</v>
      </c>
      <c r="Q357" s="403" t="str">
        <f t="shared" si="42"/>
        <v/>
      </c>
    </row>
    <row r="358" spans="1:17" x14ac:dyDescent="0.25">
      <c r="A358" s="1">
        <f t="shared" si="43"/>
        <v>357</v>
      </c>
      <c r="C358" s="12" t="s">
        <v>17</v>
      </c>
      <c r="D358" s="2">
        <v>42912</v>
      </c>
      <c r="E358" s="3">
        <v>26000</v>
      </c>
      <c r="F358" t="s">
        <v>126</v>
      </c>
      <c r="G358" t="s">
        <v>127</v>
      </c>
      <c r="H358" t="s">
        <v>128</v>
      </c>
      <c r="I358" s="10" t="s">
        <v>446</v>
      </c>
      <c r="J358" s="167" t="s">
        <v>22</v>
      </c>
      <c r="L358" s="9" t="str">
        <f t="shared" si="38"/>
        <v>00357</v>
      </c>
      <c r="M358" s="71" t="str">
        <f t="shared" si="39"/>
        <v>26 de junio de 2017</v>
      </c>
      <c r="N358" s="39">
        <f t="shared" si="40"/>
        <v>42887</v>
      </c>
      <c r="O358" s="9" t="str">
        <f t="shared" si="46"/>
        <v>26.000,00</v>
      </c>
      <c r="P358" s="8" t="str">
        <f t="shared" si="41"/>
        <v>Veintiseis Mil Bolívares con 00/100</v>
      </c>
      <c r="Q358" s="403" t="str">
        <f t="shared" si="42"/>
        <v/>
      </c>
    </row>
    <row r="359" spans="1:17" x14ac:dyDescent="0.25">
      <c r="A359" s="1">
        <f t="shared" si="43"/>
        <v>358</v>
      </c>
      <c r="C359" s="12" t="s">
        <v>17</v>
      </c>
      <c r="D359" s="2">
        <v>42912</v>
      </c>
      <c r="E359" s="3">
        <v>26000</v>
      </c>
      <c r="F359" t="s">
        <v>363</v>
      </c>
      <c r="G359" t="s">
        <v>364</v>
      </c>
      <c r="H359" t="s">
        <v>365</v>
      </c>
      <c r="I359" s="10" t="s">
        <v>421</v>
      </c>
      <c r="J359" s="167" t="s">
        <v>22</v>
      </c>
      <c r="L359" s="9" t="str">
        <f t="shared" si="38"/>
        <v>00358</v>
      </c>
      <c r="M359" s="71" t="str">
        <f t="shared" si="39"/>
        <v>26 de junio de 2017</v>
      </c>
      <c r="N359" s="39">
        <f t="shared" si="40"/>
        <v>42887</v>
      </c>
      <c r="O359" s="9" t="str">
        <f t="shared" si="46"/>
        <v>26.000,00</v>
      </c>
      <c r="P359" s="8" t="str">
        <f t="shared" si="41"/>
        <v>Veintiseis Mil Bolívares con 00/100</v>
      </c>
      <c r="Q359" s="403" t="str">
        <f t="shared" si="42"/>
        <v/>
      </c>
    </row>
    <row r="360" spans="1:17" ht="15.75" thickBot="1" x14ac:dyDescent="0.3">
      <c r="A360" s="1">
        <f t="shared" si="43"/>
        <v>359</v>
      </c>
      <c r="C360" s="12" t="s">
        <v>17</v>
      </c>
      <c r="D360" s="2">
        <v>42912</v>
      </c>
      <c r="E360" s="3">
        <v>7000</v>
      </c>
      <c r="F360" t="s">
        <v>363</v>
      </c>
      <c r="G360" t="s">
        <v>364</v>
      </c>
      <c r="H360" t="s">
        <v>365</v>
      </c>
      <c r="I360" s="10" t="s">
        <v>452</v>
      </c>
      <c r="J360" s="167" t="s">
        <v>453</v>
      </c>
      <c r="L360" s="9" t="str">
        <f t="shared" si="38"/>
        <v>00359</v>
      </c>
      <c r="M360" s="71" t="str">
        <f t="shared" si="39"/>
        <v>26 de junio de 2017</v>
      </c>
      <c r="N360" s="39">
        <f t="shared" si="40"/>
        <v>42887</v>
      </c>
      <c r="O360" s="9" t="str">
        <f t="shared" si="46"/>
        <v>7.000,00</v>
      </c>
      <c r="P360" s="8" t="str">
        <f t="shared" si="41"/>
        <v>Siete Mil Bolívares con 00/100</v>
      </c>
      <c r="Q360" s="403" t="str">
        <f t="shared" si="42"/>
        <v/>
      </c>
    </row>
    <row r="361" spans="1:17" ht="15.75" thickBot="1" x14ac:dyDescent="0.3">
      <c r="A361" s="1">
        <f t="shared" si="43"/>
        <v>360</v>
      </c>
      <c r="C361" s="12" t="s">
        <v>17</v>
      </c>
      <c r="D361" s="2">
        <v>42912</v>
      </c>
      <c r="E361" s="3">
        <v>7000</v>
      </c>
      <c r="F361" t="s">
        <v>303</v>
      </c>
      <c r="G361" s="27" t="s">
        <v>58</v>
      </c>
      <c r="H361" t="s">
        <v>304</v>
      </c>
      <c r="I361" s="10" t="s">
        <v>452</v>
      </c>
      <c r="J361" s="167" t="s">
        <v>453</v>
      </c>
      <c r="L361" s="9" t="str">
        <f t="shared" si="38"/>
        <v>00360</v>
      </c>
      <c r="M361" s="71" t="str">
        <f t="shared" si="39"/>
        <v>26 de junio de 2017</v>
      </c>
      <c r="N361" s="39">
        <f t="shared" si="40"/>
        <v>42887</v>
      </c>
      <c r="O361" s="9" t="str">
        <f t="shared" si="46"/>
        <v>7.000,00</v>
      </c>
      <c r="P361" s="8" t="str">
        <f t="shared" si="41"/>
        <v>Siete Mil Bolívares con 00/100</v>
      </c>
      <c r="Q361" s="403" t="str">
        <f t="shared" si="42"/>
        <v/>
      </c>
    </row>
    <row r="362" spans="1:17" x14ac:dyDescent="0.25">
      <c r="A362" s="1">
        <f t="shared" si="43"/>
        <v>361</v>
      </c>
      <c r="C362" s="12" t="s">
        <v>17</v>
      </c>
      <c r="D362" s="2">
        <v>42913</v>
      </c>
      <c r="E362" s="3">
        <v>7000</v>
      </c>
      <c r="F362" t="s">
        <v>444</v>
      </c>
      <c r="G362" t="s">
        <v>445</v>
      </c>
      <c r="H362" t="s">
        <v>75</v>
      </c>
      <c r="I362" s="10" t="s">
        <v>452</v>
      </c>
      <c r="J362" s="167" t="s">
        <v>453</v>
      </c>
      <c r="L362" s="9" t="str">
        <f t="shared" si="38"/>
        <v>00361</v>
      </c>
      <c r="M362" s="71" t="str">
        <f t="shared" si="39"/>
        <v>27 de junio de 2017</v>
      </c>
      <c r="N362" s="39">
        <f t="shared" si="40"/>
        <v>42887</v>
      </c>
      <c r="O362" s="9" t="str">
        <f t="shared" si="46"/>
        <v>7.000,00</v>
      </c>
      <c r="P362" s="8" t="str">
        <f t="shared" si="41"/>
        <v>Siete Mil Bolívares con 00/100</v>
      </c>
      <c r="Q362" s="403" t="str">
        <f t="shared" si="42"/>
        <v/>
      </c>
    </row>
    <row r="363" spans="1:17" x14ac:dyDescent="0.25">
      <c r="A363" s="1">
        <f t="shared" si="43"/>
        <v>362</v>
      </c>
      <c r="C363" s="12" t="s">
        <v>17</v>
      </c>
      <c r="D363" s="2">
        <v>42914</v>
      </c>
      <c r="E363" s="3">
        <v>3000</v>
      </c>
      <c r="F363" t="s">
        <v>144</v>
      </c>
      <c r="G363" t="s">
        <v>145</v>
      </c>
      <c r="H363" t="s">
        <v>146</v>
      </c>
      <c r="I363" s="10" t="s">
        <v>428</v>
      </c>
      <c r="J363" s="167" t="s">
        <v>22</v>
      </c>
      <c r="L363" s="9" t="str">
        <f t="shared" si="38"/>
        <v>00362</v>
      </c>
      <c r="M363" s="71" t="str">
        <f t="shared" si="39"/>
        <v>28 de junio de 2017</v>
      </c>
      <c r="N363" s="39">
        <f t="shared" si="40"/>
        <v>42887</v>
      </c>
      <c r="O363" s="9" t="str">
        <f t="shared" si="46"/>
        <v>3.000,00</v>
      </c>
      <c r="P363" s="8" t="str">
        <f t="shared" si="41"/>
        <v>Tres Mil Bolívares con 00/100</v>
      </c>
      <c r="Q363" s="403" t="str">
        <f t="shared" si="42"/>
        <v/>
      </c>
    </row>
    <row r="364" spans="1:17" x14ac:dyDescent="0.25">
      <c r="A364" s="1">
        <f t="shared" si="43"/>
        <v>363</v>
      </c>
      <c r="C364" s="12" t="s">
        <v>17</v>
      </c>
      <c r="D364" s="2">
        <v>42906</v>
      </c>
      <c r="E364" s="3">
        <v>26000</v>
      </c>
      <c r="F364" t="s">
        <v>122</v>
      </c>
      <c r="G364" t="s">
        <v>123</v>
      </c>
      <c r="H364" t="s">
        <v>124</v>
      </c>
      <c r="I364" s="10" t="s">
        <v>446</v>
      </c>
      <c r="J364" s="167" t="s">
        <v>22</v>
      </c>
      <c r="L364" s="9" t="str">
        <f t="shared" si="38"/>
        <v>00363</v>
      </c>
      <c r="M364" s="71" t="str">
        <f t="shared" si="39"/>
        <v>20 de junio de 2017</v>
      </c>
      <c r="N364" s="39">
        <f t="shared" si="40"/>
        <v>42887</v>
      </c>
      <c r="O364" s="9" t="str">
        <f t="shared" si="46"/>
        <v>26.000,00</v>
      </c>
      <c r="P364" s="8" t="str">
        <f t="shared" si="41"/>
        <v>Veintiseis Mil Bolívares con 00/100</v>
      </c>
      <c r="Q364" s="403" t="str">
        <f t="shared" si="42"/>
        <v/>
      </c>
    </row>
    <row r="365" spans="1:17" x14ac:dyDescent="0.25">
      <c r="A365" s="1">
        <f t="shared" si="43"/>
        <v>364</v>
      </c>
      <c r="C365" s="12" t="s">
        <v>225</v>
      </c>
      <c r="D365" s="2">
        <v>42914</v>
      </c>
      <c r="E365" s="3">
        <v>7000</v>
      </c>
      <c r="F365" t="s">
        <v>103</v>
      </c>
      <c r="G365" t="s">
        <v>104</v>
      </c>
      <c r="H365" t="s">
        <v>105</v>
      </c>
      <c r="I365" s="10" t="s">
        <v>470</v>
      </c>
      <c r="J365" s="167" t="s">
        <v>427</v>
      </c>
      <c r="L365" s="9" t="str">
        <f t="shared" si="38"/>
        <v>00364</v>
      </c>
      <c r="M365" s="71" t="str">
        <f t="shared" si="39"/>
        <v>28 de junio de 2017</v>
      </c>
      <c r="N365" s="39">
        <f t="shared" si="40"/>
        <v>42887</v>
      </c>
      <c r="O365" s="9" t="str">
        <f t="shared" si="46"/>
        <v>7.000,00</v>
      </c>
      <c r="P365" s="8" t="str">
        <f t="shared" si="41"/>
        <v>Siete Mil Bolívares con 00/100</v>
      </c>
      <c r="Q365" s="403" t="str">
        <f t="shared" si="42"/>
        <v>Anulado</v>
      </c>
    </row>
    <row r="366" spans="1:17" x14ac:dyDescent="0.25">
      <c r="A366" s="1">
        <f t="shared" si="43"/>
        <v>365</v>
      </c>
      <c r="C366" s="12" t="s">
        <v>17</v>
      </c>
      <c r="D366" s="2">
        <v>42914</v>
      </c>
      <c r="E366" s="3">
        <v>17000</v>
      </c>
      <c r="F366" t="s">
        <v>53</v>
      </c>
      <c r="G366" t="s">
        <v>54</v>
      </c>
      <c r="H366" t="s">
        <v>55</v>
      </c>
      <c r="I366" s="10" t="s">
        <v>396</v>
      </c>
      <c r="J366" s="167" t="s">
        <v>22</v>
      </c>
      <c r="L366" s="9" t="str">
        <f t="shared" si="38"/>
        <v>00365</v>
      </c>
      <c r="M366" s="71" t="str">
        <f t="shared" si="39"/>
        <v>28 de junio de 2017</v>
      </c>
      <c r="N366" s="39">
        <f t="shared" si="40"/>
        <v>42887</v>
      </c>
      <c r="O366" s="9" t="str">
        <f t="shared" si="46"/>
        <v>17.000,00</v>
      </c>
      <c r="P366" s="8" t="str">
        <f t="shared" si="41"/>
        <v>Diecisiete Mil Bolívares con 00/100</v>
      </c>
      <c r="Q366" s="403" t="str">
        <f t="shared" si="42"/>
        <v/>
      </c>
    </row>
    <row r="367" spans="1:17" x14ac:dyDescent="0.25">
      <c r="A367" s="1">
        <f t="shared" si="43"/>
        <v>366</v>
      </c>
      <c r="C367" s="12" t="s">
        <v>17</v>
      </c>
      <c r="D367" s="2">
        <v>42914</v>
      </c>
      <c r="E367" s="3">
        <f>26000*2</f>
        <v>52000</v>
      </c>
      <c r="F367" t="s">
        <v>53</v>
      </c>
      <c r="G367" t="s">
        <v>54</v>
      </c>
      <c r="H367" t="s">
        <v>55</v>
      </c>
      <c r="I367" s="10" t="s">
        <v>449</v>
      </c>
      <c r="J367" s="167" t="s">
        <v>22</v>
      </c>
      <c r="L367" s="9" t="str">
        <f t="shared" si="38"/>
        <v>00366</v>
      </c>
      <c r="M367" s="71" t="str">
        <f t="shared" si="39"/>
        <v>28 de junio de 2017</v>
      </c>
      <c r="N367" s="39">
        <f t="shared" si="40"/>
        <v>42887</v>
      </c>
      <c r="O367" s="9" t="str">
        <f>TEXT(E367,"#.##0,00")</f>
        <v>52.000,00</v>
      </c>
      <c r="P367" s="8" t="str">
        <f>CONVERTIRNUM(E367)</f>
        <v>Cincuenta y Dos Mil Bolívares con 00/100</v>
      </c>
      <c r="Q367" s="403" t="str">
        <f t="shared" si="42"/>
        <v/>
      </c>
    </row>
    <row r="368" spans="1:17" ht="15.75" thickBot="1" x14ac:dyDescent="0.3">
      <c r="A368" s="1">
        <f t="shared" si="43"/>
        <v>367</v>
      </c>
      <c r="C368" s="12" t="s">
        <v>17</v>
      </c>
      <c r="D368" s="2">
        <v>42915</v>
      </c>
      <c r="E368" s="3">
        <v>7000</v>
      </c>
      <c r="F368" t="s">
        <v>354</v>
      </c>
      <c r="G368" t="s">
        <v>355</v>
      </c>
      <c r="H368" t="s">
        <v>356</v>
      </c>
      <c r="I368" s="10" t="s">
        <v>452</v>
      </c>
      <c r="J368" s="167" t="s">
        <v>453</v>
      </c>
      <c r="L368" s="9" t="str">
        <f t="shared" si="38"/>
        <v>00367</v>
      </c>
      <c r="M368" s="71" t="str">
        <f t="shared" si="39"/>
        <v>29 de junio de 2017</v>
      </c>
      <c r="N368" s="39">
        <f t="shared" si="40"/>
        <v>42887</v>
      </c>
      <c r="O368" s="9" t="str">
        <f>TEXT(E368,"#.##0,00")</f>
        <v>7.000,00</v>
      </c>
      <c r="P368" s="8" t="str">
        <f>CONVERTIRNUM(E368)</f>
        <v>Siete Mil Bolívares con 00/100</v>
      </c>
      <c r="Q368" s="403" t="str">
        <f t="shared" si="42"/>
        <v/>
      </c>
    </row>
    <row r="369" spans="1:17" ht="15.75" thickBot="1" x14ac:dyDescent="0.3">
      <c r="A369" s="1">
        <f t="shared" si="43"/>
        <v>368</v>
      </c>
      <c r="C369" s="12" t="s">
        <v>17</v>
      </c>
      <c r="D369" s="2">
        <v>42916</v>
      </c>
      <c r="E369" s="3">
        <v>2000</v>
      </c>
      <c r="F369" t="s">
        <v>177</v>
      </c>
      <c r="G369" s="74" t="s">
        <v>178</v>
      </c>
      <c r="H369" t="s">
        <v>179</v>
      </c>
      <c r="I369" s="10" t="s">
        <v>471</v>
      </c>
      <c r="J369" s="167" t="s">
        <v>453</v>
      </c>
      <c r="L369" s="9" t="str">
        <f t="shared" si="38"/>
        <v>00368</v>
      </c>
      <c r="M369" s="71" t="str">
        <f t="shared" si="39"/>
        <v>30 de junio de 2017</v>
      </c>
      <c r="N369" s="39">
        <f t="shared" si="40"/>
        <v>42887</v>
      </c>
      <c r="O369" s="9" t="str">
        <f>TEXT(E369,"#.##0,00")</f>
        <v>2.000,00</v>
      </c>
      <c r="P369" s="8" t="str">
        <f>CONVERTIRNUM(E369)</f>
        <v>Dos Mil Bolívares con 00/100</v>
      </c>
      <c r="Q369" s="403" t="str">
        <f t="shared" si="42"/>
        <v/>
      </c>
    </row>
    <row r="370" spans="1:17" ht="15.75" thickBot="1" x14ac:dyDescent="0.3">
      <c r="A370" s="1">
        <f t="shared" si="43"/>
        <v>369</v>
      </c>
      <c r="C370" s="12" t="s">
        <v>17</v>
      </c>
      <c r="D370" s="2">
        <v>42916</v>
      </c>
      <c r="E370" s="3">
        <v>7000</v>
      </c>
      <c r="F370" t="s">
        <v>418</v>
      </c>
      <c r="G370" t="s">
        <v>419</v>
      </c>
      <c r="H370" t="s">
        <v>420</v>
      </c>
      <c r="I370" s="10" t="s">
        <v>452</v>
      </c>
      <c r="J370" s="167" t="s">
        <v>453</v>
      </c>
      <c r="L370" s="9" t="str">
        <f t="shared" si="38"/>
        <v>00369</v>
      </c>
      <c r="M370" s="71" t="str">
        <f t="shared" si="39"/>
        <v>30 de junio de 2017</v>
      </c>
      <c r="N370" s="39">
        <f t="shared" si="40"/>
        <v>42887</v>
      </c>
      <c r="O370" s="9" t="str">
        <f>TEXT(E370,"#.##0,00")</f>
        <v>7.000,00</v>
      </c>
      <c r="P370" s="8" t="str">
        <f>CONVERTIRNUM(E370)</f>
        <v>Siete Mil Bolívares con 00/100</v>
      </c>
      <c r="Q370" s="403" t="str">
        <f t="shared" si="42"/>
        <v/>
      </c>
    </row>
    <row r="371" spans="1:17" ht="15.75" thickBot="1" x14ac:dyDescent="0.3">
      <c r="A371" s="1">
        <f t="shared" si="43"/>
        <v>370</v>
      </c>
      <c r="C371" s="12" t="s">
        <v>17</v>
      </c>
      <c r="D371" s="2">
        <v>42916</v>
      </c>
      <c r="E371" s="3">
        <v>5000</v>
      </c>
      <c r="F371" t="s">
        <v>472</v>
      </c>
      <c r="G371" s="27" t="s">
        <v>58</v>
      </c>
      <c r="H371" t="s">
        <v>473</v>
      </c>
      <c r="I371" s="10" t="s">
        <v>458</v>
      </c>
      <c r="J371" s="167" t="s">
        <v>453</v>
      </c>
      <c r="L371" s="9" t="str">
        <f t="shared" si="38"/>
        <v>00370</v>
      </c>
      <c r="M371" s="71" t="str">
        <f t="shared" si="39"/>
        <v>30 de junio de 2017</v>
      </c>
      <c r="N371" s="39">
        <f t="shared" si="40"/>
        <v>42887</v>
      </c>
      <c r="O371" s="9" t="str">
        <f t="shared" ref="O371:O384" si="47">TEXT(E371,"#.##0,00")</f>
        <v>5.000,00</v>
      </c>
      <c r="P371" s="8" t="str">
        <f t="shared" ref="P371:P384" si="48">CONVERTIRNUM(E371)</f>
        <v>Cinco Mil Bolívares con 00/100</v>
      </c>
      <c r="Q371" s="403" t="str">
        <f t="shared" si="42"/>
        <v/>
      </c>
    </row>
    <row r="372" spans="1:17" x14ac:dyDescent="0.25">
      <c r="A372" s="1">
        <f t="shared" si="43"/>
        <v>371</v>
      </c>
      <c r="C372" s="12" t="s">
        <v>17</v>
      </c>
      <c r="D372" s="2">
        <v>42916</v>
      </c>
      <c r="E372" s="3">
        <v>27000</v>
      </c>
      <c r="F372" t="s">
        <v>44</v>
      </c>
      <c r="G372" t="s">
        <v>45</v>
      </c>
      <c r="H372" t="s">
        <v>46</v>
      </c>
      <c r="I372" s="10" t="s">
        <v>474</v>
      </c>
      <c r="J372" s="167" t="s">
        <v>22</v>
      </c>
      <c r="L372" s="9" t="str">
        <f t="shared" si="38"/>
        <v>00371</v>
      </c>
      <c r="M372" s="71" t="str">
        <f t="shared" si="39"/>
        <v>30 de junio de 2017</v>
      </c>
      <c r="N372" s="39">
        <f t="shared" si="40"/>
        <v>42887</v>
      </c>
      <c r="O372" s="9" t="str">
        <f t="shared" si="47"/>
        <v>27.000,00</v>
      </c>
      <c r="P372" s="8" t="str">
        <f t="shared" si="48"/>
        <v>Veintisiete Mil Bolívares con 00/100</v>
      </c>
      <c r="Q372" s="403" t="str">
        <f t="shared" si="42"/>
        <v/>
      </c>
    </row>
    <row r="373" spans="1:17" x14ac:dyDescent="0.25">
      <c r="A373" s="1">
        <f t="shared" si="43"/>
        <v>372</v>
      </c>
      <c r="C373" s="12" t="s">
        <v>17</v>
      </c>
      <c r="D373" s="2">
        <v>42918</v>
      </c>
      <c r="E373" s="3">
        <v>5000</v>
      </c>
      <c r="F373" t="s">
        <v>118</v>
      </c>
      <c r="G373" t="s">
        <v>119</v>
      </c>
      <c r="H373" t="s">
        <v>120</v>
      </c>
      <c r="I373" s="10" t="s">
        <v>458</v>
      </c>
      <c r="J373" s="167" t="s">
        <v>453</v>
      </c>
      <c r="L373" s="9" t="str">
        <f t="shared" si="38"/>
        <v>00372</v>
      </c>
      <c r="M373" s="71" t="str">
        <f t="shared" si="39"/>
        <v>02 de julio de 2017</v>
      </c>
      <c r="N373" s="39">
        <f t="shared" si="40"/>
        <v>42917</v>
      </c>
      <c r="O373" s="9" t="str">
        <f t="shared" si="47"/>
        <v>5.000,00</v>
      </c>
      <c r="P373" s="8" t="str">
        <f t="shared" si="48"/>
        <v>Cinco Mil Bolívares con 00/100</v>
      </c>
      <c r="Q373" s="403" t="str">
        <f t="shared" si="42"/>
        <v/>
      </c>
    </row>
    <row r="374" spans="1:17" x14ac:dyDescent="0.25">
      <c r="A374" s="1">
        <f t="shared" si="43"/>
        <v>373</v>
      </c>
      <c r="C374" s="12" t="s">
        <v>17</v>
      </c>
      <c r="D374" s="2">
        <v>42918</v>
      </c>
      <c r="E374" s="3">
        <f>17000*2</f>
        <v>34000</v>
      </c>
      <c r="F374" t="s">
        <v>334</v>
      </c>
      <c r="G374" t="s">
        <v>85</v>
      </c>
      <c r="H374" t="s">
        <v>335</v>
      </c>
      <c r="I374" s="10" t="s">
        <v>475</v>
      </c>
      <c r="J374" s="167" t="s">
        <v>22</v>
      </c>
      <c r="L374" s="9" t="str">
        <f t="shared" si="38"/>
        <v>00373</v>
      </c>
      <c r="M374" s="71" t="str">
        <f t="shared" si="39"/>
        <v>02 de julio de 2017</v>
      </c>
      <c r="N374" s="39">
        <f t="shared" si="40"/>
        <v>42917</v>
      </c>
      <c r="O374" s="9" t="str">
        <f t="shared" si="47"/>
        <v>34.000,00</v>
      </c>
      <c r="P374" s="8" t="str">
        <f t="shared" si="48"/>
        <v>Treinta y Cuatro Mil Bolívares con 00/100</v>
      </c>
      <c r="Q374" s="403" t="str">
        <f t="shared" si="42"/>
        <v/>
      </c>
    </row>
    <row r="375" spans="1:17" x14ac:dyDescent="0.25">
      <c r="A375" s="1">
        <f t="shared" si="43"/>
        <v>374</v>
      </c>
      <c r="C375" s="12" t="s">
        <v>17</v>
      </c>
      <c r="D375" s="2">
        <v>42918</v>
      </c>
      <c r="E375" s="3">
        <v>7000</v>
      </c>
      <c r="F375" t="s">
        <v>334</v>
      </c>
      <c r="G375" t="s">
        <v>85</v>
      </c>
      <c r="H375" t="s">
        <v>335</v>
      </c>
      <c r="I375" s="10" t="s">
        <v>452</v>
      </c>
      <c r="J375" s="167" t="s">
        <v>453</v>
      </c>
      <c r="L375" s="9" t="str">
        <f t="shared" si="38"/>
        <v>00374</v>
      </c>
      <c r="M375" s="71" t="str">
        <f t="shared" si="39"/>
        <v>02 de julio de 2017</v>
      </c>
      <c r="N375" s="39">
        <f t="shared" si="40"/>
        <v>42917</v>
      </c>
      <c r="O375" s="9" t="str">
        <f t="shared" si="47"/>
        <v>7.000,00</v>
      </c>
      <c r="P375" s="8" t="str">
        <f t="shared" si="48"/>
        <v>Siete Mil Bolívares con 00/100</v>
      </c>
      <c r="Q375" s="403" t="str">
        <f t="shared" si="42"/>
        <v/>
      </c>
    </row>
    <row r="376" spans="1:17" x14ac:dyDescent="0.25">
      <c r="A376" s="1">
        <f t="shared" si="43"/>
        <v>375</v>
      </c>
      <c r="C376" s="12" t="s">
        <v>17</v>
      </c>
      <c r="D376" s="2">
        <v>42917</v>
      </c>
      <c r="E376" s="3">
        <v>26000</v>
      </c>
      <c r="F376" t="s">
        <v>18</v>
      </c>
      <c r="G376" t="s">
        <v>19</v>
      </c>
      <c r="H376" t="s">
        <v>20</v>
      </c>
      <c r="I376" s="10" t="s">
        <v>476</v>
      </c>
      <c r="J376" s="167" t="s">
        <v>22</v>
      </c>
      <c r="L376" s="9" t="str">
        <f t="shared" si="38"/>
        <v>00375</v>
      </c>
      <c r="M376" s="71" t="str">
        <f t="shared" si="39"/>
        <v>01 de julio de 2017</v>
      </c>
      <c r="N376" s="39">
        <f t="shared" si="40"/>
        <v>42917</v>
      </c>
      <c r="O376" s="9" t="str">
        <f t="shared" si="47"/>
        <v>26.000,00</v>
      </c>
      <c r="P376" s="8" t="str">
        <f t="shared" si="48"/>
        <v>Veintiseis Mil Bolívares con 00/100</v>
      </c>
      <c r="Q376" s="403" t="str">
        <f t="shared" si="42"/>
        <v/>
      </c>
    </row>
    <row r="377" spans="1:17" x14ac:dyDescent="0.25">
      <c r="A377" s="390">
        <f t="shared" si="43"/>
        <v>376</v>
      </c>
      <c r="C377" s="12" t="s">
        <v>17</v>
      </c>
      <c r="D377" s="2">
        <v>42917</v>
      </c>
      <c r="E377" s="3">
        <v>26000</v>
      </c>
      <c r="F377" t="s">
        <v>439</v>
      </c>
      <c r="G377" t="s">
        <v>440</v>
      </c>
      <c r="H377" t="s">
        <v>441</v>
      </c>
      <c r="I377" s="10" t="s">
        <v>477</v>
      </c>
      <c r="J377" s="167" t="s">
        <v>22</v>
      </c>
      <c r="L377" s="9" t="str">
        <f t="shared" si="38"/>
        <v>00376</v>
      </c>
      <c r="M377" s="71" t="str">
        <f t="shared" si="39"/>
        <v>01 de julio de 2017</v>
      </c>
      <c r="N377" s="39">
        <f t="shared" si="40"/>
        <v>42917</v>
      </c>
      <c r="O377" s="9" t="str">
        <f t="shared" si="47"/>
        <v>26.000,00</v>
      </c>
      <c r="P377" s="8" t="str">
        <f t="shared" si="48"/>
        <v>Veintiseis Mil Bolívares con 00/100</v>
      </c>
      <c r="Q377" s="403" t="str">
        <f t="shared" si="42"/>
        <v/>
      </c>
    </row>
    <row r="378" spans="1:17" x14ac:dyDescent="0.25">
      <c r="A378" s="1">
        <f t="shared" si="43"/>
        <v>377</v>
      </c>
      <c r="C378" s="12" t="s">
        <v>17</v>
      </c>
      <c r="D378" s="2">
        <v>42918</v>
      </c>
      <c r="E378" s="3">
        <v>7000</v>
      </c>
      <c r="F378" t="s">
        <v>126</v>
      </c>
      <c r="G378" t="s">
        <v>127</v>
      </c>
      <c r="H378" t="s">
        <v>128</v>
      </c>
      <c r="I378" s="10" t="s">
        <v>452</v>
      </c>
      <c r="J378" s="167" t="s">
        <v>453</v>
      </c>
      <c r="L378" s="9" t="str">
        <f t="shared" si="38"/>
        <v>00377</v>
      </c>
      <c r="M378" s="71" t="str">
        <f t="shared" si="39"/>
        <v>02 de julio de 2017</v>
      </c>
      <c r="N378" s="39">
        <f t="shared" si="40"/>
        <v>42917</v>
      </c>
      <c r="O378" s="9" t="str">
        <f t="shared" si="47"/>
        <v>7.000,00</v>
      </c>
      <c r="P378" s="8" t="str">
        <f t="shared" si="48"/>
        <v>Siete Mil Bolívares con 00/100</v>
      </c>
      <c r="Q378" s="403" t="str">
        <f t="shared" si="42"/>
        <v/>
      </c>
    </row>
    <row r="379" spans="1:17" x14ac:dyDescent="0.25">
      <c r="A379" s="1">
        <f t="shared" si="43"/>
        <v>378</v>
      </c>
      <c r="C379" s="12" t="s">
        <v>17</v>
      </c>
      <c r="D379" s="2">
        <v>42919</v>
      </c>
      <c r="E379" s="3">
        <v>26000</v>
      </c>
      <c r="F379" t="s">
        <v>40</v>
      </c>
      <c r="G379" t="s">
        <v>41</v>
      </c>
      <c r="H379" t="s">
        <v>42</v>
      </c>
      <c r="I379" s="10" t="s">
        <v>474</v>
      </c>
      <c r="J379" s="167" t="s">
        <v>22</v>
      </c>
      <c r="L379" s="9" t="str">
        <f t="shared" si="38"/>
        <v>00378</v>
      </c>
      <c r="M379" s="71" t="str">
        <f t="shared" si="39"/>
        <v>03 de julio de 2017</v>
      </c>
      <c r="N379" s="39">
        <f t="shared" si="40"/>
        <v>42917</v>
      </c>
      <c r="O379" s="9" t="str">
        <f t="shared" si="47"/>
        <v>26.000,00</v>
      </c>
      <c r="P379" s="8" t="str">
        <f t="shared" si="48"/>
        <v>Veintiseis Mil Bolívares con 00/100</v>
      </c>
      <c r="Q379" s="403" t="str">
        <f t="shared" si="42"/>
        <v/>
      </c>
    </row>
    <row r="380" spans="1:17" x14ac:dyDescent="0.25">
      <c r="A380" s="1">
        <f t="shared" si="43"/>
        <v>379</v>
      </c>
      <c r="C380" s="12" t="s">
        <v>17</v>
      </c>
      <c r="D380" s="2">
        <v>42919</v>
      </c>
      <c r="E380" s="3">
        <v>7000</v>
      </c>
      <c r="F380" t="s">
        <v>40</v>
      </c>
      <c r="G380" t="s">
        <v>41</v>
      </c>
      <c r="H380" t="s">
        <v>42</v>
      </c>
      <c r="I380" s="10" t="s">
        <v>452</v>
      </c>
      <c r="J380" s="167" t="s">
        <v>453</v>
      </c>
      <c r="L380" s="9" t="str">
        <f t="shared" si="38"/>
        <v>00379</v>
      </c>
      <c r="M380" s="71" t="str">
        <f t="shared" si="39"/>
        <v>03 de julio de 2017</v>
      </c>
      <c r="N380" s="39">
        <f t="shared" si="40"/>
        <v>42917</v>
      </c>
      <c r="O380" s="9" t="str">
        <f t="shared" si="47"/>
        <v>7.000,00</v>
      </c>
      <c r="P380" s="8" t="str">
        <f t="shared" si="48"/>
        <v>Siete Mil Bolívares con 00/100</v>
      </c>
      <c r="Q380" s="403" t="str">
        <f t="shared" si="42"/>
        <v/>
      </c>
    </row>
    <row r="381" spans="1:17" x14ac:dyDescent="0.25">
      <c r="A381" s="1">
        <f t="shared" si="43"/>
        <v>380</v>
      </c>
      <c r="C381" s="12" t="s">
        <v>17</v>
      </c>
      <c r="D381" s="2">
        <v>42919</v>
      </c>
      <c r="E381" s="3">
        <v>25000</v>
      </c>
      <c r="F381" t="s">
        <v>36</v>
      </c>
      <c r="G381" t="s">
        <v>37</v>
      </c>
      <c r="H381" t="s">
        <v>38</v>
      </c>
      <c r="I381" s="10" t="s">
        <v>474</v>
      </c>
      <c r="J381" s="167" t="s">
        <v>22</v>
      </c>
      <c r="L381" s="9" t="str">
        <f t="shared" si="38"/>
        <v>00380</v>
      </c>
      <c r="M381" s="71" t="str">
        <f t="shared" si="39"/>
        <v>03 de julio de 2017</v>
      </c>
      <c r="N381" s="39">
        <f t="shared" si="40"/>
        <v>42917</v>
      </c>
      <c r="O381" s="9" t="str">
        <f t="shared" si="47"/>
        <v>25.000,00</v>
      </c>
      <c r="P381" s="8" t="str">
        <f t="shared" si="48"/>
        <v>Veinticinco Mil Bolívares con 00/100</v>
      </c>
      <c r="Q381" s="403" t="str">
        <f t="shared" si="42"/>
        <v/>
      </c>
    </row>
    <row r="382" spans="1:17" x14ac:dyDescent="0.25">
      <c r="A382" s="1">
        <f t="shared" si="43"/>
        <v>381</v>
      </c>
      <c r="C382" s="12" t="s">
        <v>17</v>
      </c>
      <c r="D382" s="2">
        <v>42919</v>
      </c>
      <c r="E382" s="3">
        <f>3387+17000+17000+26000+26000</f>
        <v>89387</v>
      </c>
      <c r="F382" t="s">
        <v>32</v>
      </c>
      <c r="G382" t="s">
        <v>33</v>
      </c>
      <c r="H382" t="s">
        <v>34</v>
      </c>
      <c r="I382" s="10" t="s">
        <v>478</v>
      </c>
      <c r="J382" s="167" t="s">
        <v>22</v>
      </c>
      <c r="L382" s="9" t="str">
        <f t="shared" si="38"/>
        <v>00381</v>
      </c>
      <c r="M382" s="71" t="str">
        <f t="shared" si="39"/>
        <v>03 de julio de 2017</v>
      </c>
      <c r="N382" s="39">
        <f t="shared" si="40"/>
        <v>42917</v>
      </c>
      <c r="O382" s="9" t="str">
        <f t="shared" si="47"/>
        <v>89.387,00</v>
      </c>
      <c r="P382" s="8" t="str">
        <f t="shared" si="48"/>
        <v>Ochenta y Nueve Mil Trescientos Ochenta y Siete Bolívares con 00/100</v>
      </c>
      <c r="Q382" s="403" t="str">
        <f t="shared" si="42"/>
        <v/>
      </c>
    </row>
    <row r="383" spans="1:17" x14ac:dyDescent="0.25">
      <c r="A383" s="1">
        <f t="shared" si="43"/>
        <v>382</v>
      </c>
      <c r="C383" s="12" t="s">
        <v>17</v>
      </c>
      <c r="D383" s="2">
        <v>42919</v>
      </c>
      <c r="E383" s="3">
        <v>15000</v>
      </c>
      <c r="F383" t="s">
        <v>84</v>
      </c>
      <c r="G383" t="s">
        <v>85</v>
      </c>
      <c r="H383" t="s">
        <v>86</v>
      </c>
      <c r="I383" s="13" t="s">
        <v>479</v>
      </c>
      <c r="J383" s="167" t="s">
        <v>22</v>
      </c>
      <c r="L383" s="9" t="str">
        <f t="shared" si="38"/>
        <v>00382</v>
      </c>
      <c r="M383" s="71" t="str">
        <f t="shared" si="39"/>
        <v>03 de julio de 2017</v>
      </c>
      <c r="N383" s="39">
        <f t="shared" si="40"/>
        <v>42917</v>
      </c>
      <c r="O383" s="9" t="str">
        <f t="shared" si="47"/>
        <v>15.000,00</v>
      </c>
      <c r="P383" s="8" t="str">
        <f t="shared" si="48"/>
        <v>Quince Mil Bolívares con 00/100</v>
      </c>
      <c r="Q383" s="403" t="str">
        <f t="shared" si="42"/>
        <v/>
      </c>
    </row>
    <row r="384" spans="1:17" x14ac:dyDescent="0.25">
      <c r="A384" s="1">
        <f t="shared" si="43"/>
        <v>383</v>
      </c>
      <c r="C384" s="12" t="s">
        <v>17</v>
      </c>
      <c r="D384" s="2">
        <v>42919</v>
      </c>
      <c r="E384" s="3">
        <v>7000</v>
      </c>
      <c r="F384" t="s">
        <v>84</v>
      </c>
      <c r="G384" t="s">
        <v>85</v>
      </c>
      <c r="H384" t="s">
        <v>86</v>
      </c>
      <c r="I384" s="10" t="s">
        <v>452</v>
      </c>
      <c r="J384" s="167" t="s">
        <v>453</v>
      </c>
      <c r="L384" s="9" t="str">
        <f t="shared" si="38"/>
        <v>00383</v>
      </c>
      <c r="M384" s="71" t="str">
        <f t="shared" si="39"/>
        <v>03 de julio de 2017</v>
      </c>
      <c r="N384" s="39">
        <f t="shared" si="40"/>
        <v>42917</v>
      </c>
      <c r="O384" s="9" t="str">
        <f t="shared" si="47"/>
        <v>7.000,00</v>
      </c>
      <c r="P384" s="8" t="str">
        <f t="shared" si="48"/>
        <v>Siete Mil Bolívares con 00/100</v>
      </c>
      <c r="Q384" s="403" t="str">
        <f t="shared" si="42"/>
        <v/>
      </c>
    </row>
    <row r="385" spans="1:17" x14ac:dyDescent="0.25">
      <c r="A385" s="1">
        <f t="shared" si="43"/>
        <v>384</v>
      </c>
      <c r="C385" s="12" t="s">
        <v>17</v>
      </c>
      <c r="D385" s="2">
        <v>42920</v>
      </c>
      <c r="E385" s="3">
        <v>94000</v>
      </c>
      <c r="F385" t="s">
        <v>480</v>
      </c>
      <c r="G385" t="s">
        <v>481</v>
      </c>
      <c r="H385" t="s">
        <v>482</v>
      </c>
      <c r="I385" s="10" t="s">
        <v>483</v>
      </c>
      <c r="J385" s="167" t="s">
        <v>22</v>
      </c>
      <c r="L385" s="9" t="str">
        <f t="shared" si="38"/>
        <v>00384</v>
      </c>
      <c r="M385" s="71" t="str">
        <f t="shared" si="39"/>
        <v>04 de julio de 2017</v>
      </c>
      <c r="N385" s="39">
        <f t="shared" si="40"/>
        <v>42917</v>
      </c>
      <c r="O385" s="9" t="str">
        <f t="shared" ref="O385:O402" si="49">TEXT(E385,"#.##0,00")</f>
        <v>94.000,00</v>
      </c>
      <c r="P385" s="8" t="str">
        <f t="shared" ref="P385:P402" si="50">CONVERTIRNUM(E385)</f>
        <v>Noventa y Cuatro Mil Bolívares con 00/100</v>
      </c>
      <c r="Q385" s="403" t="str">
        <f t="shared" si="42"/>
        <v/>
      </c>
    </row>
    <row r="386" spans="1:17" x14ac:dyDescent="0.25">
      <c r="A386" s="1">
        <f t="shared" si="43"/>
        <v>385</v>
      </c>
      <c r="C386" s="12" t="s">
        <v>17</v>
      </c>
      <c r="D386" s="2">
        <v>42920</v>
      </c>
      <c r="E386" s="3">
        <v>7000</v>
      </c>
      <c r="F386" t="s">
        <v>243</v>
      </c>
      <c r="G386" t="s">
        <v>244</v>
      </c>
      <c r="H386" t="s">
        <v>245</v>
      </c>
      <c r="I386" s="10" t="s">
        <v>452</v>
      </c>
      <c r="J386" s="167" t="s">
        <v>453</v>
      </c>
      <c r="L386" s="9" t="str">
        <f t="shared" ref="L386:L449" si="51">IF(ISBLANK(A386),"",TEXT(A386,"00000"))</f>
        <v>00385</v>
      </c>
      <c r="M386" s="71" t="str">
        <f t="shared" ref="M386:M449" si="52">IF(ISBLANK(D386),"",TEXT(D386,"dd")&amp;" de "&amp;TEXT(D386,"mmmm")&amp;" de "&amp;TEXT(YEAR(D386),"0"))</f>
        <v>04 de julio de 2017</v>
      </c>
      <c r="N386" s="39">
        <f t="shared" ref="N386:N449" si="53">DATE(YEAR(D386),MONTH(D386),1)</f>
        <v>42917</v>
      </c>
      <c r="O386" s="9" t="str">
        <f t="shared" si="49"/>
        <v>7.000,00</v>
      </c>
      <c r="P386" s="8" t="str">
        <f t="shared" si="50"/>
        <v>Siete Mil Bolívares con 00/100</v>
      </c>
      <c r="Q386" s="403" t="str">
        <f t="shared" si="42"/>
        <v/>
      </c>
    </row>
    <row r="387" spans="1:17" x14ac:dyDescent="0.25">
      <c r="A387" s="1">
        <f t="shared" si="43"/>
        <v>386</v>
      </c>
      <c r="C387" s="12" t="s">
        <v>17</v>
      </c>
      <c r="D387" s="2">
        <v>42921</v>
      </c>
      <c r="E387" s="3">
        <v>10000</v>
      </c>
      <c r="F387" t="s">
        <v>48</v>
      </c>
      <c r="G387" t="s">
        <v>49</v>
      </c>
      <c r="H387" t="s">
        <v>50</v>
      </c>
      <c r="I387" s="10" t="s">
        <v>479</v>
      </c>
      <c r="J387" s="167" t="s">
        <v>22</v>
      </c>
      <c r="L387" s="9" t="str">
        <f t="shared" si="51"/>
        <v>00386</v>
      </c>
      <c r="M387" s="71" t="str">
        <f t="shared" si="52"/>
        <v>05 de julio de 2017</v>
      </c>
      <c r="N387" s="39">
        <f t="shared" si="53"/>
        <v>42917</v>
      </c>
      <c r="O387" s="9" t="str">
        <f t="shared" si="49"/>
        <v>10.000,00</v>
      </c>
      <c r="P387" s="8" t="str">
        <f t="shared" si="50"/>
        <v>Diez Mil Bolívares con 00/100</v>
      </c>
      <c r="Q387" s="403" t="str">
        <f t="shared" ref="Q387:Q450" si="54">IF(C387="û","Anulado","")</f>
        <v/>
      </c>
    </row>
    <row r="388" spans="1:17" x14ac:dyDescent="0.25">
      <c r="A388" s="1">
        <f t="shared" ref="A388:A451" si="55">A387+1</f>
        <v>387</v>
      </c>
      <c r="C388" s="12" t="s">
        <v>17</v>
      </c>
      <c r="D388" s="2">
        <v>42922</v>
      </c>
      <c r="E388" s="3">
        <v>20000</v>
      </c>
      <c r="F388" t="s">
        <v>312</v>
      </c>
      <c r="G388" t="s">
        <v>313</v>
      </c>
      <c r="H388" t="s">
        <v>314</v>
      </c>
      <c r="I388" s="10" t="s">
        <v>447</v>
      </c>
      <c r="J388" s="167" t="s">
        <v>22</v>
      </c>
      <c r="L388" s="9" t="str">
        <f t="shared" si="51"/>
        <v>00387</v>
      </c>
      <c r="M388" s="71" t="str">
        <f t="shared" si="52"/>
        <v>06 de julio de 2017</v>
      </c>
      <c r="N388" s="39">
        <f t="shared" si="53"/>
        <v>42917</v>
      </c>
      <c r="O388" s="9" t="str">
        <f t="shared" si="49"/>
        <v>20.000,00</v>
      </c>
      <c r="P388" s="8" t="str">
        <f t="shared" si="50"/>
        <v>Veinte Mil Bolívares con 00/100</v>
      </c>
      <c r="Q388" s="403" t="str">
        <f t="shared" si="54"/>
        <v/>
      </c>
    </row>
    <row r="389" spans="1:17" x14ac:dyDescent="0.25">
      <c r="A389" s="1">
        <f t="shared" si="55"/>
        <v>388</v>
      </c>
      <c r="C389" s="12" t="s">
        <v>17</v>
      </c>
      <c r="D389" s="2">
        <v>42922</v>
      </c>
      <c r="E389" s="3">
        <v>26000</v>
      </c>
      <c r="F389" t="s">
        <v>484</v>
      </c>
      <c r="G389" t="s">
        <v>485</v>
      </c>
      <c r="H389" t="s">
        <v>486</v>
      </c>
      <c r="I389" s="10" t="s">
        <v>446</v>
      </c>
      <c r="J389" s="167" t="s">
        <v>22</v>
      </c>
      <c r="L389" s="9" t="str">
        <f t="shared" si="51"/>
        <v>00388</v>
      </c>
      <c r="M389" s="71" t="str">
        <f t="shared" si="52"/>
        <v>06 de julio de 2017</v>
      </c>
      <c r="N389" s="39">
        <f t="shared" si="53"/>
        <v>42917</v>
      </c>
      <c r="O389" s="9" t="str">
        <f t="shared" si="49"/>
        <v>26.000,00</v>
      </c>
      <c r="P389" s="8" t="str">
        <f t="shared" si="50"/>
        <v>Veintiseis Mil Bolívares con 00/100</v>
      </c>
      <c r="Q389" s="403" t="str">
        <f t="shared" si="54"/>
        <v/>
      </c>
    </row>
    <row r="390" spans="1:17" x14ac:dyDescent="0.25">
      <c r="A390" s="1">
        <f t="shared" si="55"/>
        <v>389</v>
      </c>
      <c r="C390" s="12" t="s">
        <v>17</v>
      </c>
      <c r="D390" s="2">
        <v>42922</v>
      </c>
      <c r="E390" s="3">
        <v>4000</v>
      </c>
      <c r="F390" t="s">
        <v>484</v>
      </c>
      <c r="G390" t="s">
        <v>485</v>
      </c>
      <c r="H390" t="s">
        <v>486</v>
      </c>
      <c r="I390" s="10" t="s">
        <v>458</v>
      </c>
      <c r="J390" s="167" t="s">
        <v>453</v>
      </c>
      <c r="L390" s="9" t="str">
        <f t="shared" si="51"/>
        <v>00389</v>
      </c>
      <c r="M390" s="71" t="str">
        <f t="shared" si="52"/>
        <v>06 de julio de 2017</v>
      </c>
      <c r="N390" s="39">
        <f t="shared" si="53"/>
        <v>42917</v>
      </c>
      <c r="O390" s="9" t="str">
        <f t="shared" si="49"/>
        <v>4.000,00</v>
      </c>
      <c r="P390" s="8" t="str">
        <f t="shared" si="50"/>
        <v>Cuatro Mil Bolívares con 00/100</v>
      </c>
      <c r="Q390" s="403" t="str">
        <f t="shared" si="54"/>
        <v/>
      </c>
    </row>
    <row r="391" spans="1:17" x14ac:dyDescent="0.25">
      <c r="A391" s="1">
        <f t="shared" si="55"/>
        <v>390</v>
      </c>
      <c r="C391" s="12" t="s">
        <v>17</v>
      </c>
      <c r="D391" s="2">
        <v>42922</v>
      </c>
      <c r="E391" s="3">
        <v>26000</v>
      </c>
      <c r="F391" t="s">
        <v>90</v>
      </c>
      <c r="G391" t="s">
        <v>91</v>
      </c>
      <c r="H391" t="s">
        <v>92</v>
      </c>
      <c r="I391" s="10" t="s">
        <v>474</v>
      </c>
      <c r="J391" s="167" t="s">
        <v>22</v>
      </c>
      <c r="L391" s="9" t="str">
        <f t="shared" si="51"/>
        <v>00390</v>
      </c>
      <c r="M391" s="71" t="str">
        <f t="shared" si="52"/>
        <v>06 de julio de 2017</v>
      </c>
      <c r="N391" s="39">
        <f t="shared" si="53"/>
        <v>42917</v>
      </c>
      <c r="O391" s="9" t="str">
        <f t="shared" si="49"/>
        <v>26.000,00</v>
      </c>
      <c r="P391" s="8" t="str">
        <f t="shared" si="50"/>
        <v>Veintiseis Mil Bolívares con 00/100</v>
      </c>
      <c r="Q391" s="403" t="str">
        <f t="shared" si="54"/>
        <v/>
      </c>
    </row>
    <row r="392" spans="1:17" x14ac:dyDescent="0.25">
      <c r="A392" s="1">
        <f t="shared" si="55"/>
        <v>391</v>
      </c>
      <c r="C392" s="12" t="s">
        <v>17</v>
      </c>
      <c r="D392" s="2">
        <v>42923</v>
      </c>
      <c r="E392" s="3">
        <f>2*26000</f>
        <v>52000</v>
      </c>
      <c r="F392" t="s">
        <v>114</v>
      </c>
      <c r="G392" t="s">
        <v>115</v>
      </c>
      <c r="H392" t="s">
        <v>116</v>
      </c>
      <c r="I392" s="10" t="s">
        <v>487</v>
      </c>
      <c r="J392" s="167" t="s">
        <v>22</v>
      </c>
      <c r="L392" s="9" t="str">
        <f t="shared" si="51"/>
        <v>00391</v>
      </c>
      <c r="M392" s="71" t="str">
        <f t="shared" si="52"/>
        <v>07 de julio de 2017</v>
      </c>
      <c r="N392" s="39">
        <f t="shared" si="53"/>
        <v>42917</v>
      </c>
      <c r="O392" s="9" t="str">
        <f t="shared" si="49"/>
        <v>52.000,00</v>
      </c>
      <c r="P392" s="8" t="str">
        <f t="shared" si="50"/>
        <v>Cincuenta y Dos Mil Bolívares con 00/100</v>
      </c>
      <c r="Q392" s="403" t="str">
        <f t="shared" si="54"/>
        <v/>
      </c>
    </row>
    <row r="393" spans="1:17" ht="15.75" thickBot="1" x14ac:dyDescent="0.3">
      <c r="A393" s="1">
        <f t="shared" si="55"/>
        <v>392</v>
      </c>
      <c r="C393" s="12" t="s">
        <v>17</v>
      </c>
      <c r="D393" s="2">
        <v>42923</v>
      </c>
      <c r="E393" s="3">
        <v>7000</v>
      </c>
      <c r="F393" t="s">
        <v>114</v>
      </c>
      <c r="G393" t="s">
        <v>115</v>
      </c>
      <c r="H393" t="s">
        <v>116</v>
      </c>
      <c r="I393" s="10" t="s">
        <v>452</v>
      </c>
      <c r="J393" s="167" t="s">
        <v>453</v>
      </c>
      <c r="L393" s="9" t="str">
        <f t="shared" si="51"/>
        <v>00392</v>
      </c>
      <c r="M393" s="71" t="str">
        <f t="shared" si="52"/>
        <v>07 de julio de 2017</v>
      </c>
      <c r="N393" s="39">
        <f t="shared" si="53"/>
        <v>42917</v>
      </c>
      <c r="O393" s="9" t="str">
        <f t="shared" si="49"/>
        <v>7.000,00</v>
      </c>
      <c r="P393" s="8" t="str">
        <f t="shared" si="50"/>
        <v>Siete Mil Bolívares con 00/100</v>
      </c>
      <c r="Q393" s="403" t="str">
        <f t="shared" si="54"/>
        <v/>
      </c>
    </row>
    <row r="394" spans="1:17" ht="15.75" thickBot="1" x14ac:dyDescent="0.3">
      <c r="A394" s="1">
        <f t="shared" si="55"/>
        <v>393</v>
      </c>
      <c r="C394" s="12" t="s">
        <v>17</v>
      </c>
      <c r="D394" s="2">
        <v>42892</v>
      </c>
      <c r="E394" s="3">
        <v>26000</v>
      </c>
      <c r="F394" t="s">
        <v>319</v>
      </c>
      <c r="G394" s="27" t="s">
        <v>58</v>
      </c>
      <c r="H394" t="s">
        <v>320</v>
      </c>
      <c r="I394" s="10" t="s">
        <v>446</v>
      </c>
      <c r="J394" s="167" t="s">
        <v>22</v>
      </c>
      <c r="L394" s="9" t="str">
        <f t="shared" si="51"/>
        <v>00393</v>
      </c>
      <c r="M394" s="71" t="str">
        <f t="shared" si="52"/>
        <v>06 de junio de 2017</v>
      </c>
      <c r="N394" s="39">
        <f t="shared" si="53"/>
        <v>42887</v>
      </c>
      <c r="O394" s="9" t="str">
        <f t="shared" si="49"/>
        <v>26.000,00</v>
      </c>
      <c r="P394" s="8" t="str">
        <f t="shared" si="50"/>
        <v>Veintiseis Mil Bolívares con 00/100</v>
      </c>
      <c r="Q394" s="403" t="str">
        <f t="shared" si="54"/>
        <v/>
      </c>
    </row>
    <row r="395" spans="1:17" x14ac:dyDescent="0.25">
      <c r="A395" s="1">
        <f t="shared" si="55"/>
        <v>394</v>
      </c>
      <c r="C395" s="12" t="s">
        <v>17</v>
      </c>
      <c r="D395" s="2">
        <v>42925</v>
      </c>
      <c r="E395" s="3">
        <v>26000</v>
      </c>
      <c r="F395" t="s">
        <v>24</v>
      </c>
      <c r="G395" t="s">
        <v>25</v>
      </c>
      <c r="H395" t="s">
        <v>26</v>
      </c>
      <c r="I395" s="10" t="s">
        <v>474</v>
      </c>
      <c r="J395" s="167" t="s">
        <v>22</v>
      </c>
      <c r="L395" s="9" t="str">
        <f t="shared" si="51"/>
        <v>00394</v>
      </c>
      <c r="M395" s="71" t="str">
        <f t="shared" si="52"/>
        <v>09 de julio de 2017</v>
      </c>
      <c r="N395" s="39">
        <f t="shared" si="53"/>
        <v>42917</v>
      </c>
      <c r="O395" s="9" t="str">
        <f t="shared" si="49"/>
        <v>26.000,00</v>
      </c>
      <c r="P395" s="8" t="str">
        <f t="shared" si="50"/>
        <v>Veintiseis Mil Bolívares con 00/100</v>
      </c>
      <c r="Q395" s="403" t="str">
        <f t="shared" si="54"/>
        <v/>
      </c>
    </row>
    <row r="396" spans="1:17" x14ac:dyDescent="0.25">
      <c r="A396" s="1">
        <f t="shared" si="55"/>
        <v>395</v>
      </c>
      <c r="C396" s="12" t="s">
        <v>17</v>
      </c>
      <c r="D396" s="2">
        <v>42926</v>
      </c>
      <c r="E396" s="3">
        <v>7000</v>
      </c>
      <c r="F396" t="s">
        <v>122</v>
      </c>
      <c r="G396" t="s">
        <v>123</v>
      </c>
      <c r="H396" t="s">
        <v>124</v>
      </c>
      <c r="I396" s="10" t="s">
        <v>452</v>
      </c>
      <c r="J396" s="167" t="s">
        <v>453</v>
      </c>
      <c r="L396" s="9" t="str">
        <f t="shared" si="51"/>
        <v>00395</v>
      </c>
      <c r="M396" s="71" t="str">
        <f t="shared" si="52"/>
        <v>10 de julio de 2017</v>
      </c>
      <c r="N396" s="39">
        <f t="shared" si="53"/>
        <v>42917</v>
      </c>
      <c r="O396" s="9" t="str">
        <f t="shared" si="49"/>
        <v>7.000,00</v>
      </c>
      <c r="P396" s="8" t="str">
        <f t="shared" si="50"/>
        <v>Siete Mil Bolívares con 00/100</v>
      </c>
      <c r="Q396" s="403" t="str">
        <f t="shared" si="54"/>
        <v/>
      </c>
    </row>
    <row r="397" spans="1:17" x14ac:dyDescent="0.25">
      <c r="A397" s="1">
        <f t="shared" si="55"/>
        <v>396</v>
      </c>
      <c r="C397" s="12" t="s">
        <v>17</v>
      </c>
      <c r="D397" s="2">
        <v>42926</v>
      </c>
      <c r="E397" s="3">
        <v>26000</v>
      </c>
      <c r="F397" t="s">
        <v>206</v>
      </c>
      <c r="G397" t="s">
        <v>207</v>
      </c>
      <c r="H397" t="s">
        <v>208</v>
      </c>
      <c r="I397" s="10" t="s">
        <v>446</v>
      </c>
      <c r="J397" s="167" t="s">
        <v>22</v>
      </c>
      <c r="L397" s="9" t="str">
        <f t="shared" si="51"/>
        <v>00396</v>
      </c>
      <c r="M397" s="71" t="str">
        <f t="shared" si="52"/>
        <v>10 de julio de 2017</v>
      </c>
      <c r="N397" s="39">
        <f t="shared" si="53"/>
        <v>42917</v>
      </c>
      <c r="O397" s="9" t="str">
        <f t="shared" si="49"/>
        <v>26.000,00</v>
      </c>
      <c r="P397" s="8" t="str">
        <f t="shared" si="50"/>
        <v>Veintiseis Mil Bolívares con 00/100</v>
      </c>
      <c r="Q397" s="403" t="str">
        <f t="shared" si="54"/>
        <v/>
      </c>
    </row>
    <row r="398" spans="1:17" x14ac:dyDescent="0.25">
      <c r="A398" s="1">
        <f t="shared" si="55"/>
        <v>397</v>
      </c>
      <c r="C398" s="12" t="s">
        <v>17</v>
      </c>
      <c r="D398" s="2">
        <v>42888</v>
      </c>
      <c r="E398" s="3">
        <v>26000</v>
      </c>
      <c r="F398" t="s">
        <v>40</v>
      </c>
      <c r="G398" t="s">
        <v>41</v>
      </c>
      <c r="H398" t="s">
        <v>42</v>
      </c>
      <c r="I398" s="10" t="s">
        <v>446</v>
      </c>
      <c r="J398" s="167" t="s">
        <v>22</v>
      </c>
      <c r="L398" s="9" t="str">
        <f t="shared" si="51"/>
        <v>00397</v>
      </c>
      <c r="M398" s="71" t="str">
        <f t="shared" si="52"/>
        <v>02 de junio de 2017</v>
      </c>
      <c r="N398" s="39">
        <f t="shared" si="53"/>
        <v>42887</v>
      </c>
      <c r="O398" s="9" t="str">
        <f t="shared" si="49"/>
        <v>26.000,00</v>
      </c>
      <c r="P398" s="8" t="str">
        <f t="shared" si="50"/>
        <v>Veintiseis Mil Bolívares con 00/100</v>
      </c>
      <c r="Q398" s="403" t="str">
        <f t="shared" si="54"/>
        <v/>
      </c>
    </row>
    <row r="399" spans="1:17" x14ac:dyDescent="0.25">
      <c r="A399" s="1">
        <f t="shared" si="55"/>
        <v>398</v>
      </c>
      <c r="C399" s="12" t="s">
        <v>17</v>
      </c>
      <c r="D399" s="2">
        <v>42927</v>
      </c>
      <c r="E399" s="3">
        <v>26000</v>
      </c>
      <c r="F399" t="s">
        <v>148</v>
      </c>
      <c r="G399" t="s">
        <v>149</v>
      </c>
      <c r="H399" t="s">
        <v>150</v>
      </c>
      <c r="I399" s="10" t="s">
        <v>446</v>
      </c>
      <c r="J399" s="167" t="s">
        <v>22</v>
      </c>
      <c r="L399" s="9" t="str">
        <f t="shared" si="51"/>
        <v>00398</v>
      </c>
      <c r="M399" s="71" t="str">
        <f t="shared" si="52"/>
        <v>11 de julio de 2017</v>
      </c>
      <c r="N399" s="39">
        <f t="shared" si="53"/>
        <v>42917</v>
      </c>
      <c r="O399" s="9" t="str">
        <f t="shared" si="49"/>
        <v>26.000,00</v>
      </c>
      <c r="P399" s="8" t="str">
        <f t="shared" si="50"/>
        <v>Veintiseis Mil Bolívares con 00/100</v>
      </c>
      <c r="Q399" s="403" t="str">
        <f t="shared" si="54"/>
        <v/>
      </c>
    </row>
    <row r="400" spans="1:17" x14ac:dyDescent="0.25">
      <c r="A400" s="1">
        <f t="shared" si="55"/>
        <v>399</v>
      </c>
      <c r="C400" s="12" t="s">
        <v>17</v>
      </c>
      <c r="D400" s="2">
        <v>42900</v>
      </c>
      <c r="E400" s="3">
        <v>26000</v>
      </c>
      <c r="F400" t="s">
        <v>70</v>
      </c>
      <c r="G400" t="s">
        <v>71</v>
      </c>
      <c r="H400" t="s">
        <v>72</v>
      </c>
      <c r="I400" s="10" t="s">
        <v>446</v>
      </c>
      <c r="J400" s="167" t="s">
        <v>22</v>
      </c>
      <c r="L400" s="9" t="str">
        <f t="shared" si="51"/>
        <v>00399</v>
      </c>
      <c r="M400" s="71" t="str">
        <f t="shared" si="52"/>
        <v>14 de junio de 2017</v>
      </c>
      <c r="N400" s="39">
        <f t="shared" si="53"/>
        <v>42887</v>
      </c>
      <c r="O400" s="9" t="str">
        <f t="shared" si="49"/>
        <v>26.000,00</v>
      </c>
      <c r="P400" s="8" t="str">
        <f t="shared" si="50"/>
        <v>Veintiseis Mil Bolívares con 00/100</v>
      </c>
      <c r="Q400" s="403" t="str">
        <f t="shared" si="54"/>
        <v/>
      </c>
    </row>
    <row r="401" spans="1:17" x14ac:dyDescent="0.25">
      <c r="A401" s="1">
        <f t="shared" si="55"/>
        <v>400</v>
      </c>
      <c r="C401" s="12" t="s">
        <v>17</v>
      </c>
      <c r="D401" s="2">
        <v>42900</v>
      </c>
      <c r="E401" s="3">
        <v>7000</v>
      </c>
      <c r="F401" t="s">
        <v>70</v>
      </c>
      <c r="G401" t="s">
        <v>71</v>
      </c>
      <c r="H401" t="s">
        <v>72</v>
      </c>
      <c r="I401" s="10" t="s">
        <v>452</v>
      </c>
      <c r="J401" s="167" t="s">
        <v>453</v>
      </c>
      <c r="L401" s="9" t="str">
        <f t="shared" si="51"/>
        <v>00400</v>
      </c>
      <c r="M401" s="71" t="str">
        <f t="shared" si="52"/>
        <v>14 de junio de 2017</v>
      </c>
      <c r="N401" s="39">
        <f t="shared" si="53"/>
        <v>42887</v>
      </c>
      <c r="O401" s="9" t="str">
        <f t="shared" si="49"/>
        <v>7.000,00</v>
      </c>
      <c r="P401" s="8" t="str">
        <f t="shared" si="50"/>
        <v>Siete Mil Bolívares con 00/100</v>
      </c>
      <c r="Q401" s="403" t="str">
        <f t="shared" si="54"/>
        <v/>
      </c>
    </row>
    <row r="402" spans="1:17" x14ac:dyDescent="0.25">
      <c r="A402" s="1">
        <f t="shared" si="55"/>
        <v>401</v>
      </c>
      <c r="C402" s="12" t="s">
        <v>17</v>
      </c>
      <c r="D402" s="2">
        <v>42927</v>
      </c>
      <c r="E402" s="3">
        <v>26000</v>
      </c>
      <c r="F402" t="s">
        <v>444</v>
      </c>
      <c r="G402" t="s">
        <v>445</v>
      </c>
      <c r="H402" t="s">
        <v>75</v>
      </c>
      <c r="I402" s="10" t="s">
        <v>474</v>
      </c>
      <c r="J402" s="167" t="s">
        <v>22</v>
      </c>
      <c r="L402" s="9" t="str">
        <f t="shared" si="51"/>
        <v>00401</v>
      </c>
      <c r="M402" s="71" t="str">
        <f t="shared" si="52"/>
        <v>11 de julio de 2017</v>
      </c>
      <c r="N402" s="39">
        <f t="shared" si="53"/>
        <v>42917</v>
      </c>
      <c r="O402" s="9" t="str">
        <f t="shared" si="49"/>
        <v>26.000,00</v>
      </c>
      <c r="P402" s="8" t="str">
        <f t="shared" si="50"/>
        <v>Veintiseis Mil Bolívares con 00/100</v>
      </c>
      <c r="Q402" s="403" t="str">
        <f t="shared" si="54"/>
        <v/>
      </c>
    </row>
    <row r="403" spans="1:17" x14ac:dyDescent="0.25">
      <c r="A403" s="1">
        <f t="shared" si="55"/>
        <v>402</v>
      </c>
      <c r="C403" s="12" t="s">
        <v>17</v>
      </c>
      <c r="D403" s="2">
        <v>42927</v>
      </c>
      <c r="E403" s="3">
        <v>26000</v>
      </c>
      <c r="F403" t="s">
        <v>70</v>
      </c>
      <c r="G403" t="s">
        <v>71</v>
      </c>
      <c r="H403" t="s">
        <v>72</v>
      </c>
      <c r="I403" s="10" t="s">
        <v>474</v>
      </c>
      <c r="J403" s="167" t="s">
        <v>22</v>
      </c>
      <c r="L403" s="9" t="str">
        <f t="shared" si="51"/>
        <v>00402</v>
      </c>
      <c r="M403" s="71" t="str">
        <f t="shared" si="52"/>
        <v>11 de julio de 2017</v>
      </c>
      <c r="N403" s="39">
        <f t="shared" si="53"/>
        <v>42917</v>
      </c>
      <c r="O403" s="9" t="str">
        <f>TEXT(E403,"#.##0,00")</f>
        <v>26.000,00</v>
      </c>
      <c r="P403" s="8" t="str">
        <f>CONVERTIRNUM(E403)</f>
        <v>Veintiseis Mil Bolívares con 00/100</v>
      </c>
      <c r="Q403" s="403" t="str">
        <f t="shared" si="54"/>
        <v/>
      </c>
    </row>
    <row r="404" spans="1:17" x14ac:dyDescent="0.25">
      <c r="A404" s="1">
        <f t="shared" si="55"/>
        <v>403</v>
      </c>
      <c r="C404" s="12" t="s">
        <v>17</v>
      </c>
      <c r="D404" s="2">
        <v>42927</v>
      </c>
      <c r="E404" s="3">
        <v>5000</v>
      </c>
      <c r="F404" t="s">
        <v>291</v>
      </c>
      <c r="G404" t="s">
        <v>292</v>
      </c>
      <c r="H404" t="s">
        <v>293</v>
      </c>
      <c r="I404" s="10" t="s">
        <v>458</v>
      </c>
      <c r="J404" s="167" t="s">
        <v>453</v>
      </c>
      <c r="L404" s="9" t="str">
        <f t="shared" si="51"/>
        <v>00403</v>
      </c>
      <c r="M404" s="71" t="str">
        <f t="shared" si="52"/>
        <v>11 de julio de 2017</v>
      </c>
      <c r="N404" s="39">
        <f t="shared" si="53"/>
        <v>42917</v>
      </c>
      <c r="O404" s="9" t="str">
        <f>TEXT(E404,"#.##0,00")</f>
        <v>5.000,00</v>
      </c>
      <c r="P404" s="8" t="str">
        <f>CONVERTIRNUM(E404)</f>
        <v>Cinco Mil Bolívares con 00/100</v>
      </c>
      <c r="Q404" s="403" t="str">
        <f t="shared" si="54"/>
        <v/>
      </c>
    </row>
    <row r="405" spans="1:17" x14ac:dyDescent="0.25">
      <c r="A405" s="1">
        <f t="shared" si="55"/>
        <v>404</v>
      </c>
      <c r="C405" s="12" t="s">
        <v>225</v>
      </c>
      <c r="D405" s="2">
        <v>42927</v>
      </c>
      <c r="F405" t="s">
        <v>291</v>
      </c>
      <c r="G405" t="s">
        <v>292</v>
      </c>
      <c r="H405" t="s">
        <v>293</v>
      </c>
      <c r="I405" s="10" t="s">
        <v>488</v>
      </c>
      <c r="J405" s="167" t="s">
        <v>22</v>
      </c>
      <c r="L405" s="9" t="str">
        <f t="shared" si="51"/>
        <v>00404</v>
      </c>
      <c r="M405" s="9" t="str">
        <f t="shared" si="52"/>
        <v>11 de julio de 2017</v>
      </c>
      <c r="N405" s="39">
        <f t="shared" si="53"/>
        <v>42917</v>
      </c>
      <c r="O405" s="75" t="s">
        <v>489</v>
      </c>
      <c r="P405" s="76" t="s">
        <v>490</v>
      </c>
      <c r="Q405" s="403" t="str">
        <f t="shared" si="54"/>
        <v>Anulado</v>
      </c>
    </row>
    <row r="406" spans="1:17" x14ac:dyDescent="0.25">
      <c r="A406" s="1">
        <f t="shared" si="55"/>
        <v>405</v>
      </c>
      <c r="C406" s="12" t="s">
        <v>17</v>
      </c>
      <c r="D406" s="2">
        <v>42928</v>
      </c>
      <c r="E406" s="3">
        <v>66000</v>
      </c>
      <c r="F406" t="s">
        <v>342</v>
      </c>
      <c r="G406" t="s">
        <v>343</v>
      </c>
      <c r="H406" t="s">
        <v>344</v>
      </c>
      <c r="I406" s="10" t="s">
        <v>491</v>
      </c>
      <c r="J406" s="167" t="s">
        <v>22</v>
      </c>
      <c r="L406" s="9" t="str">
        <f t="shared" si="51"/>
        <v>00405</v>
      </c>
      <c r="M406" s="71" t="str">
        <f t="shared" si="52"/>
        <v>12 de julio de 2017</v>
      </c>
      <c r="N406" s="39">
        <f t="shared" si="53"/>
        <v>42917</v>
      </c>
      <c r="O406" s="9" t="str">
        <f>TEXT(E406,"#.##0,00")</f>
        <v>66.000,00</v>
      </c>
      <c r="P406" s="8" t="str">
        <f>CONVERTIRNUM(E406)</f>
        <v>Sesenta y Seis Mil Bolívares con 00/100</v>
      </c>
      <c r="Q406" s="403" t="str">
        <f t="shared" si="54"/>
        <v/>
      </c>
    </row>
    <row r="407" spans="1:17" x14ac:dyDescent="0.25">
      <c r="A407" s="1">
        <f t="shared" si="55"/>
        <v>406</v>
      </c>
      <c r="C407" s="12" t="s">
        <v>17</v>
      </c>
      <c r="D407" s="2">
        <v>42928</v>
      </c>
      <c r="E407" s="3">
        <v>26000</v>
      </c>
      <c r="F407" t="s">
        <v>243</v>
      </c>
      <c r="G407" t="s">
        <v>244</v>
      </c>
      <c r="H407" t="s">
        <v>245</v>
      </c>
      <c r="I407" s="10" t="s">
        <v>474</v>
      </c>
      <c r="J407" s="167" t="s">
        <v>22</v>
      </c>
      <c r="L407" s="9" t="str">
        <f t="shared" si="51"/>
        <v>00406</v>
      </c>
      <c r="M407" s="71" t="str">
        <f t="shared" si="52"/>
        <v>12 de julio de 2017</v>
      </c>
      <c r="N407" s="39">
        <f t="shared" si="53"/>
        <v>42917</v>
      </c>
      <c r="O407" s="9" t="str">
        <f>TEXT(E407,"#.##0,00")</f>
        <v>26.000,00</v>
      </c>
      <c r="P407" s="8" t="str">
        <f>CONVERTIRNUM(E407)</f>
        <v>Veintiseis Mil Bolívares con 00/100</v>
      </c>
      <c r="Q407" s="403" t="str">
        <f t="shared" si="54"/>
        <v/>
      </c>
    </row>
    <row r="408" spans="1:17" x14ac:dyDescent="0.25">
      <c r="A408" s="1">
        <f t="shared" si="55"/>
        <v>407</v>
      </c>
      <c r="C408" s="12" t="s">
        <v>17</v>
      </c>
      <c r="D408" s="2">
        <v>42928</v>
      </c>
      <c r="E408" s="3">
        <v>26000</v>
      </c>
      <c r="F408" t="s">
        <v>408</v>
      </c>
      <c r="G408" t="s">
        <v>409</v>
      </c>
      <c r="H408" t="s">
        <v>410</v>
      </c>
      <c r="I408" s="10" t="s">
        <v>487</v>
      </c>
      <c r="J408" s="167" t="s">
        <v>22</v>
      </c>
      <c r="L408" s="9" t="str">
        <f t="shared" si="51"/>
        <v>00407</v>
      </c>
      <c r="M408" s="71" t="str">
        <f t="shared" si="52"/>
        <v>12 de julio de 2017</v>
      </c>
      <c r="N408" s="39">
        <f t="shared" si="53"/>
        <v>42917</v>
      </c>
      <c r="O408" s="9" t="str">
        <f>TEXT(E408,"#.##0,00")</f>
        <v>26.000,00</v>
      </c>
      <c r="P408" s="8" t="str">
        <f>CONVERTIRNUM(E408)</f>
        <v>Veintiseis Mil Bolívares con 00/100</v>
      </c>
      <c r="Q408" s="403" t="str">
        <f t="shared" si="54"/>
        <v/>
      </c>
    </row>
    <row r="409" spans="1:17" x14ac:dyDescent="0.25">
      <c r="A409" s="1">
        <f t="shared" si="55"/>
        <v>408</v>
      </c>
      <c r="C409" s="12" t="s">
        <v>17</v>
      </c>
      <c r="D409" s="2">
        <v>42928</v>
      </c>
      <c r="E409" s="3">
        <v>7000</v>
      </c>
      <c r="F409" t="s">
        <v>408</v>
      </c>
      <c r="G409" t="s">
        <v>409</v>
      </c>
      <c r="H409" t="s">
        <v>410</v>
      </c>
      <c r="I409" s="10" t="s">
        <v>452</v>
      </c>
      <c r="J409" s="167" t="s">
        <v>453</v>
      </c>
      <c r="L409" s="9" t="str">
        <f t="shared" si="51"/>
        <v>00408</v>
      </c>
      <c r="M409" s="71" t="str">
        <f t="shared" si="52"/>
        <v>12 de julio de 2017</v>
      </c>
      <c r="N409" s="39">
        <f t="shared" si="53"/>
        <v>42917</v>
      </c>
      <c r="O409" s="9" t="str">
        <f t="shared" ref="O409:O425" si="56">TEXT(E409,"#.##0,00")</f>
        <v>7.000,00</v>
      </c>
      <c r="P409" s="8" t="str">
        <f t="shared" ref="P409:P425" si="57">CONVERTIRNUM(E409)</f>
        <v>Siete Mil Bolívares con 00/100</v>
      </c>
      <c r="Q409" s="403" t="str">
        <f t="shared" si="54"/>
        <v/>
      </c>
    </row>
    <row r="410" spans="1:17" ht="15.75" thickBot="1" x14ac:dyDescent="0.3">
      <c r="A410" s="1">
        <f t="shared" si="55"/>
        <v>409</v>
      </c>
      <c r="C410" s="12" t="s">
        <v>17</v>
      </c>
      <c r="D410" s="2">
        <v>42928</v>
      </c>
      <c r="E410" s="3">
        <v>26000</v>
      </c>
      <c r="F410" t="s">
        <v>107</v>
      </c>
      <c r="G410" t="s">
        <v>108</v>
      </c>
      <c r="H410" t="s">
        <v>109</v>
      </c>
      <c r="I410" s="10" t="s">
        <v>474</v>
      </c>
      <c r="J410" s="167" t="s">
        <v>22</v>
      </c>
      <c r="L410" s="9" t="str">
        <f t="shared" si="51"/>
        <v>00409</v>
      </c>
      <c r="M410" s="71" t="str">
        <f t="shared" si="52"/>
        <v>12 de julio de 2017</v>
      </c>
      <c r="N410" s="39">
        <f t="shared" si="53"/>
        <v>42917</v>
      </c>
      <c r="O410" s="9" t="str">
        <f t="shared" si="56"/>
        <v>26.000,00</v>
      </c>
      <c r="P410" s="8" t="str">
        <f t="shared" si="57"/>
        <v>Veintiseis Mil Bolívares con 00/100</v>
      </c>
      <c r="Q410" s="403" t="str">
        <f t="shared" si="54"/>
        <v/>
      </c>
    </row>
    <row r="411" spans="1:17" ht="15.75" thickBot="1" x14ac:dyDescent="0.3">
      <c r="A411" s="1">
        <f t="shared" si="55"/>
        <v>410</v>
      </c>
      <c r="C411" s="12" t="s">
        <v>17</v>
      </c>
      <c r="D411" s="2">
        <v>42928</v>
      </c>
      <c r="E411" s="3">
        <v>10000</v>
      </c>
      <c r="F411" t="s">
        <v>492</v>
      </c>
      <c r="G411" s="27" t="s">
        <v>58</v>
      </c>
      <c r="H411" t="s">
        <v>493</v>
      </c>
      <c r="I411" s="10" t="s">
        <v>494</v>
      </c>
      <c r="J411" s="167" t="s">
        <v>22</v>
      </c>
      <c r="L411" s="9" t="str">
        <f t="shared" si="51"/>
        <v>00410</v>
      </c>
      <c r="M411" s="71" t="str">
        <f t="shared" si="52"/>
        <v>12 de julio de 2017</v>
      </c>
      <c r="N411" s="39">
        <f t="shared" si="53"/>
        <v>42917</v>
      </c>
      <c r="O411" s="9" t="str">
        <f t="shared" si="56"/>
        <v>10.000,00</v>
      </c>
      <c r="P411" s="8" t="str">
        <f t="shared" si="57"/>
        <v>Diez Mil Bolívares con 00/100</v>
      </c>
      <c r="Q411" s="403" t="str">
        <f t="shared" si="54"/>
        <v/>
      </c>
    </row>
    <row r="412" spans="1:17" x14ac:dyDescent="0.25">
      <c r="A412" s="1">
        <f t="shared" si="55"/>
        <v>411</v>
      </c>
      <c r="C412" s="12" t="s">
        <v>17</v>
      </c>
      <c r="D412" s="2">
        <v>42920</v>
      </c>
      <c r="E412" s="3">
        <v>18000</v>
      </c>
      <c r="F412" t="s">
        <v>264</v>
      </c>
      <c r="G412" t="s">
        <v>265</v>
      </c>
      <c r="H412" t="s">
        <v>266</v>
      </c>
      <c r="I412" s="10" t="s">
        <v>495</v>
      </c>
      <c r="J412" s="167" t="s">
        <v>22</v>
      </c>
      <c r="L412" s="9" t="str">
        <f t="shared" si="51"/>
        <v>00411</v>
      </c>
      <c r="M412" s="71" t="str">
        <f t="shared" si="52"/>
        <v>04 de julio de 2017</v>
      </c>
      <c r="N412" s="39">
        <f t="shared" si="53"/>
        <v>42917</v>
      </c>
      <c r="O412" s="9" t="str">
        <f t="shared" si="56"/>
        <v>18.000,00</v>
      </c>
      <c r="P412" s="8" t="str">
        <f t="shared" si="57"/>
        <v>Dieciocho Mil Bolívares con 00/100</v>
      </c>
      <c r="Q412" s="403" t="str">
        <f t="shared" si="54"/>
        <v/>
      </c>
    </row>
    <row r="413" spans="1:17" x14ac:dyDescent="0.25">
      <c r="A413" s="1">
        <f t="shared" si="55"/>
        <v>412</v>
      </c>
      <c r="C413" s="12" t="s">
        <v>17</v>
      </c>
      <c r="D413" s="2">
        <v>42928</v>
      </c>
      <c r="E413" s="3">
        <v>26000</v>
      </c>
      <c r="F413" t="s">
        <v>138</v>
      </c>
      <c r="G413" t="s">
        <v>139</v>
      </c>
      <c r="H413" t="s">
        <v>140</v>
      </c>
      <c r="I413" s="10" t="s">
        <v>446</v>
      </c>
      <c r="J413" s="167" t="s">
        <v>22</v>
      </c>
      <c r="L413" s="9" t="str">
        <f t="shared" si="51"/>
        <v>00412</v>
      </c>
      <c r="M413" s="71" t="str">
        <f t="shared" si="52"/>
        <v>12 de julio de 2017</v>
      </c>
      <c r="N413" s="39">
        <f t="shared" si="53"/>
        <v>42917</v>
      </c>
      <c r="O413" s="9" t="str">
        <f t="shared" si="56"/>
        <v>26.000,00</v>
      </c>
      <c r="P413" s="8" t="str">
        <f t="shared" si="57"/>
        <v>Veintiseis Mil Bolívares con 00/100</v>
      </c>
      <c r="Q413" s="403" t="str">
        <f t="shared" si="54"/>
        <v/>
      </c>
    </row>
    <row r="414" spans="1:17" ht="15.75" thickBot="1" x14ac:dyDescent="0.3">
      <c r="A414" s="1">
        <f t="shared" si="55"/>
        <v>413</v>
      </c>
      <c r="C414" s="12" t="s">
        <v>17</v>
      </c>
      <c r="D414" s="2">
        <v>42929</v>
      </c>
      <c r="E414" s="3">
        <v>26000</v>
      </c>
      <c r="F414" t="s">
        <v>162</v>
      </c>
      <c r="G414" t="s">
        <v>163</v>
      </c>
      <c r="H414" t="s">
        <v>164</v>
      </c>
      <c r="I414" s="10" t="s">
        <v>446</v>
      </c>
      <c r="J414" s="167" t="s">
        <v>22</v>
      </c>
      <c r="L414" s="9" t="str">
        <f t="shared" si="51"/>
        <v>00413</v>
      </c>
      <c r="M414" s="71" t="str">
        <f t="shared" si="52"/>
        <v>13 de julio de 2017</v>
      </c>
      <c r="N414" s="39">
        <f t="shared" si="53"/>
        <v>42917</v>
      </c>
      <c r="O414" s="9" t="str">
        <f t="shared" si="56"/>
        <v>26.000,00</v>
      </c>
      <c r="P414" s="8" t="str">
        <f t="shared" si="57"/>
        <v>Veintiseis Mil Bolívares con 00/100</v>
      </c>
      <c r="Q414" s="403" t="str">
        <f t="shared" si="54"/>
        <v/>
      </c>
    </row>
    <row r="415" spans="1:17" ht="15.75" thickBot="1" x14ac:dyDescent="0.3">
      <c r="A415" s="1">
        <f t="shared" si="55"/>
        <v>414</v>
      </c>
      <c r="C415" s="12" t="s">
        <v>17</v>
      </c>
      <c r="D415" s="2">
        <v>42930</v>
      </c>
      <c r="E415" s="3">
        <f>17000*2</f>
        <v>34000</v>
      </c>
      <c r="F415" t="s">
        <v>411</v>
      </c>
      <c r="G415" s="27" t="s">
        <v>58</v>
      </c>
      <c r="H415" t="s">
        <v>412</v>
      </c>
      <c r="I415" s="10" t="s">
        <v>496</v>
      </c>
      <c r="J415" s="167" t="s">
        <v>22</v>
      </c>
      <c r="L415" s="9" t="str">
        <f t="shared" si="51"/>
        <v>00414</v>
      </c>
      <c r="M415" s="71" t="str">
        <f t="shared" si="52"/>
        <v>14 de julio de 2017</v>
      </c>
      <c r="N415" s="39">
        <f t="shared" si="53"/>
        <v>42917</v>
      </c>
      <c r="O415" s="9" t="str">
        <f t="shared" si="56"/>
        <v>34.000,00</v>
      </c>
      <c r="P415" s="8" t="str">
        <f t="shared" si="57"/>
        <v>Treinta y Cuatro Mil Bolívares con 00/100</v>
      </c>
      <c r="Q415" s="403" t="str">
        <f t="shared" si="54"/>
        <v/>
      </c>
    </row>
    <row r="416" spans="1:17" x14ac:dyDescent="0.25">
      <c r="A416" s="1">
        <f t="shared" si="55"/>
        <v>415</v>
      </c>
      <c r="C416" s="12" t="s">
        <v>17</v>
      </c>
      <c r="D416" s="2">
        <v>42930</v>
      </c>
      <c r="E416" s="3">
        <v>27000</v>
      </c>
      <c r="F416" t="s">
        <v>201</v>
      </c>
      <c r="G416" t="s">
        <v>202</v>
      </c>
      <c r="H416" t="s">
        <v>203</v>
      </c>
      <c r="I416" s="10" t="s">
        <v>497</v>
      </c>
      <c r="J416" s="167" t="s">
        <v>22</v>
      </c>
      <c r="L416" s="9" t="str">
        <f t="shared" si="51"/>
        <v>00415</v>
      </c>
      <c r="M416" s="71" t="str">
        <f t="shared" si="52"/>
        <v>14 de julio de 2017</v>
      </c>
      <c r="N416" s="39">
        <f t="shared" si="53"/>
        <v>42917</v>
      </c>
      <c r="O416" s="9" t="str">
        <f t="shared" si="56"/>
        <v>27.000,00</v>
      </c>
      <c r="P416" s="8" t="str">
        <f t="shared" si="57"/>
        <v>Veintisiete Mil Bolívares con 00/100</v>
      </c>
      <c r="Q416" s="403" t="str">
        <f t="shared" si="54"/>
        <v/>
      </c>
    </row>
    <row r="417" spans="1:17" x14ac:dyDescent="0.25">
      <c r="A417" s="1">
        <f t="shared" si="55"/>
        <v>416</v>
      </c>
      <c r="C417" s="12" t="s">
        <v>17</v>
      </c>
      <c r="D417" s="2">
        <v>42920</v>
      </c>
      <c r="E417" s="3">
        <v>12000</v>
      </c>
      <c r="F417" t="s">
        <v>130</v>
      </c>
      <c r="G417" t="s">
        <v>131</v>
      </c>
      <c r="H417" t="s">
        <v>132</v>
      </c>
      <c r="I417" s="10" t="s">
        <v>428</v>
      </c>
      <c r="J417" s="167" t="s">
        <v>22</v>
      </c>
      <c r="L417" s="9" t="str">
        <f t="shared" si="51"/>
        <v>00416</v>
      </c>
      <c r="M417" s="71" t="str">
        <f t="shared" si="52"/>
        <v>04 de julio de 2017</v>
      </c>
      <c r="N417" s="39">
        <f t="shared" si="53"/>
        <v>42917</v>
      </c>
      <c r="O417" s="9" t="str">
        <f t="shared" si="56"/>
        <v>12.000,00</v>
      </c>
      <c r="P417" s="8" t="str">
        <f t="shared" si="57"/>
        <v>Doce Mil Bolívares con 00/100</v>
      </c>
      <c r="Q417" s="403" t="str">
        <f t="shared" si="54"/>
        <v/>
      </c>
    </row>
    <row r="418" spans="1:17" x14ac:dyDescent="0.25">
      <c r="A418" s="1">
        <f t="shared" si="55"/>
        <v>417</v>
      </c>
      <c r="C418" s="12" t="s">
        <v>17</v>
      </c>
      <c r="D418" s="2">
        <v>42930</v>
      </c>
      <c r="E418" s="3">
        <v>26000</v>
      </c>
      <c r="F418" t="s">
        <v>80</v>
      </c>
      <c r="G418" t="s">
        <v>81</v>
      </c>
      <c r="H418" t="s">
        <v>82</v>
      </c>
      <c r="I418" s="10" t="s">
        <v>474</v>
      </c>
      <c r="J418" s="167" t="s">
        <v>22</v>
      </c>
      <c r="L418" s="9" t="str">
        <f t="shared" si="51"/>
        <v>00417</v>
      </c>
      <c r="M418" s="71" t="str">
        <f t="shared" si="52"/>
        <v>14 de julio de 2017</v>
      </c>
      <c r="N418" s="39">
        <f t="shared" si="53"/>
        <v>42917</v>
      </c>
      <c r="O418" s="9" t="str">
        <f t="shared" si="56"/>
        <v>26.000,00</v>
      </c>
      <c r="P418" s="8" t="str">
        <f t="shared" si="57"/>
        <v>Veintiseis Mil Bolívares con 00/100</v>
      </c>
      <c r="Q418" s="403" t="str">
        <f t="shared" si="54"/>
        <v/>
      </c>
    </row>
    <row r="419" spans="1:17" x14ac:dyDescent="0.25">
      <c r="A419" s="1">
        <f t="shared" si="55"/>
        <v>418</v>
      </c>
      <c r="C419" s="12" t="s">
        <v>17</v>
      </c>
      <c r="D419" s="2">
        <v>42930</v>
      </c>
      <c r="E419" s="3">
        <v>20000</v>
      </c>
      <c r="F419" t="s">
        <v>181</v>
      </c>
      <c r="G419" t="s">
        <v>182</v>
      </c>
      <c r="H419" t="s">
        <v>183</v>
      </c>
      <c r="I419" s="10" t="s">
        <v>479</v>
      </c>
      <c r="J419" s="167" t="s">
        <v>22</v>
      </c>
      <c r="L419" s="9" t="str">
        <f t="shared" si="51"/>
        <v>00418</v>
      </c>
      <c r="M419" s="71" t="str">
        <f t="shared" si="52"/>
        <v>14 de julio de 2017</v>
      </c>
      <c r="N419" s="39">
        <f t="shared" si="53"/>
        <v>42917</v>
      </c>
      <c r="O419" s="9" t="str">
        <f t="shared" si="56"/>
        <v>20.000,00</v>
      </c>
      <c r="P419" s="8" t="str">
        <f t="shared" si="57"/>
        <v>Veinte Mil Bolívares con 00/100</v>
      </c>
      <c r="Q419" s="403" t="str">
        <f t="shared" si="54"/>
        <v/>
      </c>
    </row>
    <row r="420" spans="1:17" x14ac:dyDescent="0.25">
      <c r="A420" s="1">
        <f t="shared" si="55"/>
        <v>419</v>
      </c>
      <c r="C420" s="12" t="s">
        <v>17</v>
      </c>
      <c r="D420" s="2">
        <v>42916</v>
      </c>
      <c r="E420" s="3">
        <v>26000</v>
      </c>
      <c r="F420" t="s">
        <v>62</v>
      </c>
      <c r="G420" t="s">
        <v>63</v>
      </c>
      <c r="H420" t="s">
        <v>64</v>
      </c>
      <c r="I420" s="10" t="s">
        <v>446</v>
      </c>
      <c r="J420" s="167" t="s">
        <v>22</v>
      </c>
      <c r="L420" s="9" t="str">
        <f t="shared" si="51"/>
        <v>00419</v>
      </c>
      <c r="M420" s="71" t="str">
        <f t="shared" si="52"/>
        <v>30 de junio de 2017</v>
      </c>
      <c r="N420" s="39">
        <f t="shared" si="53"/>
        <v>42887</v>
      </c>
      <c r="O420" s="9" t="str">
        <f t="shared" si="56"/>
        <v>26.000,00</v>
      </c>
      <c r="P420" s="8" t="str">
        <f t="shared" si="57"/>
        <v>Veintiseis Mil Bolívares con 00/100</v>
      </c>
      <c r="Q420" s="403" t="str">
        <f t="shared" si="54"/>
        <v/>
      </c>
    </row>
    <row r="421" spans="1:17" x14ac:dyDescent="0.25">
      <c r="A421" s="1">
        <f t="shared" si="55"/>
        <v>420</v>
      </c>
      <c r="C421" s="12" t="s">
        <v>17</v>
      </c>
      <c r="D421" s="2">
        <v>42931</v>
      </c>
      <c r="E421" s="3">
        <v>15000</v>
      </c>
      <c r="F421" t="s">
        <v>402</v>
      </c>
      <c r="G421" t="s">
        <v>403</v>
      </c>
      <c r="H421" t="s">
        <v>404</v>
      </c>
      <c r="I421" s="10" t="s">
        <v>479</v>
      </c>
      <c r="J421" s="167" t="s">
        <v>22</v>
      </c>
      <c r="L421" s="9" t="str">
        <f t="shared" si="51"/>
        <v>00420</v>
      </c>
      <c r="M421" s="71" t="str">
        <f t="shared" si="52"/>
        <v>15 de julio de 2017</v>
      </c>
      <c r="N421" s="39">
        <f t="shared" si="53"/>
        <v>42917</v>
      </c>
      <c r="O421" s="9" t="str">
        <f t="shared" si="56"/>
        <v>15.000,00</v>
      </c>
      <c r="P421" s="8" t="str">
        <f t="shared" si="57"/>
        <v>Quince Mil Bolívares con 00/100</v>
      </c>
      <c r="Q421" s="403" t="str">
        <f t="shared" si="54"/>
        <v/>
      </c>
    </row>
    <row r="422" spans="1:17" ht="15.75" thickBot="1" x14ac:dyDescent="0.3">
      <c r="A422" s="1">
        <f t="shared" si="55"/>
        <v>421</v>
      </c>
      <c r="C422" s="12" t="s">
        <v>17</v>
      </c>
      <c r="D422" s="2">
        <v>42933</v>
      </c>
      <c r="E422" s="3">
        <v>26000</v>
      </c>
      <c r="F422" t="s">
        <v>363</v>
      </c>
      <c r="G422" t="s">
        <v>364</v>
      </c>
      <c r="H422" t="s">
        <v>365</v>
      </c>
      <c r="I422" s="10" t="s">
        <v>446</v>
      </c>
      <c r="J422" s="167" t="s">
        <v>22</v>
      </c>
      <c r="L422" s="9" t="str">
        <f t="shared" si="51"/>
        <v>00421</v>
      </c>
      <c r="M422" s="71" t="str">
        <f t="shared" si="52"/>
        <v>17 de julio de 2017</v>
      </c>
      <c r="N422" s="39">
        <f t="shared" si="53"/>
        <v>42917</v>
      </c>
      <c r="O422" s="9" t="str">
        <f t="shared" si="56"/>
        <v>26.000,00</v>
      </c>
      <c r="P422" s="8" t="str">
        <f t="shared" si="57"/>
        <v>Veintiseis Mil Bolívares con 00/100</v>
      </c>
      <c r="Q422" s="403" t="str">
        <f t="shared" si="54"/>
        <v/>
      </c>
    </row>
    <row r="423" spans="1:17" ht="15.75" thickBot="1" x14ac:dyDescent="0.3">
      <c r="A423" s="1">
        <f t="shared" si="55"/>
        <v>422</v>
      </c>
      <c r="C423" s="12" t="s">
        <v>17</v>
      </c>
      <c r="D423" s="2">
        <v>42933</v>
      </c>
      <c r="E423" s="3">
        <v>30000</v>
      </c>
      <c r="F423" s="31" t="s">
        <v>57</v>
      </c>
      <c r="G423" s="27" t="s">
        <v>58</v>
      </c>
      <c r="H423" s="32" t="s">
        <v>59</v>
      </c>
      <c r="I423" s="10" t="s">
        <v>474</v>
      </c>
      <c r="J423" s="167" t="s">
        <v>22</v>
      </c>
      <c r="K423" s="33"/>
      <c r="L423" s="9" t="str">
        <f t="shared" si="51"/>
        <v>00422</v>
      </c>
      <c r="M423" s="71" t="str">
        <f t="shared" si="52"/>
        <v>17 de julio de 2017</v>
      </c>
      <c r="N423" s="39">
        <f t="shared" si="53"/>
        <v>42917</v>
      </c>
      <c r="O423" s="9" t="str">
        <f t="shared" si="56"/>
        <v>30.000,00</v>
      </c>
      <c r="P423" s="8" t="str">
        <f t="shared" si="57"/>
        <v>Treinta Mil Bolívares con 00/100</v>
      </c>
      <c r="Q423" s="403" t="str">
        <f t="shared" si="54"/>
        <v/>
      </c>
    </row>
    <row r="424" spans="1:17" ht="15.75" thickBot="1" x14ac:dyDescent="0.3">
      <c r="A424" s="1">
        <f t="shared" si="55"/>
        <v>423</v>
      </c>
      <c r="C424" s="12" t="s">
        <v>17</v>
      </c>
      <c r="D424" s="2">
        <v>42933</v>
      </c>
      <c r="E424" s="3">
        <v>6000</v>
      </c>
      <c r="F424" t="s">
        <v>177</v>
      </c>
      <c r="G424" s="27" t="s">
        <v>58</v>
      </c>
      <c r="H424" t="s">
        <v>179</v>
      </c>
      <c r="I424" s="10" t="s">
        <v>498</v>
      </c>
      <c r="J424" s="167" t="s">
        <v>22</v>
      </c>
      <c r="L424" s="9" t="str">
        <f t="shared" si="51"/>
        <v>00423</v>
      </c>
      <c r="M424" s="71" t="str">
        <f t="shared" si="52"/>
        <v>17 de julio de 2017</v>
      </c>
      <c r="N424" s="39">
        <f t="shared" si="53"/>
        <v>42917</v>
      </c>
      <c r="O424" s="9" t="str">
        <f t="shared" si="56"/>
        <v>6.000,00</v>
      </c>
      <c r="P424" s="8" t="str">
        <f t="shared" si="57"/>
        <v>Seis Mil Bolívares con 00/100</v>
      </c>
      <c r="Q424" s="403" t="str">
        <f t="shared" si="54"/>
        <v/>
      </c>
    </row>
    <row r="425" spans="1:17" ht="15.75" thickBot="1" x14ac:dyDescent="0.3">
      <c r="A425" s="1">
        <f t="shared" si="55"/>
        <v>424</v>
      </c>
      <c r="C425" s="12" t="s">
        <v>17</v>
      </c>
      <c r="D425" s="2">
        <v>42934</v>
      </c>
      <c r="E425" s="3">
        <v>9000</v>
      </c>
      <c r="F425" t="s">
        <v>70</v>
      </c>
      <c r="G425" t="s">
        <v>71</v>
      </c>
      <c r="H425" t="s">
        <v>72</v>
      </c>
      <c r="I425" s="10" t="s">
        <v>499</v>
      </c>
      <c r="J425" s="167" t="s">
        <v>22</v>
      </c>
      <c r="L425" s="9" t="str">
        <f t="shared" si="51"/>
        <v>00424</v>
      </c>
      <c r="M425" s="71" t="str">
        <f t="shared" si="52"/>
        <v>18 de julio de 2017</v>
      </c>
      <c r="N425" s="39">
        <f t="shared" si="53"/>
        <v>42917</v>
      </c>
      <c r="O425" s="9" t="str">
        <f t="shared" si="56"/>
        <v>9.000,00</v>
      </c>
      <c r="P425" s="8" t="str">
        <f t="shared" si="57"/>
        <v>Nueve Mil Bolívares con 00/100</v>
      </c>
      <c r="Q425" s="403" t="str">
        <f t="shared" si="54"/>
        <v/>
      </c>
    </row>
    <row r="426" spans="1:17" ht="15.75" thickBot="1" x14ac:dyDescent="0.3">
      <c r="A426" s="1">
        <f t="shared" si="55"/>
        <v>425</v>
      </c>
      <c r="C426" s="12" t="s">
        <v>17</v>
      </c>
      <c r="D426" s="2">
        <v>42934</v>
      </c>
      <c r="E426" s="3">
        <v>10000</v>
      </c>
      <c r="F426" s="31" t="s">
        <v>57</v>
      </c>
      <c r="G426" s="27" t="s">
        <v>58</v>
      </c>
      <c r="H426" s="32" t="s">
        <v>59</v>
      </c>
      <c r="I426" s="10" t="s">
        <v>499</v>
      </c>
      <c r="J426" s="167" t="s">
        <v>22</v>
      </c>
      <c r="K426" s="33"/>
      <c r="L426" s="9" t="str">
        <f t="shared" si="51"/>
        <v>00425</v>
      </c>
      <c r="M426" s="71" t="str">
        <f t="shared" si="52"/>
        <v>18 de julio de 2017</v>
      </c>
      <c r="N426" s="39">
        <f t="shared" si="53"/>
        <v>42917</v>
      </c>
      <c r="O426" s="9" t="str">
        <f t="shared" ref="O426:O443" si="58">TEXT(E426,"#.##0,00")</f>
        <v>10.000,00</v>
      </c>
      <c r="P426" s="8" t="str">
        <f t="shared" ref="P426:P443" si="59">CONVERTIRNUM(E426)</f>
        <v>Diez Mil Bolívares con 00/100</v>
      </c>
      <c r="Q426" s="403" t="str">
        <f t="shared" si="54"/>
        <v/>
      </c>
    </row>
    <row r="427" spans="1:17" ht="15.75" thickBot="1" x14ac:dyDescent="0.3">
      <c r="A427" s="1">
        <f t="shared" si="55"/>
        <v>426</v>
      </c>
      <c r="C427" s="12" t="s">
        <v>17</v>
      </c>
      <c r="D427" s="2">
        <v>42934</v>
      </c>
      <c r="E427" s="3">
        <v>26000</v>
      </c>
      <c r="F427" t="s">
        <v>177</v>
      </c>
      <c r="G427" s="27" t="s">
        <v>58</v>
      </c>
      <c r="H427" t="s">
        <v>179</v>
      </c>
      <c r="I427" s="10" t="s">
        <v>446</v>
      </c>
      <c r="J427" s="167" t="s">
        <v>22</v>
      </c>
      <c r="L427" s="9" t="str">
        <f t="shared" si="51"/>
        <v>00426</v>
      </c>
      <c r="M427" s="71" t="str">
        <f t="shared" si="52"/>
        <v>18 de julio de 2017</v>
      </c>
      <c r="N427" s="39">
        <f t="shared" si="53"/>
        <v>42917</v>
      </c>
      <c r="O427" s="9" t="str">
        <f t="shared" si="58"/>
        <v>26.000,00</v>
      </c>
      <c r="P427" s="8" t="str">
        <f t="shared" si="59"/>
        <v>Veintiseis Mil Bolívares con 00/100</v>
      </c>
      <c r="Q427" s="403" t="str">
        <f t="shared" si="54"/>
        <v/>
      </c>
    </row>
    <row r="428" spans="1:17" x14ac:dyDescent="0.25">
      <c r="A428" s="1">
        <f t="shared" si="55"/>
        <v>427</v>
      </c>
      <c r="C428" s="12" t="s">
        <v>17</v>
      </c>
      <c r="D428" s="2">
        <v>42934</v>
      </c>
      <c r="E428" s="3">
        <v>35000</v>
      </c>
      <c r="F428" t="s">
        <v>484</v>
      </c>
      <c r="G428" t="s">
        <v>485</v>
      </c>
      <c r="H428" t="s">
        <v>486</v>
      </c>
      <c r="I428" s="10" t="s">
        <v>500</v>
      </c>
      <c r="J428" s="167" t="s">
        <v>22</v>
      </c>
      <c r="L428" s="9" t="str">
        <f t="shared" si="51"/>
        <v>00427</v>
      </c>
      <c r="M428" s="71" t="str">
        <f t="shared" si="52"/>
        <v>18 de julio de 2017</v>
      </c>
      <c r="N428" s="39">
        <f t="shared" si="53"/>
        <v>42917</v>
      </c>
      <c r="O428" s="9" t="str">
        <f t="shared" si="58"/>
        <v>35.000,00</v>
      </c>
      <c r="P428" s="8" t="str">
        <f t="shared" si="59"/>
        <v>Treinta y Cinco Mil Bolívares con 00/100</v>
      </c>
      <c r="Q428" s="403" t="str">
        <f t="shared" si="54"/>
        <v/>
      </c>
    </row>
    <row r="429" spans="1:17" x14ac:dyDescent="0.25">
      <c r="A429" s="1">
        <f t="shared" si="55"/>
        <v>428</v>
      </c>
      <c r="C429" s="12" t="s">
        <v>17</v>
      </c>
      <c r="D429" s="2">
        <v>42934</v>
      </c>
      <c r="E429" s="3">
        <v>35000</v>
      </c>
      <c r="F429" t="s">
        <v>152</v>
      </c>
      <c r="G429" t="s">
        <v>153</v>
      </c>
      <c r="H429" t="s">
        <v>154</v>
      </c>
      <c r="I429" s="10" t="s">
        <v>500</v>
      </c>
      <c r="J429" s="167" t="s">
        <v>22</v>
      </c>
      <c r="L429" s="9" t="str">
        <f t="shared" si="51"/>
        <v>00428</v>
      </c>
      <c r="M429" s="71" t="str">
        <f t="shared" si="52"/>
        <v>18 de julio de 2017</v>
      </c>
      <c r="N429" s="39">
        <f t="shared" si="53"/>
        <v>42917</v>
      </c>
      <c r="O429" s="9" t="str">
        <f t="shared" si="58"/>
        <v>35.000,00</v>
      </c>
      <c r="P429" s="8" t="str">
        <f t="shared" si="59"/>
        <v>Treinta y Cinco Mil Bolívares con 00/100</v>
      </c>
      <c r="Q429" s="403" t="str">
        <f t="shared" si="54"/>
        <v/>
      </c>
    </row>
    <row r="430" spans="1:17" x14ac:dyDescent="0.25">
      <c r="A430" s="1">
        <f t="shared" si="55"/>
        <v>429</v>
      </c>
      <c r="C430" s="12" t="s">
        <v>17</v>
      </c>
      <c r="D430" s="2">
        <v>42934</v>
      </c>
      <c r="E430" s="3">
        <v>36000</v>
      </c>
      <c r="F430" t="s">
        <v>324</v>
      </c>
      <c r="G430" t="s">
        <v>325</v>
      </c>
      <c r="H430" t="s">
        <v>326</v>
      </c>
      <c r="I430" s="10" t="s">
        <v>501</v>
      </c>
      <c r="J430" s="167" t="s">
        <v>22</v>
      </c>
      <c r="L430" s="9" t="str">
        <f t="shared" si="51"/>
        <v>00429</v>
      </c>
      <c r="M430" s="71" t="str">
        <f t="shared" si="52"/>
        <v>18 de julio de 2017</v>
      </c>
      <c r="N430" s="39">
        <f t="shared" si="53"/>
        <v>42917</v>
      </c>
      <c r="O430" s="9" t="str">
        <f t="shared" si="58"/>
        <v>36.000,00</v>
      </c>
      <c r="P430" s="8" t="str">
        <f t="shared" si="59"/>
        <v>Treinta y Seis Mil Bolívares con 00/100</v>
      </c>
      <c r="Q430" s="403" t="str">
        <f t="shared" si="54"/>
        <v/>
      </c>
    </row>
    <row r="431" spans="1:17" x14ac:dyDescent="0.25">
      <c r="A431" s="1">
        <f t="shared" si="55"/>
        <v>430</v>
      </c>
      <c r="C431" s="12" t="s">
        <v>17</v>
      </c>
      <c r="D431" s="2">
        <v>42929</v>
      </c>
      <c r="E431" s="3">
        <v>20000</v>
      </c>
      <c r="F431" t="s">
        <v>284</v>
      </c>
      <c r="G431" t="s">
        <v>276</v>
      </c>
      <c r="H431" t="s">
        <v>285</v>
      </c>
      <c r="I431" s="10" t="s">
        <v>502</v>
      </c>
      <c r="J431" s="167" t="s">
        <v>22</v>
      </c>
      <c r="L431" s="9" t="str">
        <f t="shared" si="51"/>
        <v>00430</v>
      </c>
      <c r="M431" s="71" t="str">
        <f t="shared" si="52"/>
        <v>13 de julio de 2017</v>
      </c>
      <c r="N431" s="39">
        <f t="shared" si="53"/>
        <v>42917</v>
      </c>
      <c r="O431" s="9" t="str">
        <f t="shared" si="58"/>
        <v>20.000,00</v>
      </c>
      <c r="P431" s="8" t="str">
        <f t="shared" si="59"/>
        <v>Veinte Mil Bolívares con 00/100</v>
      </c>
      <c r="Q431" s="403" t="str">
        <f t="shared" si="54"/>
        <v/>
      </c>
    </row>
    <row r="432" spans="1:17" x14ac:dyDescent="0.25">
      <c r="A432" s="1">
        <f t="shared" si="55"/>
        <v>431</v>
      </c>
      <c r="C432" s="12" t="s">
        <v>17</v>
      </c>
      <c r="D432" s="2">
        <v>42934</v>
      </c>
      <c r="E432" s="3">
        <v>9000</v>
      </c>
      <c r="F432" t="s">
        <v>18</v>
      </c>
      <c r="G432" t="s">
        <v>19</v>
      </c>
      <c r="H432" t="s">
        <v>20</v>
      </c>
      <c r="I432" s="10" t="s">
        <v>503</v>
      </c>
      <c r="J432" s="167" t="s">
        <v>22</v>
      </c>
      <c r="L432" s="9" t="str">
        <f t="shared" si="51"/>
        <v>00431</v>
      </c>
      <c r="M432" s="71" t="str">
        <f t="shared" si="52"/>
        <v>18 de julio de 2017</v>
      </c>
      <c r="N432" s="39">
        <f t="shared" si="53"/>
        <v>42917</v>
      </c>
      <c r="O432" s="9" t="str">
        <f t="shared" si="58"/>
        <v>9.000,00</v>
      </c>
      <c r="P432" s="8" t="str">
        <f t="shared" si="59"/>
        <v>Nueve Mil Bolívares con 00/100</v>
      </c>
      <c r="Q432" s="403" t="str">
        <f t="shared" si="54"/>
        <v/>
      </c>
    </row>
    <row r="433" spans="1:17" x14ac:dyDescent="0.25">
      <c r="A433" s="390">
        <f t="shared" si="55"/>
        <v>432</v>
      </c>
      <c r="C433" s="12" t="s">
        <v>17</v>
      </c>
      <c r="D433" s="2">
        <v>42934</v>
      </c>
      <c r="E433" s="3">
        <v>9000</v>
      </c>
      <c r="F433" t="s">
        <v>439</v>
      </c>
      <c r="G433" t="s">
        <v>440</v>
      </c>
      <c r="H433" t="s">
        <v>441</v>
      </c>
      <c r="I433" s="10" t="s">
        <v>504</v>
      </c>
      <c r="J433" s="167" t="s">
        <v>22</v>
      </c>
      <c r="L433" s="9" t="str">
        <f t="shared" si="51"/>
        <v>00432</v>
      </c>
      <c r="M433" s="71" t="str">
        <f t="shared" si="52"/>
        <v>18 de julio de 2017</v>
      </c>
      <c r="N433" s="39">
        <f t="shared" si="53"/>
        <v>42917</v>
      </c>
      <c r="O433" s="9" t="str">
        <f t="shared" si="58"/>
        <v>9.000,00</v>
      </c>
      <c r="P433" s="8" t="str">
        <f t="shared" si="59"/>
        <v>Nueve Mil Bolívares con 00/100</v>
      </c>
      <c r="Q433" s="403" t="str">
        <f t="shared" si="54"/>
        <v/>
      </c>
    </row>
    <row r="434" spans="1:17" x14ac:dyDescent="0.25">
      <c r="A434" s="1">
        <f t="shared" si="55"/>
        <v>433</v>
      </c>
      <c r="C434" s="12" t="s">
        <v>17</v>
      </c>
      <c r="D434" s="2">
        <v>42934</v>
      </c>
      <c r="E434" s="3">
        <v>9000</v>
      </c>
      <c r="F434" t="s">
        <v>100</v>
      </c>
      <c r="G434" t="s">
        <v>95</v>
      </c>
      <c r="H434" t="s">
        <v>101</v>
      </c>
      <c r="I434" s="10" t="s">
        <v>499</v>
      </c>
      <c r="J434" s="167" t="s">
        <v>22</v>
      </c>
      <c r="L434" s="9" t="str">
        <f t="shared" si="51"/>
        <v>00433</v>
      </c>
      <c r="M434" s="71" t="str">
        <f t="shared" si="52"/>
        <v>18 de julio de 2017</v>
      </c>
      <c r="N434" s="39">
        <f t="shared" si="53"/>
        <v>42917</v>
      </c>
      <c r="O434" s="9" t="str">
        <f t="shared" si="58"/>
        <v>9.000,00</v>
      </c>
      <c r="P434" s="8" t="str">
        <f t="shared" si="59"/>
        <v>Nueve Mil Bolívares con 00/100</v>
      </c>
      <c r="Q434" s="403" t="str">
        <f t="shared" si="54"/>
        <v/>
      </c>
    </row>
    <row r="435" spans="1:17" x14ac:dyDescent="0.25">
      <c r="A435" s="1">
        <f t="shared" si="55"/>
        <v>434</v>
      </c>
      <c r="C435" s="12" t="s">
        <v>17</v>
      </c>
      <c r="D435" s="2">
        <v>42934</v>
      </c>
      <c r="E435" s="3">
        <v>9000</v>
      </c>
      <c r="F435" t="s">
        <v>80</v>
      </c>
      <c r="G435" t="s">
        <v>81</v>
      </c>
      <c r="H435" t="s">
        <v>82</v>
      </c>
      <c r="I435" s="10" t="s">
        <v>499</v>
      </c>
      <c r="J435" s="167" t="s">
        <v>22</v>
      </c>
      <c r="L435" s="9" t="str">
        <f t="shared" si="51"/>
        <v>00434</v>
      </c>
      <c r="M435" s="71" t="str">
        <f t="shared" si="52"/>
        <v>18 de julio de 2017</v>
      </c>
      <c r="N435" s="39">
        <f t="shared" si="53"/>
        <v>42917</v>
      </c>
      <c r="O435" s="9" t="str">
        <f t="shared" si="58"/>
        <v>9.000,00</v>
      </c>
      <c r="P435" s="8" t="str">
        <f t="shared" si="59"/>
        <v>Nueve Mil Bolívares con 00/100</v>
      </c>
      <c r="Q435" s="403" t="str">
        <f t="shared" si="54"/>
        <v/>
      </c>
    </row>
    <row r="436" spans="1:17" x14ac:dyDescent="0.25">
      <c r="A436" s="1">
        <f t="shared" si="55"/>
        <v>435</v>
      </c>
      <c r="C436" s="12" t="s">
        <v>17</v>
      </c>
      <c r="D436" s="2">
        <v>42935</v>
      </c>
      <c r="E436" s="3">
        <v>10000</v>
      </c>
      <c r="F436" t="s">
        <v>36</v>
      </c>
      <c r="G436" t="s">
        <v>37</v>
      </c>
      <c r="H436" t="s">
        <v>38</v>
      </c>
      <c r="I436" s="10" t="s">
        <v>499</v>
      </c>
      <c r="J436" s="167" t="s">
        <v>22</v>
      </c>
      <c r="L436" s="9" t="str">
        <f t="shared" si="51"/>
        <v>00435</v>
      </c>
      <c r="M436" s="71" t="str">
        <f t="shared" si="52"/>
        <v>19 de julio de 2017</v>
      </c>
      <c r="N436" s="39">
        <f t="shared" si="53"/>
        <v>42917</v>
      </c>
      <c r="O436" s="9" t="str">
        <f t="shared" si="58"/>
        <v>10.000,00</v>
      </c>
      <c r="P436" s="8" t="str">
        <f t="shared" si="59"/>
        <v>Diez Mil Bolívares con 00/100</v>
      </c>
      <c r="Q436" s="403" t="str">
        <f t="shared" si="54"/>
        <v/>
      </c>
    </row>
    <row r="437" spans="1:17" x14ac:dyDescent="0.25">
      <c r="A437" s="1">
        <f t="shared" si="55"/>
        <v>436</v>
      </c>
      <c r="C437" s="12" t="s">
        <v>17</v>
      </c>
      <c r="D437" s="2">
        <v>42935</v>
      </c>
      <c r="E437" s="3">
        <v>25000</v>
      </c>
      <c r="F437" t="s">
        <v>28</v>
      </c>
      <c r="G437" t="s">
        <v>29</v>
      </c>
      <c r="H437" t="s">
        <v>30</v>
      </c>
      <c r="I437" s="10" t="s">
        <v>479</v>
      </c>
      <c r="J437" s="167" t="s">
        <v>22</v>
      </c>
      <c r="L437" s="9" t="str">
        <f t="shared" si="51"/>
        <v>00436</v>
      </c>
      <c r="M437" s="71" t="str">
        <f t="shared" si="52"/>
        <v>19 de julio de 2017</v>
      </c>
      <c r="N437" s="39">
        <f t="shared" si="53"/>
        <v>42917</v>
      </c>
      <c r="O437" s="9" t="str">
        <f t="shared" si="58"/>
        <v>25.000,00</v>
      </c>
      <c r="P437" s="8" t="str">
        <f t="shared" si="59"/>
        <v>Veinticinco Mil Bolívares con 00/100</v>
      </c>
      <c r="Q437" s="403" t="str">
        <f t="shared" si="54"/>
        <v/>
      </c>
    </row>
    <row r="438" spans="1:17" x14ac:dyDescent="0.25">
      <c r="A438" s="1">
        <f t="shared" si="55"/>
        <v>437</v>
      </c>
      <c r="C438" s="12" t="s">
        <v>17</v>
      </c>
      <c r="D438" s="2">
        <v>42935</v>
      </c>
      <c r="E438" s="3">
        <v>9000</v>
      </c>
      <c r="F438" t="s">
        <v>44</v>
      </c>
      <c r="G438" t="s">
        <v>45</v>
      </c>
      <c r="H438" t="s">
        <v>46</v>
      </c>
      <c r="I438" s="10" t="s">
        <v>499</v>
      </c>
      <c r="J438" s="167" t="s">
        <v>22</v>
      </c>
      <c r="L438" s="9" t="str">
        <f t="shared" si="51"/>
        <v>00437</v>
      </c>
      <c r="M438" s="71" t="str">
        <f t="shared" si="52"/>
        <v>19 de julio de 2017</v>
      </c>
      <c r="N438" s="39">
        <f t="shared" si="53"/>
        <v>42917</v>
      </c>
      <c r="O438" s="9" t="str">
        <f t="shared" si="58"/>
        <v>9.000,00</v>
      </c>
      <c r="P438" s="8" t="str">
        <f t="shared" si="59"/>
        <v>Nueve Mil Bolívares con 00/100</v>
      </c>
      <c r="Q438" s="403" t="str">
        <f t="shared" si="54"/>
        <v/>
      </c>
    </row>
    <row r="439" spans="1:17" x14ac:dyDescent="0.25">
      <c r="A439" s="1">
        <f t="shared" si="55"/>
        <v>438</v>
      </c>
      <c r="C439" s="12" t="s">
        <v>17</v>
      </c>
      <c r="D439" s="2">
        <v>42935</v>
      </c>
      <c r="E439" s="3">
        <v>30000</v>
      </c>
      <c r="F439" t="s">
        <v>354</v>
      </c>
      <c r="G439" t="s">
        <v>355</v>
      </c>
      <c r="H439" t="s">
        <v>356</v>
      </c>
      <c r="I439" s="10" t="s">
        <v>479</v>
      </c>
      <c r="J439" s="167" t="s">
        <v>22</v>
      </c>
      <c r="L439" s="9" t="str">
        <f t="shared" si="51"/>
        <v>00438</v>
      </c>
      <c r="M439" s="71" t="str">
        <f t="shared" si="52"/>
        <v>19 de julio de 2017</v>
      </c>
      <c r="N439" s="39">
        <f t="shared" si="53"/>
        <v>42917</v>
      </c>
      <c r="O439" s="9" t="str">
        <f t="shared" si="58"/>
        <v>30.000,00</v>
      </c>
      <c r="P439" s="8" t="str">
        <f t="shared" si="59"/>
        <v>Treinta Mil Bolívares con 00/100</v>
      </c>
      <c r="Q439" s="403" t="str">
        <f t="shared" si="54"/>
        <v/>
      </c>
    </row>
    <row r="440" spans="1:17" x14ac:dyDescent="0.25">
      <c r="A440" s="1">
        <f t="shared" si="55"/>
        <v>439</v>
      </c>
      <c r="C440" s="12" t="s">
        <v>17</v>
      </c>
      <c r="D440" s="2">
        <v>42934</v>
      </c>
      <c r="E440" s="3">
        <v>52000</v>
      </c>
      <c r="F440" t="s">
        <v>215</v>
      </c>
      <c r="G440" t="s">
        <v>216</v>
      </c>
      <c r="H440" t="s">
        <v>217</v>
      </c>
      <c r="I440" s="10" t="s">
        <v>505</v>
      </c>
      <c r="J440" s="167" t="s">
        <v>22</v>
      </c>
      <c r="L440" s="9" t="str">
        <f t="shared" si="51"/>
        <v>00439</v>
      </c>
      <c r="M440" s="71" t="str">
        <f t="shared" si="52"/>
        <v>18 de julio de 2017</v>
      </c>
      <c r="N440" s="39">
        <f t="shared" si="53"/>
        <v>42917</v>
      </c>
      <c r="O440" s="9" t="str">
        <f t="shared" si="58"/>
        <v>52.000,00</v>
      </c>
      <c r="P440" s="8" t="str">
        <f t="shared" si="59"/>
        <v>Cincuenta y Dos Mil Bolívares con 00/100</v>
      </c>
      <c r="Q440" s="403" t="str">
        <f t="shared" si="54"/>
        <v/>
      </c>
    </row>
    <row r="441" spans="1:17" x14ac:dyDescent="0.25">
      <c r="A441" s="1">
        <f t="shared" si="55"/>
        <v>440</v>
      </c>
      <c r="C441" s="12" t="s">
        <v>17</v>
      </c>
      <c r="D441" s="2">
        <v>42935</v>
      </c>
      <c r="E441" s="3">
        <v>9000</v>
      </c>
      <c r="F441" t="s">
        <v>107</v>
      </c>
      <c r="G441" t="s">
        <v>108</v>
      </c>
      <c r="H441" t="s">
        <v>109</v>
      </c>
      <c r="I441" s="10" t="s">
        <v>499</v>
      </c>
      <c r="J441" s="167" t="s">
        <v>22</v>
      </c>
      <c r="L441" s="9" t="str">
        <f t="shared" si="51"/>
        <v>00440</v>
      </c>
      <c r="M441" s="71" t="str">
        <f t="shared" si="52"/>
        <v>19 de julio de 2017</v>
      </c>
      <c r="N441" s="39">
        <f t="shared" si="53"/>
        <v>42917</v>
      </c>
      <c r="O441" s="9" t="str">
        <f t="shared" si="58"/>
        <v>9.000,00</v>
      </c>
      <c r="P441" s="8" t="str">
        <f t="shared" si="59"/>
        <v>Nueve Mil Bolívares con 00/100</v>
      </c>
      <c r="Q441" s="403" t="str">
        <f t="shared" si="54"/>
        <v/>
      </c>
    </row>
    <row r="442" spans="1:17" x14ac:dyDescent="0.25">
      <c r="A442" s="1">
        <f t="shared" si="55"/>
        <v>441</v>
      </c>
      <c r="C442" s="12" t="s">
        <v>17</v>
      </c>
      <c r="D442" s="2">
        <v>42935</v>
      </c>
      <c r="E442" s="3">
        <v>9000</v>
      </c>
      <c r="F442" t="s">
        <v>90</v>
      </c>
      <c r="G442" t="s">
        <v>91</v>
      </c>
      <c r="H442" t="s">
        <v>92</v>
      </c>
      <c r="I442" s="10" t="s">
        <v>499</v>
      </c>
      <c r="J442" s="167" t="s">
        <v>22</v>
      </c>
      <c r="L442" s="9" t="str">
        <f t="shared" si="51"/>
        <v>00441</v>
      </c>
      <c r="M442" s="71" t="str">
        <f t="shared" si="52"/>
        <v>19 de julio de 2017</v>
      </c>
      <c r="N442" s="39">
        <f t="shared" si="53"/>
        <v>42917</v>
      </c>
      <c r="O442" s="9" t="str">
        <f t="shared" si="58"/>
        <v>9.000,00</v>
      </c>
      <c r="P442" s="8" t="str">
        <f t="shared" si="59"/>
        <v>Nueve Mil Bolívares con 00/100</v>
      </c>
      <c r="Q442" s="403" t="str">
        <f t="shared" si="54"/>
        <v/>
      </c>
    </row>
    <row r="443" spans="1:17" x14ac:dyDescent="0.25">
      <c r="A443" s="1">
        <f t="shared" si="55"/>
        <v>442</v>
      </c>
      <c r="C443" s="12" t="s">
        <v>17</v>
      </c>
      <c r="D443" s="2">
        <v>42933</v>
      </c>
      <c r="E443" s="3">
        <v>15000</v>
      </c>
      <c r="F443" t="s">
        <v>130</v>
      </c>
      <c r="G443" t="s">
        <v>131</v>
      </c>
      <c r="H443" t="s">
        <v>132</v>
      </c>
      <c r="I443" s="10" t="s">
        <v>447</v>
      </c>
      <c r="J443" s="167" t="s">
        <v>22</v>
      </c>
      <c r="L443" s="9" t="str">
        <f t="shared" si="51"/>
        <v>00442</v>
      </c>
      <c r="M443" s="71" t="str">
        <f t="shared" si="52"/>
        <v>17 de julio de 2017</v>
      </c>
      <c r="N443" s="39">
        <f t="shared" si="53"/>
        <v>42917</v>
      </c>
      <c r="O443" s="9" t="str">
        <f t="shared" si="58"/>
        <v>15.000,00</v>
      </c>
      <c r="P443" s="8" t="str">
        <f t="shared" si="59"/>
        <v>Quince Mil Bolívares con 00/100</v>
      </c>
      <c r="Q443" s="403" t="str">
        <f t="shared" si="54"/>
        <v/>
      </c>
    </row>
    <row r="444" spans="1:17" x14ac:dyDescent="0.25">
      <c r="A444" s="1">
        <f t="shared" si="55"/>
        <v>443</v>
      </c>
      <c r="C444" s="12" t="s">
        <v>17</v>
      </c>
      <c r="D444" s="2">
        <v>42936</v>
      </c>
      <c r="E444" s="3">
        <v>5100</v>
      </c>
      <c r="F444" t="s">
        <v>324</v>
      </c>
      <c r="G444" t="s">
        <v>325</v>
      </c>
      <c r="H444" t="s">
        <v>326</v>
      </c>
      <c r="I444" s="10" t="s">
        <v>506</v>
      </c>
      <c r="J444" s="167" t="s">
        <v>22</v>
      </c>
      <c r="L444" s="9" t="str">
        <f t="shared" si="51"/>
        <v>00443</v>
      </c>
      <c r="M444" s="71" t="str">
        <f t="shared" si="52"/>
        <v>20 de julio de 2017</v>
      </c>
      <c r="N444" s="39">
        <f t="shared" si="53"/>
        <v>42917</v>
      </c>
      <c r="O444" s="9" t="str">
        <f t="shared" ref="O444:O459" si="60">TEXT(E444,"#.##0,00")</f>
        <v>5.100,00</v>
      </c>
      <c r="P444" s="8" t="str">
        <f t="shared" ref="P444:P459" si="61">CONVERTIRNUM(E444)</f>
        <v>Cinco Mil Cien Bolívares con 00/100</v>
      </c>
      <c r="Q444" s="403" t="str">
        <f t="shared" si="54"/>
        <v/>
      </c>
    </row>
    <row r="445" spans="1:17" x14ac:dyDescent="0.25">
      <c r="A445" s="1">
        <f t="shared" si="55"/>
        <v>444</v>
      </c>
      <c r="C445" s="12" t="s">
        <v>17</v>
      </c>
      <c r="D445" s="2">
        <v>42936</v>
      </c>
      <c r="E445" s="3">
        <v>35000</v>
      </c>
      <c r="F445" t="s">
        <v>103</v>
      </c>
      <c r="G445" t="s">
        <v>104</v>
      </c>
      <c r="H445" t="s">
        <v>105</v>
      </c>
      <c r="I445" s="10" t="s">
        <v>500</v>
      </c>
      <c r="J445" s="167" t="s">
        <v>22</v>
      </c>
      <c r="L445" s="9" t="str">
        <f t="shared" si="51"/>
        <v>00444</v>
      </c>
      <c r="M445" s="71" t="str">
        <f t="shared" si="52"/>
        <v>20 de julio de 2017</v>
      </c>
      <c r="N445" s="39">
        <f t="shared" si="53"/>
        <v>42917</v>
      </c>
      <c r="O445" s="9" t="str">
        <f t="shared" si="60"/>
        <v>35.000,00</v>
      </c>
      <c r="P445" s="8" t="str">
        <f t="shared" si="61"/>
        <v>Treinta y Cinco Mil Bolívares con 00/100</v>
      </c>
      <c r="Q445" s="403" t="str">
        <f t="shared" si="54"/>
        <v/>
      </c>
    </row>
    <row r="446" spans="1:17" x14ac:dyDescent="0.25">
      <c r="A446" s="1">
        <f t="shared" si="55"/>
        <v>445</v>
      </c>
      <c r="C446" s="12" t="s">
        <v>17</v>
      </c>
      <c r="D446" s="2">
        <v>42936</v>
      </c>
      <c r="E446" s="3">
        <v>25000</v>
      </c>
      <c r="F446" t="s">
        <v>134</v>
      </c>
      <c r="G446" t="s">
        <v>135</v>
      </c>
      <c r="H446" t="s">
        <v>136</v>
      </c>
      <c r="I446" s="10" t="s">
        <v>446</v>
      </c>
      <c r="J446" s="167" t="s">
        <v>22</v>
      </c>
      <c r="L446" s="9" t="str">
        <f t="shared" si="51"/>
        <v>00445</v>
      </c>
      <c r="M446" s="71" t="str">
        <f t="shared" si="52"/>
        <v>20 de julio de 2017</v>
      </c>
      <c r="N446" s="39">
        <f t="shared" si="53"/>
        <v>42917</v>
      </c>
      <c r="O446" s="9" t="str">
        <f t="shared" si="60"/>
        <v>25.000,00</v>
      </c>
      <c r="P446" s="8" t="str">
        <f t="shared" si="61"/>
        <v>Veinticinco Mil Bolívares con 00/100</v>
      </c>
      <c r="Q446" s="403" t="str">
        <f t="shared" si="54"/>
        <v/>
      </c>
    </row>
    <row r="447" spans="1:17" x14ac:dyDescent="0.25">
      <c r="A447" s="1">
        <f t="shared" si="55"/>
        <v>446</v>
      </c>
      <c r="C447" s="12" t="s">
        <v>17</v>
      </c>
      <c r="D447" s="2">
        <v>42937</v>
      </c>
      <c r="E447" s="3">
        <v>5000</v>
      </c>
      <c r="F447" t="s">
        <v>144</v>
      </c>
      <c r="G447" t="s">
        <v>145</v>
      </c>
      <c r="H447" t="s">
        <v>146</v>
      </c>
      <c r="I447" s="10" t="s">
        <v>479</v>
      </c>
      <c r="J447" s="167" t="s">
        <v>22</v>
      </c>
      <c r="L447" s="9" t="str">
        <f t="shared" si="51"/>
        <v>00446</v>
      </c>
      <c r="M447" s="71" t="str">
        <f t="shared" si="52"/>
        <v>21 de julio de 2017</v>
      </c>
      <c r="N447" s="39">
        <f t="shared" si="53"/>
        <v>42917</v>
      </c>
      <c r="O447" s="9" t="str">
        <f t="shared" si="60"/>
        <v>5.000,00</v>
      </c>
      <c r="P447" s="8" t="str">
        <f t="shared" si="61"/>
        <v>Cinco Mil Bolívares con 00/100</v>
      </c>
      <c r="Q447" s="403" t="str">
        <f t="shared" si="54"/>
        <v/>
      </c>
    </row>
    <row r="448" spans="1:17" x14ac:dyDescent="0.25">
      <c r="A448" s="1">
        <f t="shared" si="55"/>
        <v>447</v>
      </c>
      <c r="C448" s="12" t="s">
        <v>17</v>
      </c>
      <c r="D448" s="2">
        <v>42939</v>
      </c>
      <c r="E448" s="3">
        <v>9000</v>
      </c>
      <c r="F448" t="s">
        <v>24</v>
      </c>
      <c r="G448" t="s">
        <v>25</v>
      </c>
      <c r="H448" t="s">
        <v>26</v>
      </c>
      <c r="I448" s="10" t="s">
        <v>499</v>
      </c>
      <c r="J448" s="167" t="s">
        <v>22</v>
      </c>
      <c r="L448" s="9" t="str">
        <f t="shared" si="51"/>
        <v>00447</v>
      </c>
      <c r="M448" s="71" t="str">
        <f t="shared" si="52"/>
        <v>23 de julio de 2017</v>
      </c>
      <c r="N448" s="39">
        <f t="shared" si="53"/>
        <v>42917</v>
      </c>
      <c r="O448" s="9" t="str">
        <f t="shared" si="60"/>
        <v>9.000,00</v>
      </c>
      <c r="P448" s="8" t="str">
        <f t="shared" si="61"/>
        <v>Nueve Mil Bolívares con 00/100</v>
      </c>
      <c r="Q448" s="403" t="str">
        <f t="shared" si="54"/>
        <v/>
      </c>
    </row>
    <row r="449" spans="1:17" x14ac:dyDescent="0.25">
      <c r="A449" s="1">
        <f t="shared" si="55"/>
        <v>448</v>
      </c>
      <c r="C449" s="12" t="s">
        <v>17</v>
      </c>
      <c r="D449" s="2">
        <v>42893</v>
      </c>
      <c r="E449" s="3">
        <v>26000</v>
      </c>
      <c r="F449" t="s">
        <v>66</v>
      </c>
      <c r="G449" t="s">
        <v>67</v>
      </c>
      <c r="H449" t="s">
        <v>68</v>
      </c>
      <c r="I449" s="10" t="s">
        <v>474</v>
      </c>
      <c r="J449" s="167" t="s">
        <v>22</v>
      </c>
      <c r="L449" s="9" t="str">
        <f t="shared" si="51"/>
        <v>00448</v>
      </c>
      <c r="M449" s="71" t="str">
        <f t="shared" si="52"/>
        <v>07 de junio de 2017</v>
      </c>
      <c r="N449" s="39">
        <f t="shared" si="53"/>
        <v>42887</v>
      </c>
      <c r="O449" s="9" t="str">
        <f t="shared" si="60"/>
        <v>26.000,00</v>
      </c>
      <c r="P449" s="8" t="str">
        <f t="shared" si="61"/>
        <v>Veintiseis Mil Bolívares con 00/100</v>
      </c>
      <c r="Q449" s="403" t="str">
        <f t="shared" si="54"/>
        <v/>
      </c>
    </row>
    <row r="450" spans="1:17" ht="15.75" thickBot="1" x14ac:dyDescent="0.3">
      <c r="A450" s="1">
        <f t="shared" si="55"/>
        <v>449</v>
      </c>
      <c r="C450" s="12" t="s">
        <v>17</v>
      </c>
      <c r="D450" s="2">
        <v>42939</v>
      </c>
      <c r="E450" s="3">
        <v>44000</v>
      </c>
      <c r="F450" t="s">
        <v>66</v>
      </c>
      <c r="G450" t="s">
        <v>67</v>
      </c>
      <c r="H450" t="s">
        <v>68</v>
      </c>
      <c r="I450" s="10" t="s">
        <v>507</v>
      </c>
      <c r="J450" s="167" t="s">
        <v>22</v>
      </c>
      <c r="L450" s="9" t="str">
        <f t="shared" ref="L450:L513" si="62">IF(ISBLANK(A450),"",TEXT(A450,"00000"))</f>
        <v>00449</v>
      </c>
      <c r="M450" s="71" t="str">
        <f t="shared" ref="M450:M513" si="63">IF(ISBLANK(D450),"",TEXT(D450,"dd")&amp;" de "&amp;TEXT(D450,"mmmm")&amp;" de "&amp;TEXT(YEAR(D450),"0"))</f>
        <v>23 de julio de 2017</v>
      </c>
      <c r="N450" s="39">
        <f t="shared" ref="N450:N513" si="64">DATE(YEAR(D450),MONTH(D450),1)</f>
        <v>42917</v>
      </c>
      <c r="O450" s="9" t="str">
        <f t="shared" si="60"/>
        <v>44.000,00</v>
      </c>
      <c r="P450" s="8" t="str">
        <f t="shared" si="61"/>
        <v>Cuarenta y Cuatro Mil Bolívares con 00/100</v>
      </c>
      <c r="Q450" s="403" t="str">
        <f t="shared" si="54"/>
        <v/>
      </c>
    </row>
    <row r="451" spans="1:17" ht="15.75" thickBot="1" x14ac:dyDescent="0.3">
      <c r="A451" s="1">
        <f t="shared" si="55"/>
        <v>450</v>
      </c>
      <c r="C451" s="12" t="s">
        <v>17</v>
      </c>
      <c r="D451" s="2">
        <v>42940</v>
      </c>
      <c r="E451" s="3">
        <f>2*54000</f>
        <v>108000</v>
      </c>
      <c r="F451" s="36" t="s">
        <v>423</v>
      </c>
      <c r="G451" s="27" t="s">
        <v>58</v>
      </c>
      <c r="H451" t="s">
        <v>424</v>
      </c>
      <c r="I451" s="10" t="s">
        <v>508</v>
      </c>
      <c r="J451" s="167" t="s">
        <v>22</v>
      </c>
      <c r="L451" s="9" t="str">
        <f t="shared" si="62"/>
        <v>00450</v>
      </c>
      <c r="M451" s="71" t="str">
        <f t="shared" si="63"/>
        <v>24 de julio de 2017</v>
      </c>
      <c r="N451" s="39">
        <f t="shared" si="64"/>
        <v>42917</v>
      </c>
      <c r="O451" s="9" t="str">
        <f t="shared" si="60"/>
        <v>108.000,00</v>
      </c>
      <c r="P451" s="8" t="str">
        <f t="shared" si="61"/>
        <v>Ciento Ocho Mil Bolívares con 00/100</v>
      </c>
      <c r="Q451" s="403" t="str">
        <f t="shared" ref="Q451:Q514" si="65">IF(C451="û","Anulado","")</f>
        <v/>
      </c>
    </row>
    <row r="452" spans="1:17" x14ac:dyDescent="0.25">
      <c r="A452" s="1">
        <f t="shared" ref="A452:A515" si="66">A451+1</f>
        <v>451</v>
      </c>
      <c r="C452" s="12" t="s">
        <v>225</v>
      </c>
      <c r="D452" s="2">
        <v>42831</v>
      </c>
      <c r="E452" s="3">
        <v>14000</v>
      </c>
      <c r="F452" t="s">
        <v>275</v>
      </c>
      <c r="G452" t="s">
        <v>276</v>
      </c>
      <c r="H452" t="s">
        <v>277</v>
      </c>
      <c r="I452" s="10" t="s">
        <v>509</v>
      </c>
      <c r="J452" s="167" t="s">
        <v>427</v>
      </c>
      <c r="L452" s="9" t="str">
        <f t="shared" si="62"/>
        <v>00451</v>
      </c>
      <c r="M452" s="71" t="str">
        <f t="shared" si="63"/>
        <v>06 de abril de 2017</v>
      </c>
      <c r="N452" s="39">
        <f t="shared" si="64"/>
        <v>42826</v>
      </c>
      <c r="O452" s="9" t="str">
        <f t="shared" si="60"/>
        <v>14.000,00</v>
      </c>
      <c r="P452" s="8" t="str">
        <f t="shared" si="61"/>
        <v>Catorce Mil Bolívares con 00/100</v>
      </c>
      <c r="Q452" s="403" t="str">
        <f t="shared" si="65"/>
        <v>Anulado</v>
      </c>
    </row>
    <row r="453" spans="1:17" x14ac:dyDescent="0.25">
      <c r="A453" s="1">
        <f t="shared" si="66"/>
        <v>452</v>
      </c>
      <c r="C453" s="12" t="s">
        <v>225</v>
      </c>
      <c r="D453" s="2">
        <v>42865</v>
      </c>
      <c r="E453" s="3">
        <v>17000</v>
      </c>
      <c r="F453" t="s">
        <v>275</v>
      </c>
      <c r="G453" t="s">
        <v>276</v>
      </c>
      <c r="H453" t="s">
        <v>277</v>
      </c>
      <c r="I453" s="10" t="s">
        <v>510</v>
      </c>
      <c r="J453" s="167" t="s">
        <v>427</v>
      </c>
      <c r="L453" s="9" t="str">
        <f t="shared" si="62"/>
        <v>00452</v>
      </c>
      <c r="M453" s="71" t="str">
        <f t="shared" si="63"/>
        <v>10 de mayo de 2017</v>
      </c>
      <c r="N453" s="39">
        <f t="shared" si="64"/>
        <v>42856</v>
      </c>
      <c r="O453" s="9" t="str">
        <f t="shared" si="60"/>
        <v>17.000,00</v>
      </c>
      <c r="P453" s="8" t="str">
        <f t="shared" si="61"/>
        <v>Diecisiete Mil Bolívares con 00/100</v>
      </c>
      <c r="Q453" s="403" t="str">
        <f t="shared" si="65"/>
        <v>Anulado</v>
      </c>
    </row>
    <row r="454" spans="1:17" x14ac:dyDescent="0.25">
      <c r="A454" s="1">
        <f t="shared" si="66"/>
        <v>453</v>
      </c>
      <c r="C454" s="12" t="s">
        <v>225</v>
      </c>
      <c r="D454" s="2">
        <v>42929</v>
      </c>
      <c r="E454" s="3">
        <v>20000</v>
      </c>
      <c r="F454" t="s">
        <v>275</v>
      </c>
      <c r="G454" t="s">
        <v>276</v>
      </c>
      <c r="H454" t="s">
        <v>277</v>
      </c>
      <c r="I454" s="10" t="s">
        <v>511</v>
      </c>
      <c r="J454" s="167" t="s">
        <v>427</v>
      </c>
      <c r="L454" s="9" t="str">
        <f t="shared" si="62"/>
        <v>00453</v>
      </c>
      <c r="M454" s="71" t="str">
        <f t="shared" si="63"/>
        <v>13 de julio de 2017</v>
      </c>
      <c r="N454" s="39">
        <f t="shared" si="64"/>
        <v>42917</v>
      </c>
      <c r="O454" s="9" t="str">
        <f t="shared" si="60"/>
        <v>20.000,00</v>
      </c>
      <c r="P454" s="8" t="str">
        <f t="shared" si="61"/>
        <v>Veinte Mil Bolívares con 00/100</v>
      </c>
      <c r="Q454" s="403" t="str">
        <f t="shared" si="65"/>
        <v>Anulado</v>
      </c>
    </row>
    <row r="455" spans="1:17" x14ac:dyDescent="0.25">
      <c r="A455" s="1">
        <f t="shared" si="66"/>
        <v>454</v>
      </c>
      <c r="C455" s="12" t="s">
        <v>17</v>
      </c>
      <c r="D455" s="2">
        <v>42944</v>
      </c>
      <c r="E455" s="3">
        <v>20000</v>
      </c>
      <c r="F455" t="s">
        <v>118</v>
      </c>
      <c r="G455" t="s">
        <v>119</v>
      </c>
      <c r="H455" t="s">
        <v>120</v>
      </c>
      <c r="I455" s="10" t="s">
        <v>479</v>
      </c>
      <c r="J455" s="167" t="s">
        <v>22</v>
      </c>
      <c r="L455" s="9" t="str">
        <f t="shared" si="62"/>
        <v>00454</v>
      </c>
      <c r="M455" s="71" t="str">
        <f t="shared" si="63"/>
        <v>28 de julio de 2017</v>
      </c>
      <c r="N455" s="39">
        <f t="shared" si="64"/>
        <v>42917</v>
      </c>
      <c r="O455" s="9" t="str">
        <f t="shared" si="60"/>
        <v>20.000,00</v>
      </c>
      <c r="P455" s="8" t="str">
        <f t="shared" si="61"/>
        <v>Veinte Mil Bolívares con 00/100</v>
      </c>
      <c r="Q455" s="403" t="str">
        <f t="shared" si="65"/>
        <v/>
      </c>
    </row>
    <row r="456" spans="1:17" x14ac:dyDescent="0.25">
      <c r="A456" s="1">
        <f t="shared" si="66"/>
        <v>455</v>
      </c>
      <c r="C456" s="12" t="s">
        <v>17</v>
      </c>
      <c r="D456" s="2">
        <v>42945</v>
      </c>
      <c r="E456" s="3">
        <v>35000</v>
      </c>
      <c r="F456" t="s">
        <v>126</v>
      </c>
      <c r="G456" t="s">
        <v>127</v>
      </c>
      <c r="H456" t="s">
        <v>128</v>
      </c>
      <c r="I456" s="10" t="s">
        <v>500</v>
      </c>
      <c r="J456" s="167" t="s">
        <v>22</v>
      </c>
      <c r="L456" s="9" t="str">
        <f t="shared" si="62"/>
        <v>00455</v>
      </c>
      <c r="M456" s="71" t="str">
        <f t="shared" si="63"/>
        <v>29 de julio de 2017</v>
      </c>
      <c r="N456" s="39">
        <f t="shared" si="64"/>
        <v>42917</v>
      </c>
      <c r="O456" s="9" t="str">
        <f t="shared" si="60"/>
        <v>35.000,00</v>
      </c>
      <c r="P456" s="8" t="str">
        <f t="shared" si="61"/>
        <v>Treinta y Cinco Mil Bolívares con 00/100</v>
      </c>
      <c r="Q456" s="403" t="str">
        <f t="shared" si="65"/>
        <v/>
      </c>
    </row>
    <row r="457" spans="1:17" x14ac:dyDescent="0.25">
      <c r="A457" s="1">
        <f t="shared" si="66"/>
        <v>456</v>
      </c>
      <c r="C457" s="12" t="s">
        <v>17</v>
      </c>
      <c r="D457" s="2">
        <v>42936</v>
      </c>
      <c r="E457" s="3">
        <v>35000</v>
      </c>
      <c r="F457" t="s">
        <v>185</v>
      </c>
      <c r="G457" t="s">
        <v>186</v>
      </c>
      <c r="H457" t="s">
        <v>187</v>
      </c>
      <c r="I457" s="10" t="s">
        <v>500</v>
      </c>
      <c r="J457" s="167" t="s">
        <v>22</v>
      </c>
      <c r="L457" s="9" t="str">
        <f t="shared" si="62"/>
        <v>00456</v>
      </c>
      <c r="M457" s="71" t="str">
        <f t="shared" si="63"/>
        <v>20 de julio de 2017</v>
      </c>
      <c r="N457" s="39">
        <f t="shared" si="64"/>
        <v>42917</v>
      </c>
      <c r="O457" s="9" t="str">
        <f t="shared" si="60"/>
        <v>35.000,00</v>
      </c>
      <c r="P457" s="8" t="str">
        <f t="shared" si="61"/>
        <v>Treinta y Cinco Mil Bolívares con 00/100</v>
      </c>
      <c r="Q457" s="403" t="str">
        <f t="shared" si="65"/>
        <v/>
      </c>
    </row>
    <row r="458" spans="1:17" x14ac:dyDescent="0.25">
      <c r="A458" s="390">
        <f t="shared" si="66"/>
        <v>457</v>
      </c>
      <c r="C458" s="12" t="s">
        <v>17</v>
      </c>
      <c r="D458" s="2">
        <v>42945</v>
      </c>
      <c r="E458" s="3">
        <v>7000</v>
      </c>
      <c r="F458" t="s">
        <v>439</v>
      </c>
      <c r="G458" t="s">
        <v>440</v>
      </c>
      <c r="H458" t="s">
        <v>441</v>
      </c>
      <c r="I458" s="10" t="s">
        <v>512</v>
      </c>
      <c r="J458" s="167" t="s">
        <v>453</v>
      </c>
      <c r="L458" s="9" t="str">
        <f t="shared" si="62"/>
        <v>00457</v>
      </c>
      <c r="M458" s="71" t="str">
        <f t="shared" si="63"/>
        <v>29 de julio de 2017</v>
      </c>
      <c r="N458" s="39">
        <f t="shared" si="64"/>
        <v>42917</v>
      </c>
      <c r="O458" s="9" t="str">
        <f t="shared" si="60"/>
        <v>7.000,00</v>
      </c>
      <c r="P458" s="8" t="str">
        <f t="shared" si="61"/>
        <v>Siete Mil Bolívares con 00/100</v>
      </c>
      <c r="Q458" s="403" t="str">
        <f t="shared" si="65"/>
        <v/>
      </c>
    </row>
    <row r="459" spans="1:17" x14ac:dyDescent="0.25">
      <c r="A459" s="1">
        <f t="shared" si="66"/>
        <v>458</v>
      </c>
      <c r="C459" s="12" t="s">
        <v>17</v>
      </c>
      <c r="D459" s="2">
        <v>42948</v>
      </c>
      <c r="E459" s="3">
        <v>15000</v>
      </c>
      <c r="F459" t="s">
        <v>84</v>
      </c>
      <c r="G459" t="s">
        <v>85</v>
      </c>
      <c r="H459" t="s">
        <v>86</v>
      </c>
      <c r="I459" s="10" t="s">
        <v>513</v>
      </c>
      <c r="J459" s="167" t="s">
        <v>22</v>
      </c>
      <c r="L459" s="9" t="str">
        <f t="shared" si="62"/>
        <v>00458</v>
      </c>
      <c r="M459" s="71" t="str">
        <f t="shared" si="63"/>
        <v>01 de agosto de 2017</v>
      </c>
      <c r="N459" s="39">
        <f t="shared" si="64"/>
        <v>42948</v>
      </c>
      <c r="O459" s="9" t="str">
        <f t="shared" si="60"/>
        <v>15.000,00</v>
      </c>
      <c r="P459" s="8" t="str">
        <f t="shared" si="61"/>
        <v>Quince Mil Bolívares con 00/100</v>
      </c>
      <c r="Q459" s="403" t="str">
        <f t="shared" si="65"/>
        <v/>
      </c>
    </row>
    <row r="460" spans="1:17" x14ac:dyDescent="0.25">
      <c r="A460" s="1">
        <f t="shared" si="66"/>
        <v>459</v>
      </c>
      <c r="C460" s="12" t="s">
        <v>17</v>
      </c>
      <c r="D460" s="2">
        <v>42949</v>
      </c>
      <c r="E460" s="3">
        <v>35000</v>
      </c>
      <c r="F460" t="s">
        <v>134</v>
      </c>
      <c r="G460" t="s">
        <v>135</v>
      </c>
      <c r="H460" t="s">
        <v>136</v>
      </c>
      <c r="I460" s="10" t="s">
        <v>500</v>
      </c>
      <c r="J460" s="167" t="s">
        <v>22</v>
      </c>
      <c r="L460" s="9" t="str">
        <f t="shared" si="62"/>
        <v>00459</v>
      </c>
      <c r="M460" s="71" t="str">
        <f t="shared" si="63"/>
        <v>02 de agosto de 2017</v>
      </c>
      <c r="N460" s="39">
        <f t="shared" si="64"/>
        <v>42948</v>
      </c>
      <c r="O460" s="9" t="str">
        <f t="shared" ref="O460:O498" si="67">TEXT(E460,"#.##0,00")</f>
        <v>35.000,00</v>
      </c>
      <c r="P460" s="8" t="str">
        <f t="shared" ref="P460:P498" si="68">CONVERTIRNUM(E460)</f>
        <v>Treinta y Cinco Mil Bolívares con 00/100</v>
      </c>
      <c r="Q460" s="403" t="str">
        <f t="shared" si="65"/>
        <v/>
      </c>
    </row>
    <row r="461" spans="1:17" x14ac:dyDescent="0.25">
      <c r="A461" s="1">
        <f t="shared" si="66"/>
        <v>460</v>
      </c>
      <c r="C461" s="12" t="s">
        <v>17</v>
      </c>
      <c r="D461" s="2">
        <v>42949</v>
      </c>
      <c r="E461" s="3">
        <v>35000</v>
      </c>
      <c r="F461" t="s">
        <v>230</v>
      </c>
      <c r="G461" t="s">
        <v>231</v>
      </c>
      <c r="H461" t="s">
        <v>232</v>
      </c>
      <c r="I461" s="10" t="s">
        <v>500</v>
      </c>
      <c r="J461" s="167" t="s">
        <v>22</v>
      </c>
      <c r="L461" s="9" t="str">
        <f t="shared" si="62"/>
        <v>00460</v>
      </c>
      <c r="M461" s="71" t="str">
        <f t="shared" si="63"/>
        <v>02 de agosto de 2017</v>
      </c>
      <c r="N461" s="39">
        <f t="shared" si="64"/>
        <v>42948</v>
      </c>
      <c r="O461" s="9" t="str">
        <f t="shared" si="67"/>
        <v>35.000,00</v>
      </c>
      <c r="P461" s="8" t="str">
        <f t="shared" si="68"/>
        <v>Treinta y Cinco Mil Bolívares con 00/100</v>
      </c>
      <c r="Q461" s="403" t="str">
        <f t="shared" si="65"/>
        <v/>
      </c>
    </row>
    <row r="462" spans="1:17" x14ac:dyDescent="0.25">
      <c r="A462" s="1">
        <f t="shared" si="66"/>
        <v>461</v>
      </c>
      <c r="C462" s="12" t="s">
        <v>17</v>
      </c>
      <c r="D462" s="2">
        <v>42949</v>
      </c>
      <c r="E462" s="3">
        <v>35000</v>
      </c>
      <c r="F462" t="s">
        <v>44</v>
      </c>
      <c r="G462" t="s">
        <v>45</v>
      </c>
      <c r="H462" t="s">
        <v>46</v>
      </c>
      <c r="I462" s="10" t="s">
        <v>514</v>
      </c>
      <c r="J462" s="167" t="s">
        <v>22</v>
      </c>
      <c r="L462" s="9" t="str">
        <f t="shared" si="62"/>
        <v>00461</v>
      </c>
      <c r="M462" s="71" t="str">
        <f t="shared" si="63"/>
        <v>02 de agosto de 2017</v>
      </c>
      <c r="N462" s="39">
        <f t="shared" si="64"/>
        <v>42948</v>
      </c>
      <c r="O462" s="9" t="str">
        <f t="shared" si="67"/>
        <v>35.000,00</v>
      </c>
      <c r="P462" s="8" t="str">
        <f t="shared" si="68"/>
        <v>Treinta y Cinco Mil Bolívares con 00/100</v>
      </c>
      <c r="Q462" s="403" t="str">
        <f t="shared" si="65"/>
        <v/>
      </c>
    </row>
    <row r="463" spans="1:17" ht="15.75" thickBot="1" x14ac:dyDescent="0.3">
      <c r="A463" s="1">
        <f t="shared" si="66"/>
        <v>462</v>
      </c>
      <c r="C463" s="12" t="s">
        <v>17</v>
      </c>
      <c r="D463" s="2">
        <v>42927</v>
      </c>
      <c r="E463" s="3">
        <v>26000</v>
      </c>
      <c r="F463" t="s">
        <v>122</v>
      </c>
      <c r="G463" t="s">
        <v>123</v>
      </c>
      <c r="H463" t="s">
        <v>124</v>
      </c>
      <c r="I463" s="10" t="s">
        <v>474</v>
      </c>
      <c r="J463" s="167" t="s">
        <v>22</v>
      </c>
      <c r="L463" s="9" t="str">
        <f t="shared" si="62"/>
        <v>00462</v>
      </c>
      <c r="M463" s="71" t="str">
        <f t="shared" si="63"/>
        <v>11 de julio de 2017</v>
      </c>
      <c r="N463" s="39">
        <f t="shared" si="64"/>
        <v>42917</v>
      </c>
      <c r="O463" s="9" t="str">
        <f t="shared" si="67"/>
        <v>26.000,00</v>
      </c>
      <c r="P463" s="8" t="str">
        <f t="shared" si="68"/>
        <v>Veintiseis Mil Bolívares con 00/100</v>
      </c>
      <c r="Q463" s="403" t="str">
        <f t="shared" si="65"/>
        <v/>
      </c>
    </row>
    <row r="464" spans="1:17" ht="15.75" thickBot="1" x14ac:dyDescent="0.3">
      <c r="A464" s="1">
        <f t="shared" si="66"/>
        <v>463</v>
      </c>
      <c r="C464" s="12" t="s">
        <v>17</v>
      </c>
      <c r="D464" s="78">
        <v>42949</v>
      </c>
      <c r="E464" s="3">
        <v>26000</v>
      </c>
      <c r="F464" t="s">
        <v>259</v>
      </c>
      <c r="G464" s="27" t="s">
        <v>58</v>
      </c>
      <c r="H464" t="s">
        <v>261</v>
      </c>
      <c r="I464" s="10" t="s">
        <v>446</v>
      </c>
      <c r="J464" s="167" t="s">
        <v>22</v>
      </c>
      <c r="L464" s="9" t="str">
        <f t="shared" si="62"/>
        <v>00463</v>
      </c>
      <c r="M464" s="71" t="str">
        <f t="shared" si="63"/>
        <v>02 de agosto de 2017</v>
      </c>
      <c r="N464" s="39">
        <f t="shared" si="64"/>
        <v>42948</v>
      </c>
      <c r="O464" s="9" t="str">
        <f t="shared" si="67"/>
        <v>26.000,00</v>
      </c>
      <c r="P464" s="8" t="str">
        <f t="shared" si="68"/>
        <v>Veintiseis Mil Bolívares con 00/100</v>
      </c>
      <c r="Q464" s="403" t="str">
        <f t="shared" si="65"/>
        <v/>
      </c>
    </row>
    <row r="465" spans="1:17" ht="15.75" thickBot="1" x14ac:dyDescent="0.3">
      <c r="A465" s="1">
        <f t="shared" si="66"/>
        <v>464</v>
      </c>
      <c r="C465" s="12" t="s">
        <v>17</v>
      </c>
      <c r="D465" s="2">
        <v>42949</v>
      </c>
      <c r="E465" s="3">
        <v>10000</v>
      </c>
      <c r="F465" t="s">
        <v>303</v>
      </c>
      <c r="G465" s="27" t="s">
        <v>58</v>
      </c>
      <c r="H465" t="s">
        <v>304</v>
      </c>
      <c r="I465" s="10" t="s">
        <v>475</v>
      </c>
      <c r="J465" s="167" t="s">
        <v>22</v>
      </c>
      <c r="L465" s="9" t="str">
        <f t="shared" si="62"/>
        <v>00464</v>
      </c>
      <c r="M465" s="71" t="str">
        <f t="shared" si="63"/>
        <v>02 de agosto de 2017</v>
      </c>
      <c r="N465" s="39">
        <f t="shared" si="64"/>
        <v>42948</v>
      </c>
      <c r="O465" s="9" t="str">
        <f t="shared" si="67"/>
        <v>10.000,00</v>
      </c>
      <c r="P465" s="8" t="str">
        <f t="shared" si="68"/>
        <v>Diez Mil Bolívares con 00/100</v>
      </c>
      <c r="Q465" s="403" t="str">
        <f t="shared" si="65"/>
        <v/>
      </c>
    </row>
    <row r="466" spans="1:17" x14ac:dyDescent="0.25">
      <c r="A466" s="1">
        <f t="shared" si="66"/>
        <v>465</v>
      </c>
      <c r="C466" s="12" t="s">
        <v>17</v>
      </c>
      <c r="D466" s="2">
        <v>42949</v>
      </c>
      <c r="E466" s="3">
        <v>33000</v>
      </c>
      <c r="F466" t="s">
        <v>201</v>
      </c>
      <c r="G466" t="s">
        <v>202</v>
      </c>
      <c r="H466" t="s">
        <v>203</v>
      </c>
      <c r="I466" s="10" t="s">
        <v>499</v>
      </c>
      <c r="J466" s="167" t="s">
        <v>22</v>
      </c>
      <c r="L466" s="9" t="str">
        <f t="shared" si="62"/>
        <v>00465</v>
      </c>
      <c r="M466" s="71" t="str">
        <f t="shared" si="63"/>
        <v>02 de agosto de 2017</v>
      </c>
      <c r="N466" s="39">
        <f t="shared" si="64"/>
        <v>42948</v>
      </c>
      <c r="O466" s="9" t="str">
        <f t="shared" si="67"/>
        <v>33.000,00</v>
      </c>
      <c r="P466" s="8" t="str">
        <f t="shared" si="68"/>
        <v>Treinta y Tres Mil Bolívares con 00/100</v>
      </c>
      <c r="Q466" s="403" t="str">
        <f t="shared" si="65"/>
        <v/>
      </c>
    </row>
    <row r="467" spans="1:17" ht="15.75" thickBot="1" x14ac:dyDescent="0.3">
      <c r="A467" s="1">
        <f t="shared" si="66"/>
        <v>466</v>
      </c>
      <c r="C467" s="12" t="s">
        <v>17</v>
      </c>
      <c r="D467" s="2">
        <v>42950</v>
      </c>
      <c r="E467" s="3">
        <v>35000</v>
      </c>
      <c r="F467" t="s">
        <v>40</v>
      </c>
      <c r="G467" t="s">
        <v>41</v>
      </c>
      <c r="H467" t="s">
        <v>42</v>
      </c>
      <c r="I467" s="10" t="s">
        <v>514</v>
      </c>
      <c r="J467" s="167" t="s">
        <v>22</v>
      </c>
      <c r="L467" s="9" t="str">
        <f t="shared" si="62"/>
        <v>00466</v>
      </c>
      <c r="M467" s="71" t="str">
        <f t="shared" si="63"/>
        <v>03 de agosto de 2017</v>
      </c>
      <c r="N467" s="39">
        <f t="shared" si="64"/>
        <v>42948</v>
      </c>
      <c r="O467" s="9" t="str">
        <f t="shared" si="67"/>
        <v>35.000,00</v>
      </c>
      <c r="P467" s="8" t="str">
        <f t="shared" si="68"/>
        <v>Treinta y Cinco Mil Bolívares con 00/100</v>
      </c>
      <c r="Q467" s="403" t="str">
        <f t="shared" si="65"/>
        <v/>
      </c>
    </row>
    <row r="468" spans="1:17" ht="15.75" thickBot="1" x14ac:dyDescent="0.3">
      <c r="A468" s="1">
        <f t="shared" si="66"/>
        <v>467</v>
      </c>
      <c r="C468" s="12" t="s">
        <v>17</v>
      </c>
      <c r="D468" s="2">
        <v>42950</v>
      </c>
      <c r="E468" s="3">
        <v>20000</v>
      </c>
      <c r="F468" t="s">
        <v>177</v>
      </c>
      <c r="G468" s="27" t="s">
        <v>58</v>
      </c>
      <c r="H468" t="s">
        <v>179</v>
      </c>
      <c r="I468" s="10" t="s">
        <v>474</v>
      </c>
      <c r="J468" s="167" t="s">
        <v>22</v>
      </c>
      <c r="L468" s="9" t="str">
        <f t="shared" si="62"/>
        <v>00467</v>
      </c>
      <c r="M468" s="71" t="str">
        <f t="shared" si="63"/>
        <v>03 de agosto de 2017</v>
      </c>
      <c r="N468" s="39">
        <f t="shared" si="64"/>
        <v>42948</v>
      </c>
      <c r="O468" s="9" t="str">
        <f t="shared" si="67"/>
        <v>20.000,00</v>
      </c>
      <c r="P468" s="8" t="str">
        <f t="shared" si="68"/>
        <v>Veinte Mil Bolívares con 00/100</v>
      </c>
      <c r="Q468" s="403" t="str">
        <f t="shared" si="65"/>
        <v/>
      </c>
    </row>
    <row r="469" spans="1:17" x14ac:dyDescent="0.25">
      <c r="A469" s="1">
        <f t="shared" si="66"/>
        <v>468</v>
      </c>
      <c r="C469" s="12" t="s">
        <v>17</v>
      </c>
      <c r="D469" s="2">
        <v>42950</v>
      </c>
      <c r="E469" s="3">
        <v>20000</v>
      </c>
      <c r="F469" t="s">
        <v>334</v>
      </c>
      <c r="G469" t="s">
        <v>85</v>
      </c>
      <c r="H469" t="s">
        <v>335</v>
      </c>
      <c r="I469" s="10" t="s">
        <v>513</v>
      </c>
      <c r="J469" s="167" t="s">
        <v>22</v>
      </c>
      <c r="L469" s="9" t="str">
        <f t="shared" si="62"/>
        <v>00468</v>
      </c>
      <c r="M469" s="71" t="str">
        <f t="shared" si="63"/>
        <v>03 de agosto de 2017</v>
      </c>
      <c r="N469" s="39">
        <f t="shared" si="64"/>
        <v>42948</v>
      </c>
      <c r="O469" s="9" t="str">
        <f t="shared" si="67"/>
        <v>20.000,00</v>
      </c>
      <c r="P469" s="8" t="str">
        <f t="shared" si="68"/>
        <v>Veinte Mil Bolívares con 00/100</v>
      </c>
      <c r="Q469" s="403" t="str">
        <f t="shared" si="65"/>
        <v/>
      </c>
    </row>
    <row r="470" spans="1:17" x14ac:dyDescent="0.25">
      <c r="A470" s="1">
        <f t="shared" si="66"/>
        <v>469</v>
      </c>
      <c r="C470" s="12" t="s">
        <v>17</v>
      </c>
      <c r="D470" s="2">
        <v>42950</v>
      </c>
      <c r="E470" s="3">
        <v>18000</v>
      </c>
      <c r="F470" t="s">
        <v>167</v>
      </c>
      <c r="G470" t="s">
        <v>168</v>
      </c>
      <c r="H470" t="s">
        <v>169</v>
      </c>
      <c r="I470" s="10" t="s">
        <v>479</v>
      </c>
      <c r="J470" s="167" t="s">
        <v>22</v>
      </c>
      <c r="L470" s="9" t="str">
        <f t="shared" si="62"/>
        <v>00469</v>
      </c>
      <c r="M470" s="71" t="str">
        <f t="shared" si="63"/>
        <v>03 de agosto de 2017</v>
      </c>
      <c r="N470" s="39">
        <f t="shared" si="64"/>
        <v>42948</v>
      </c>
      <c r="O470" s="9" t="str">
        <f t="shared" si="67"/>
        <v>18.000,00</v>
      </c>
      <c r="P470" s="8" t="str">
        <f t="shared" si="68"/>
        <v>Dieciocho Mil Bolívares con 00/100</v>
      </c>
      <c r="Q470" s="403" t="str">
        <f t="shared" si="65"/>
        <v/>
      </c>
    </row>
    <row r="471" spans="1:17" x14ac:dyDescent="0.25">
      <c r="A471" s="1">
        <f t="shared" si="66"/>
        <v>470</v>
      </c>
      <c r="C471" s="12" t="s">
        <v>17</v>
      </c>
      <c r="D471" s="2">
        <v>42951</v>
      </c>
      <c r="E471" s="3">
        <v>35000</v>
      </c>
      <c r="F471" t="s">
        <v>32</v>
      </c>
      <c r="G471" t="s">
        <v>33</v>
      </c>
      <c r="H471" t="s">
        <v>34</v>
      </c>
      <c r="I471" s="10" t="s">
        <v>515</v>
      </c>
      <c r="J471" s="167" t="s">
        <v>22</v>
      </c>
      <c r="L471" s="9" t="str">
        <f t="shared" si="62"/>
        <v>00470</v>
      </c>
      <c r="M471" s="71" t="str">
        <f t="shared" si="63"/>
        <v>04 de agosto de 2017</v>
      </c>
      <c r="N471" s="39">
        <f t="shared" si="64"/>
        <v>42948</v>
      </c>
      <c r="O471" s="9" t="str">
        <f t="shared" si="67"/>
        <v>35.000,00</v>
      </c>
      <c r="P471" s="8" t="str">
        <f t="shared" si="68"/>
        <v>Treinta y Cinco Mil Bolívares con 00/100</v>
      </c>
      <c r="Q471" s="403" t="str">
        <f t="shared" si="65"/>
        <v/>
      </c>
    </row>
    <row r="472" spans="1:17" x14ac:dyDescent="0.25">
      <c r="A472" s="1">
        <f t="shared" si="66"/>
        <v>471</v>
      </c>
      <c r="C472" s="12" t="s">
        <v>17</v>
      </c>
      <c r="D472" s="2">
        <v>42951</v>
      </c>
      <c r="E472" s="3">
        <v>15000</v>
      </c>
      <c r="F472" t="s">
        <v>48</v>
      </c>
      <c r="G472" t="s">
        <v>49</v>
      </c>
      <c r="H472" t="s">
        <v>50</v>
      </c>
      <c r="I472" s="10" t="s">
        <v>513</v>
      </c>
      <c r="J472" s="167" t="s">
        <v>22</v>
      </c>
      <c r="L472" s="9" t="str">
        <f t="shared" si="62"/>
        <v>00471</v>
      </c>
      <c r="M472" s="71" t="str">
        <f t="shared" si="63"/>
        <v>04 de agosto de 2017</v>
      </c>
      <c r="N472" s="39">
        <f t="shared" si="64"/>
        <v>42948</v>
      </c>
      <c r="O472" s="9" t="str">
        <f t="shared" si="67"/>
        <v>15.000,00</v>
      </c>
      <c r="P472" s="8" t="str">
        <f t="shared" si="68"/>
        <v>Quince Mil Bolívares con 00/100</v>
      </c>
      <c r="Q472" s="403" t="str">
        <f t="shared" si="65"/>
        <v/>
      </c>
    </row>
    <row r="473" spans="1:17" x14ac:dyDescent="0.25">
      <c r="A473" s="1">
        <f t="shared" si="66"/>
        <v>472</v>
      </c>
      <c r="C473" s="12" t="s">
        <v>17</v>
      </c>
      <c r="D473" s="2">
        <v>42953</v>
      </c>
      <c r="E473" s="3">
        <v>35000</v>
      </c>
      <c r="F473" t="s">
        <v>162</v>
      </c>
      <c r="G473" t="s">
        <v>163</v>
      </c>
      <c r="H473" t="s">
        <v>164</v>
      </c>
      <c r="I473" s="10" t="s">
        <v>500</v>
      </c>
      <c r="J473" s="167" t="s">
        <v>22</v>
      </c>
      <c r="L473" s="9" t="str">
        <f t="shared" si="62"/>
        <v>00472</v>
      </c>
      <c r="M473" s="71" t="str">
        <f t="shared" si="63"/>
        <v>06 de agosto de 2017</v>
      </c>
      <c r="N473" s="39">
        <f t="shared" si="64"/>
        <v>42948</v>
      </c>
      <c r="O473" s="9" t="str">
        <f t="shared" si="67"/>
        <v>35.000,00</v>
      </c>
      <c r="P473" s="8" t="str">
        <f t="shared" si="68"/>
        <v>Treinta y Cinco Mil Bolívares con 00/100</v>
      </c>
      <c r="Q473" s="403" t="str">
        <f t="shared" si="65"/>
        <v/>
      </c>
    </row>
    <row r="474" spans="1:17" x14ac:dyDescent="0.25">
      <c r="A474" s="1">
        <f t="shared" si="66"/>
        <v>473</v>
      </c>
      <c r="C474" s="12" t="s">
        <v>17</v>
      </c>
      <c r="D474" s="2">
        <v>42953</v>
      </c>
      <c r="E474" s="3">
        <v>35000</v>
      </c>
      <c r="F474" t="s">
        <v>18</v>
      </c>
      <c r="G474" t="s">
        <v>19</v>
      </c>
      <c r="H474" t="s">
        <v>20</v>
      </c>
      <c r="I474" s="10" t="s">
        <v>516</v>
      </c>
      <c r="J474" s="167" t="s">
        <v>22</v>
      </c>
      <c r="L474" s="9" t="str">
        <f t="shared" si="62"/>
        <v>00473</v>
      </c>
      <c r="M474" s="71" t="str">
        <f t="shared" si="63"/>
        <v>06 de agosto de 2017</v>
      </c>
      <c r="N474" s="39">
        <f t="shared" si="64"/>
        <v>42948</v>
      </c>
      <c r="O474" s="9" t="str">
        <f t="shared" si="67"/>
        <v>35.000,00</v>
      </c>
      <c r="P474" s="8" t="str">
        <f t="shared" si="68"/>
        <v>Treinta y Cinco Mil Bolívares con 00/100</v>
      </c>
      <c r="Q474" s="403" t="str">
        <f t="shared" si="65"/>
        <v/>
      </c>
    </row>
    <row r="475" spans="1:17" x14ac:dyDescent="0.25">
      <c r="A475" s="390">
        <f t="shared" si="66"/>
        <v>474</v>
      </c>
      <c r="C475" s="12" t="s">
        <v>17</v>
      </c>
      <c r="D475" s="2">
        <v>42953</v>
      </c>
      <c r="E475" s="3">
        <v>35000</v>
      </c>
      <c r="F475" t="s">
        <v>439</v>
      </c>
      <c r="G475" t="s">
        <v>440</v>
      </c>
      <c r="H475" t="s">
        <v>441</v>
      </c>
      <c r="I475" s="10" t="s">
        <v>517</v>
      </c>
      <c r="J475" s="167" t="s">
        <v>22</v>
      </c>
      <c r="L475" s="9" t="str">
        <f t="shared" si="62"/>
        <v>00474</v>
      </c>
      <c r="M475" s="71" t="str">
        <f t="shared" si="63"/>
        <v>06 de agosto de 2017</v>
      </c>
      <c r="N475" s="39">
        <f t="shared" si="64"/>
        <v>42948</v>
      </c>
      <c r="O475" s="9" t="str">
        <f t="shared" si="67"/>
        <v>35.000,00</v>
      </c>
      <c r="P475" s="8" t="str">
        <f t="shared" si="68"/>
        <v>Treinta y Cinco Mil Bolívares con 00/100</v>
      </c>
      <c r="Q475" s="403" t="str">
        <f t="shared" si="65"/>
        <v/>
      </c>
    </row>
    <row r="476" spans="1:17" x14ac:dyDescent="0.25">
      <c r="A476" s="1">
        <f t="shared" si="66"/>
        <v>475</v>
      </c>
      <c r="C476" s="12" t="s">
        <v>17</v>
      </c>
      <c r="D476" s="2">
        <v>42954</v>
      </c>
      <c r="E476" s="3">
        <v>30000</v>
      </c>
      <c r="F476" t="s">
        <v>312</v>
      </c>
      <c r="G476" t="s">
        <v>313</v>
      </c>
      <c r="H476" t="s">
        <v>314</v>
      </c>
      <c r="I476" s="10" t="s">
        <v>479</v>
      </c>
      <c r="J476" s="167" t="s">
        <v>22</v>
      </c>
      <c r="L476" s="9" t="str">
        <f t="shared" si="62"/>
        <v>00475</v>
      </c>
      <c r="M476" s="71" t="str">
        <f t="shared" si="63"/>
        <v>07 de agosto de 2017</v>
      </c>
      <c r="N476" s="39">
        <f t="shared" si="64"/>
        <v>42948</v>
      </c>
      <c r="O476" s="9" t="str">
        <f t="shared" si="67"/>
        <v>30.000,00</v>
      </c>
      <c r="P476" s="8" t="str">
        <f t="shared" si="68"/>
        <v>Treinta Mil Bolívares con 00/100</v>
      </c>
      <c r="Q476" s="403" t="str">
        <f t="shared" si="65"/>
        <v/>
      </c>
    </row>
    <row r="477" spans="1:17" x14ac:dyDescent="0.25">
      <c r="A477" s="1">
        <f t="shared" si="66"/>
        <v>476</v>
      </c>
      <c r="C477" s="12" t="s">
        <v>17</v>
      </c>
      <c r="D477" s="2">
        <v>42954</v>
      </c>
      <c r="E477" s="3">
        <v>35000</v>
      </c>
      <c r="F477" t="s">
        <v>211</v>
      </c>
      <c r="G477" t="s">
        <v>212</v>
      </c>
      <c r="H477" t="s">
        <v>213</v>
      </c>
      <c r="I477" s="10" t="s">
        <v>500</v>
      </c>
      <c r="J477" s="167" t="s">
        <v>22</v>
      </c>
      <c r="L477" s="9" t="str">
        <f t="shared" si="62"/>
        <v>00476</v>
      </c>
      <c r="M477" s="71" t="str">
        <f t="shared" si="63"/>
        <v>07 de agosto de 2017</v>
      </c>
      <c r="N477" s="39">
        <f t="shared" si="64"/>
        <v>42948</v>
      </c>
      <c r="O477" s="9" t="str">
        <f t="shared" si="67"/>
        <v>35.000,00</v>
      </c>
      <c r="P477" s="8" t="str">
        <f t="shared" si="68"/>
        <v>Treinta y Cinco Mil Bolívares con 00/100</v>
      </c>
      <c r="Q477" s="403" t="str">
        <f t="shared" si="65"/>
        <v/>
      </c>
    </row>
    <row r="478" spans="1:17" x14ac:dyDescent="0.25">
      <c r="A478" s="1">
        <f t="shared" si="66"/>
        <v>477</v>
      </c>
      <c r="C478" s="12" t="s">
        <v>17</v>
      </c>
      <c r="D478" s="2">
        <v>42955</v>
      </c>
      <c r="E478" s="3">
        <v>35000</v>
      </c>
      <c r="F478" t="s">
        <v>24</v>
      </c>
      <c r="G478" t="s">
        <v>25</v>
      </c>
      <c r="H478" t="s">
        <v>26</v>
      </c>
      <c r="I478" s="10" t="s">
        <v>514</v>
      </c>
      <c r="J478" s="167" t="s">
        <v>22</v>
      </c>
      <c r="L478" s="9" t="str">
        <f t="shared" si="62"/>
        <v>00477</v>
      </c>
      <c r="M478" s="71" t="str">
        <f t="shared" si="63"/>
        <v>08 de agosto de 2017</v>
      </c>
      <c r="N478" s="39">
        <f t="shared" si="64"/>
        <v>42948</v>
      </c>
      <c r="O478" s="9" t="str">
        <f t="shared" si="67"/>
        <v>35.000,00</v>
      </c>
      <c r="P478" s="8" t="str">
        <f t="shared" si="68"/>
        <v>Treinta y Cinco Mil Bolívares con 00/100</v>
      </c>
      <c r="Q478" s="403" t="str">
        <f t="shared" si="65"/>
        <v/>
      </c>
    </row>
    <row r="479" spans="1:17" x14ac:dyDescent="0.25">
      <c r="A479" s="1">
        <f t="shared" si="66"/>
        <v>478</v>
      </c>
      <c r="C479" s="12" t="s">
        <v>17</v>
      </c>
      <c r="D479" s="2">
        <v>42956</v>
      </c>
      <c r="E479" s="3">
        <v>4000</v>
      </c>
      <c r="F479" t="s">
        <v>94</v>
      </c>
      <c r="G479" t="s">
        <v>95</v>
      </c>
      <c r="H479" t="s">
        <v>96</v>
      </c>
      <c r="I479" s="10" t="s">
        <v>513</v>
      </c>
      <c r="J479" s="167" t="s">
        <v>22</v>
      </c>
      <c r="L479" s="9" t="str">
        <f t="shared" si="62"/>
        <v>00478</v>
      </c>
      <c r="M479" s="71" t="str">
        <f t="shared" si="63"/>
        <v>09 de agosto de 2017</v>
      </c>
      <c r="N479" s="39">
        <f t="shared" si="64"/>
        <v>42948</v>
      </c>
      <c r="O479" s="9" t="str">
        <f t="shared" si="67"/>
        <v>4.000,00</v>
      </c>
      <c r="P479" s="8" t="str">
        <f t="shared" si="68"/>
        <v>Cuatro Mil Bolívares con 00/100</v>
      </c>
      <c r="Q479" s="403" t="str">
        <f t="shared" si="65"/>
        <v/>
      </c>
    </row>
    <row r="480" spans="1:17" x14ac:dyDescent="0.25">
      <c r="A480" s="1">
        <f t="shared" si="66"/>
        <v>479</v>
      </c>
      <c r="C480" s="12" t="s">
        <v>17</v>
      </c>
      <c r="D480" s="2">
        <v>42956</v>
      </c>
      <c r="E480" s="3">
        <v>31000</v>
      </c>
      <c r="F480" t="s">
        <v>100</v>
      </c>
      <c r="G480" t="s">
        <v>95</v>
      </c>
      <c r="H480" t="s">
        <v>101</v>
      </c>
      <c r="I480" s="10" t="s">
        <v>518</v>
      </c>
      <c r="J480" s="167" t="s">
        <v>22</v>
      </c>
      <c r="L480" s="9" t="str">
        <f t="shared" si="62"/>
        <v>00479</v>
      </c>
      <c r="M480" s="71" t="str">
        <f t="shared" si="63"/>
        <v>09 de agosto de 2017</v>
      </c>
      <c r="N480" s="39">
        <f t="shared" si="64"/>
        <v>42948</v>
      </c>
      <c r="O480" s="9" t="str">
        <f t="shared" si="67"/>
        <v>31.000,00</v>
      </c>
      <c r="P480" s="8" t="str">
        <f t="shared" si="68"/>
        <v>Treinta y Un Mil Bolívares con 00/100</v>
      </c>
      <c r="Q480" s="403" t="str">
        <f t="shared" si="65"/>
        <v/>
      </c>
    </row>
    <row r="481" spans="1:17" x14ac:dyDescent="0.25">
      <c r="A481" s="1">
        <f t="shared" si="66"/>
        <v>480</v>
      </c>
      <c r="C481" s="12" t="s">
        <v>17</v>
      </c>
      <c r="D481" s="2">
        <v>42956</v>
      </c>
      <c r="E481" s="3">
        <v>26000</v>
      </c>
      <c r="F481" t="s">
        <v>324</v>
      </c>
      <c r="G481" t="s">
        <v>325</v>
      </c>
      <c r="H481" t="s">
        <v>326</v>
      </c>
      <c r="I481" s="10" t="s">
        <v>519</v>
      </c>
      <c r="J481" s="167" t="s">
        <v>22</v>
      </c>
      <c r="L481" s="9" t="str">
        <f t="shared" si="62"/>
        <v>00480</v>
      </c>
      <c r="M481" s="71" t="str">
        <f t="shared" si="63"/>
        <v>09 de agosto de 2017</v>
      </c>
      <c r="N481" s="39">
        <f t="shared" si="64"/>
        <v>42948</v>
      </c>
      <c r="O481" s="9" t="str">
        <f t="shared" si="67"/>
        <v>26.000,00</v>
      </c>
      <c r="P481" s="8" t="str">
        <f t="shared" si="68"/>
        <v>Veintiseis Mil Bolívares con 00/100</v>
      </c>
      <c r="Q481" s="403" t="str">
        <f t="shared" si="65"/>
        <v/>
      </c>
    </row>
    <row r="482" spans="1:17" x14ac:dyDescent="0.25">
      <c r="A482" s="1">
        <f t="shared" si="66"/>
        <v>481</v>
      </c>
      <c r="C482" s="12" t="s">
        <v>17</v>
      </c>
      <c r="D482" s="2">
        <v>42956</v>
      </c>
      <c r="E482" s="3">
        <v>35000</v>
      </c>
      <c r="F482" t="s">
        <v>408</v>
      </c>
      <c r="G482" t="s">
        <v>409</v>
      </c>
      <c r="H482" t="s">
        <v>410</v>
      </c>
      <c r="I482" s="10" t="s">
        <v>500</v>
      </c>
      <c r="J482" s="167" t="s">
        <v>22</v>
      </c>
      <c r="L482" s="9" t="str">
        <f t="shared" si="62"/>
        <v>00481</v>
      </c>
      <c r="M482" s="71" t="str">
        <f t="shared" si="63"/>
        <v>09 de agosto de 2017</v>
      </c>
      <c r="N482" s="39">
        <f t="shared" si="64"/>
        <v>42948</v>
      </c>
      <c r="O482" s="9" t="str">
        <f t="shared" si="67"/>
        <v>35.000,00</v>
      </c>
      <c r="P482" s="8" t="str">
        <f t="shared" si="68"/>
        <v>Treinta y Cinco Mil Bolívares con 00/100</v>
      </c>
      <c r="Q482" s="403" t="str">
        <f t="shared" si="65"/>
        <v/>
      </c>
    </row>
    <row r="483" spans="1:17" x14ac:dyDescent="0.25">
      <c r="A483" s="1">
        <f t="shared" si="66"/>
        <v>482</v>
      </c>
      <c r="C483" s="12" t="s">
        <v>17</v>
      </c>
      <c r="D483" s="2">
        <v>42957</v>
      </c>
      <c r="E483" s="3">
        <v>35000</v>
      </c>
      <c r="F483" t="s">
        <v>70</v>
      </c>
      <c r="G483" t="s">
        <v>71</v>
      </c>
      <c r="H483" t="s">
        <v>72</v>
      </c>
      <c r="I483" s="10" t="s">
        <v>514</v>
      </c>
      <c r="J483" s="167" t="s">
        <v>22</v>
      </c>
      <c r="L483" s="9" t="str">
        <f t="shared" si="62"/>
        <v>00482</v>
      </c>
      <c r="M483" s="71" t="str">
        <f t="shared" si="63"/>
        <v>10 de agosto de 2017</v>
      </c>
      <c r="N483" s="39">
        <f t="shared" si="64"/>
        <v>42948</v>
      </c>
      <c r="O483" s="9" t="str">
        <f t="shared" si="67"/>
        <v>35.000,00</v>
      </c>
      <c r="P483" s="8" t="str">
        <f t="shared" si="68"/>
        <v>Treinta y Cinco Mil Bolívares con 00/100</v>
      </c>
      <c r="Q483" s="403" t="str">
        <f t="shared" si="65"/>
        <v/>
      </c>
    </row>
    <row r="484" spans="1:17" x14ac:dyDescent="0.25">
      <c r="A484" s="1">
        <f t="shared" si="66"/>
        <v>483</v>
      </c>
      <c r="C484" s="12" t="s">
        <v>17</v>
      </c>
      <c r="D484" s="2">
        <v>42957</v>
      </c>
      <c r="E484" s="3">
        <v>35000</v>
      </c>
      <c r="F484" t="s">
        <v>103</v>
      </c>
      <c r="G484" t="s">
        <v>104</v>
      </c>
      <c r="H484" t="s">
        <v>105</v>
      </c>
      <c r="I484" s="10" t="s">
        <v>514</v>
      </c>
      <c r="J484" s="167" t="s">
        <v>22</v>
      </c>
      <c r="L484" s="9" t="str">
        <f t="shared" si="62"/>
        <v>00483</v>
      </c>
      <c r="M484" s="71" t="str">
        <f t="shared" si="63"/>
        <v>10 de agosto de 2017</v>
      </c>
      <c r="N484" s="39">
        <f t="shared" si="64"/>
        <v>42948</v>
      </c>
      <c r="O484" s="9" t="str">
        <f t="shared" si="67"/>
        <v>35.000,00</v>
      </c>
      <c r="P484" s="8" t="str">
        <f t="shared" si="68"/>
        <v>Treinta y Cinco Mil Bolívares con 00/100</v>
      </c>
      <c r="Q484" s="403" t="str">
        <f t="shared" si="65"/>
        <v/>
      </c>
    </row>
    <row r="485" spans="1:17" x14ac:dyDescent="0.25">
      <c r="A485" s="1">
        <f t="shared" si="66"/>
        <v>484</v>
      </c>
      <c r="C485" s="12" t="s">
        <v>17</v>
      </c>
      <c r="D485" s="2">
        <v>42957</v>
      </c>
      <c r="E485" s="3">
        <v>26000</v>
      </c>
      <c r="F485" t="s">
        <v>264</v>
      </c>
      <c r="G485" t="s">
        <v>265</v>
      </c>
      <c r="H485" t="s">
        <v>266</v>
      </c>
      <c r="I485" s="10" t="s">
        <v>474</v>
      </c>
      <c r="J485" s="167" t="s">
        <v>22</v>
      </c>
      <c r="L485" s="9" t="str">
        <f t="shared" si="62"/>
        <v>00484</v>
      </c>
      <c r="M485" s="71" t="str">
        <f t="shared" si="63"/>
        <v>10 de agosto de 2017</v>
      </c>
      <c r="N485" s="39">
        <f t="shared" si="64"/>
        <v>42948</v>
      </c>
      <c r="O485" s="9" t="str">
        <f t="shared" si="67"/>
        <v>26.000,00</v>
      </c>
      <c r="P485" s="8" t="str">
        <f t="shared" si="68"/>
        <v>Veintiseis Mil Bolívares con 00/100</v>
      </c>
      <c r="Q485" s="403" t="str">
        <f t="shared" si="65"/>
        <v/>
      </c>
    </row>
    <row r="486" spans="1:17" x14ac:dyDescent="0.25">
      <c r="A486" s="1">
        <f t="shared" si="66"/>
        <v>485</v>
      </c>
      <c r="C486" s="12" t="s">
        <v>17</v>
      </c>
      <c r="D486" s="2">
        <v>42957</v>
      </c>
      <c r="E486" s="3">
        <v>35000</v>
      </c>
      <c r="F486" t="s">
        <v>36</v>
      </c>
      <c r="G486" t="s">
        <v>37</v>
      </c>
      <c r="H486" t="s">
        <v>38</v>
      </c>
      <c r="I486" s="10" t="s">
        <v>520</v>
      </c>
      <c r="J486" s="167" t="s">
        <v>22</v>
      </c>
      <c r="L486" s="9" t="str">
        <f t="shared" si="62"/>
        <v>00485</v>
      </c>
      <c r="M486" s="71" t="str">
        <f t="shared" si="63"/>
        <v>10 de agosto de 2017</v>
      </c>
      <c r="N486" s="39">
        <f t="shared" si="64"/>
        <v>42948</v>
      </c>
      <c r="O486" s="9" t="str">
        <f t="shared" si="67"/>
        <v>35.000,00</v>
      </c>
      <c r="P486" s="8" t="str">
        <f t="shared" si="68"/>
        <v>Treinta y Cinco Mil Bolívares con 00/100</v>
      </c>
      <c r="Q486" s="403" t="str">
        <f t="shared" si="65"/>
        <v/>
      </c>
    </row>
    <row r="487" spans="1:17" x14ac:dyDescent="0.25">
      <c r="A487" s="1">
        <f t="shared" si="66"/>
        <v>486</v>
      </c>
      <c r="C487" s="12" t="s">
        <v>17</v>
      </c>
      <c r="D487" s="2">
        <v>42957</v>
      </c>
      <c r="E487" s="3">
        <v>13000</v>
      </c>
      <c r="F487" t="s">
        <v>337</v>
      </c>
      <c r="G487" t="s">
        <v>338</v>
      </c>
      <c r="H487" t="s">
        <v>339</v>
      </c>
      <c r="I487" s="10" t="s">
        <v>474</v>
      </c>
      <c r="J487" s="167" t="s">
        <v>22</v>
      </c>
      <c r="L487" s="9" t="str">
        <f t="shared" si="62"/>
        <v>00486</v>
      </c>
      <c r="M487" s="71" t="str">
        <f t="shared" si="63"/>
        <v>10 de agosto de 2017</v>
      </c>
      <c r="N487" s="39">
        <f t="shared" si="64"/>
        <v>42948</v>
      </c>
      <c r="O487" s="9" t="str">
        <f t="shared" si="67"/>
        <v>13.000,00</v>
      </c>
      <c r="P487" s="8" t="str">
        <f t="shared" si="68"/>
        <v>Trece Mil Bolívares con 00/100</v>
      </c>
      <c r="Q487" s="403" t="str">
        <f t="shared" si="65"/>
        <v/>
      </c>
    </row>
    <row r="488" spans="1:17" x14ac:dyDescent="0.25">
      <c r="A488" s="1">
        <f t="shared" si="66"/>
        <v>487</v>
      </c>
      <c r="C488" s="12" t="s">
        <v>17</v>
      </c>
      <c r="D488" s="2">
        <v>42957</v>
      </c>
      <c r="E488" s="3">
        <v>7000</v>
      </c>
      <c r="F488" t="s">
        <v>337</v>
      </c>
      <c r="G488" t="s">
        <v>338</v>
      </c>
      <c r="H488" t="s">
        <v>339</v>
      </c>
      <c r="I488" s="10" t="s">
        <v>452</v>
      </c>
      <c r="J488" s="167" t="s">
        <v>453</v>
      </c>
      <c r="L488" s="9" t="str">
        <f t="shared" si="62"/>
        <v>00487</v>
      </c>
      <c r="M488" s="71" t="str">
        <f t="shared" si="63"/>
        <v>10 de agosto de 2017</v>
      </c>
      <c r="N488" s="39">
        <f t="shared" si="64"/>
        <v>42948</v>
      </c>
      <c r="O488" s="9" t="str">
        <f t="shared" si="67"/>
        <v>7.000,00</v>
      </c>
      <c r="P488" s="8" t="str">
        <f t="shared" si="68"/>
        <v>Siete Mil Bolívares con 00/100</v>
      </c>
      <c r="Q488" s="403" t="str">
        <f t="shared" si="65"/>
        <v/>
      </c>
    </row>
    <row r="489" spans="1:17" x14ac:dyDescent="0.25">
      <c r="A489" s="1">
        <f t="shared" si="66"/>
        <v>488</v>
      </c>
      <c r="C489" s="12" t="s">
        <v>17</v>
      </c>
      <c r="D489" s="2">
        <v>42957</v>
      </c>
      <c r="E489" s="3">
        <v>35000</v>
      </c>
      <c r="F489" t="s">
        <v>444</v>
      </c>
      <c r="G489" t="s">
        <v>445</v>
      </c>
      <c r="H489" t="s">
        <v>75</v>
      </c>
      <c r="I489" s="10" t="s">
        <v>514</v>
      </c>
      <c r="J489" s="167" t="s">
        <v>22</v>
      </c>
      <c r="L489" s="9" t="str">
        <f t="shared" si="62"/>
        <v>00488</v>
      </c>
      <c r="M489" s="71" t="str">
        <f t="shared" si="63"/>
        <v>10 de agosto de 2017</v>
      </c>
      <c r="N489" s="39">
        <f t="shared" si="64"/>
        <v>42948</v>
      </c>
      <c r="O489" s="9" t="str">
        <f t="shared" si="67"/>
        <v>35.000,00</v>
      </c>
      <c r="P489" s="8" t="str">
        <f t="shared" si="68"/>
        <v>Treinta y Cinco Mil Bolívares con 00/100</v>
      </c>
      <c r="Q489" s="403" t="str">
        <f t="shared" si="65"/>
        <v/>
      </c>
    </row>
    <row r="490" spans="1:17" x14ac:dyDescent="0.25">
      <c r="A490" s="1">
        <f t="shared" si="66"/>
        <v>489</v>
      </c>
      <c r="C490" s="12" t="s">
        <v>17</v>
      </c>
      <c r="D490" s="2">
        <v>42960</v>
      </c>
      <c r="E490" s="3">
        <v>26000</v>
      </c>
      <c r="F490" t="s">
        <v>287</v>
      </c>
      <c r="G490" t="s">
        <v>288</v>
      </c>
      <c r="H490" t="s">
        <v>289</v>
      </c>
      <c r="I490" s="10" t="s">
        <v>446</v>
      </c>
      <c r="J490" s="167" t="s">
        <v>22</v>
      </c>
      <c r="L490" s="9" t="str">
        <f t="shared" si="62"/>
        <v>00489</v>
      </c>
      <c r="M490" s="71" t="str">
        <f t="shared" si="63"/>
        <v>13 de agosto de 2017</v>
      </c>
      <c r="N490" s="39">
        <f t="shared" si="64"/>
        <v>42948</v>
      </c>
      <c r="O490" s="9" t="str">
        <f t="shared" si="67"/>
        <v>26.000,00</v>
      </c>
      <c r="P490" s="8" t="str">
        <f t="shared" si="68"/>
        <v>Veintiseis Mil Bolívares con 00/100</v>
      </c>
      <c r="Q490" s="403" t="str">
        <f t="shared" si="65"/>
        <v/>
      </c>
    </row>
    <row r="491" spans="1:17" x14ac:dyDescent="0.25">
      <c r="A491" s="1">
        <f t="shared" si="66"/>
        <v>490</v>
      </c>
      <c r="C491" s="12" t="s">
        <v>17</v>
      </c>
      <c r="D491" s="2">
        <v>42960</v>
      </c>
      <c r="E491" s="3">
        <v>7000</v>
      </c>
      <c r="F491" t="s">
        <v>287</v>
      </c>
      <c r="G491" t="s">
        <v>288</v>
      </c>
      <c r="H491" t="s">
        <v>289</v>
      </c>
      <c r="I491" s="10" t="s">
        <v>452</v>
      </c>
      <c r="J491" s="167" t="s">
        <v>453</v>
      </c>
      <c r="L491" s="9" t="str">
        <f t="shared" si="62"/>
        <v>00490</v>
      </c>
      <c r="M491" s="71" t="str">
        <f t="shared" si="63"/>
        <v>13 de agosto de 2017</v>
      </c>
      <c r="N491" s="39">
        <f t="shared" si="64"/>
        <v>42948</v>
      </c>
      <c r="O491" s="9" t="str">
        <f t="shared" si="67"/>
        <v>7.000,00</v>
      </c>
      <c r="P491" s="8" t="str">
        <f t="shared" si="68"/>
        <v>Siete Mil Bolívares con 00/100</v>
      </c>
      <c r="Q491" s="403" t="str">
        <f t="shared" si="65"/>
        <v/>
      </c>
    </row>
    <row r="492" spans="1:17" x14ac:dyDescent="0.25">
      <c r="A492" s="1">
        <f t="shared" si="66"/>
        <v>491</v>
      </c>
      <c r="C492" s="12" t="s">
        <v>17</v>
      </c>
      <c r="D492" s="2">
        <v>42961</v>
      </c>
      <c r="E492" s="3">
        <v>35000</v>
      </c>
      <c r="F492" t="s">
        <v>90</v>
      </c>
      <c r="G492" t="s">
        <v>91</v>
      </c>
      <c r="H492" t="s">
        <v>92</v>
      </c>
      <c r="I492" s="10" t="s">
        <v>514</v>
      </c>
      <c r="J492" s="167" t="s">
        <v>22</v>
      </c>
      <c r="L492" s="9" t="str">
        <f t="shared" si="62"/>
        <v>00491</v>
      </c>
      <c r="M492" s="71" t="str">
        <f t="shared" si="63"/>
        <v>14 de agosto de 2017</v>
      </c>
      <c r="N492" s="39">
        <f t="shared" si="64"/>
        <v>42948</v>
      </c>
      <c r="O492" s="9" t="str">
        <f t="shared" si="67"/>
        <v>35.000,00</v>
      </c>
      <c r="P492" s="8" t="str">
        <f t="shared" si="68"/>
        <v>Treinta y Cinco Mil Bolívares con 00/100</v>
      </c>
      <c r="Q492" s="403" t="str">
        <f t="shared" si="65"/>
        <v/>
      </c>
    </row>
    <row r="493" spans="1:17" x14ac:dyDescent="0.25">
      <c r="A493" s="1">
        <f t="shared" si="66"/>
        <v>492</v>
      </c>
      <c r="C493" s="12" t="s">
        <v>17</v>
      </c>
      <c r="D493" s="2">
        <v>42961</v>
      </c>
      <c r="E493" s="3">
        <v>9000</v>
      </c>
      <c r="F493" t="s">
        <v>264</v>
      </c>
      <c r="G493" t="s">
        <v>265</v>
      </c>
      <c r="H493" t="s">
        <v>266</v>
      </c>
      <c r="I493" s="10" t="s">
        <v>499</v>
      </c>
      <c r="J493" s="167" t="s">
        <v>22</v>
      </c>
      <c r="L493" s="9" t="str">
        <f t="shared" si="62"/>
        <v>00492</v>
      </c>
      <c r="M493" s="71" t="str">
        <f t="shared" si="63"/>
        <v>14 de agosto de 2017</v>
      </c>
      <c r="N493" s="39">
        <f t="shared" si="64"/>
        <v>42948</v>
      </c>
      <c r="O493" s="9" t="str">
        <f t="shared" si="67"/>
        <v>9.000,00</v>
      </c>
      <c r="P493" s="8" t="str">
        <f t="shared" si="68"/>
        <v>Nueve Mil Bolívares con 00/100</v>
      </c>
      <c r="Q493" s="403" t="str">
        <f t="shared" si="65"/>
        <v/>
      </c>
    </row>
    <row r="494" spans="1:17" x14ac:dyDescent="0.25">
      <c r="A494" s="1">
        <f t="shared" si="66"/>
        <v>493</v>
      </c>
      <c r="C494" s="12" t="s">
        <v>17</v>
      </c>
      <c r="D494" s="2">
        <v>42961</v>
      </c>
      <c r="E494" s="3">
        <v>18000</v>
      </c>
      <c r="F494" t="s">
        <v>264</v>
      </c>
      <c r="G494" t="s">
        <v>265</v>
      </c>
      <c r="H494" t="s">
        <v>266</v>
      </c>
      <c r="I494" s="10" t="s">
        <v>521</v>
      </c>
      <c r="J494" s="167" t="s">
        <v>369</v>
      </c>
      <c r="L494" s="9" t="str">
        <f t="shared" si="62"/>
        <v>00493</v>
      </c>
      <c r="M494" s="71" t="str">
        <f t="shared" si="63"/>
        <v>14 de agosto de 2017</v>
      </c>
      <c r="N494" s="39">
        <f t="shared" si="64"/>
        <v>42948</v>
      </c>
      <c r="O494" s="9" t="str">
        <f t="shared" si="67"/>
        <v>18.000,00</v>
      </c>
      <c r="P494" s="8" t="str">
        <f t="shared" si="68"/>
        <v>Dieciocho Mil Bolívares con 00/100</v>
      </c>
      <c r="Q494" s="403" t="str">
        <f t="shared" si="65"/>
        <v/>
      </c>
    </row>
    <row r="495" spans="1:17" x14ac:dyDescent="0.25">
      <c r="A495" s="1">
        <f t="shared" si="66"/>
        <v>494</v>
      </c>
      <c r="C495" s="12" t="s">
        <v>17</v>
      </c>
      <c r="D495" s="2">
        <v>42962</v>
      </c>
      <c r="E495" s="3">
        <v>15000</v>
      </c>
      <c r="F495" t="s">
        <v>402</v>
      </c>
      <c r="G495" t="s">
        <v>403</v>
      </c>
      <c r="H495" t="s">
        <v>404</v>
      </c>
      <c r="I495" s="10" t="s">
        <v>513</v>
      </c>
      <c r="J495" s="167" t="s">
        <v>22</v>
      </c>
      <c r="L495" s="9" t="str">
        <f t="shared" si="62"/>
        <v>00494</v>
      </c>
      <c r="M495" s="71" t="str">
        <f t="shared" si="63"/>
        <v>15 de agosto de 2017</v>
      </c>
      <c r="N495" s="39">
        <f t="shared" si="64"/>
        <v>42948</v>
      </c>
      <c r="O495" s="9" t="str">
        <f t="shared" si="67"/>
        <v>15.000,00</v>
      </c>
      <c r="P495" s="8" t="str">
        <f t="shared" si="68"/>
        <v>Quince Mil Bolívares con 00/100</v>
      </c>
      <c r="Q495" s="403" t="str">
        <f t="shared" si="65"/>
        <v/>
      </c>
    </row>
    <row r="496" spans="1:17" x14ac:dyDescent="0.25">
      <c r="A496" s="1">
        <f t="shared" si="66"/>
        <v>495</v>
      </c>
      <c r="C496" s="12" t="s">
        <v>17</v>
      </c>
      <c r="D496" s="2">
        <v>42962</v>
      </c>
      <c r="E496" s="3">
        <v>20000</v>
      </c>
      <c r="F496" t="s">
        <v>181</v>
      </c>
      <c r="G496" t="s">
        <v>182</v>
      </c>
      <c r="H496" t="s">
        <v>183</v>
      </c>
      <c r="I496" s="10" t="s">
        <v>513</v>
      </c>
      <c r="J496" s="167" t="s">
        <v>22</v>
      </c>
      <c r="L496" s="9" t="str">
        <f t="shared" si="62"/>
        <v>00495</v>
      </c>
      <c r="M496" s="71" t="str">
        <f t="shared" si="63"/>
        <v>15 de agosto de 2017</v>
      </c>
      <c r="N496" s="39">
        <f t="shared" si="64"/>
        <v>42948</v>
      </c>
      <c r="O496" s="9" t="str">
        <f t="shared" si="67"/>
        <v>20.000,00</v>
      </c>
      <c r="P496" s="8" t="str">
        <f t="shared" si="68"/>
        <v>Veinte Mil Bolívares con 00/100</v>
      </c>
      <c r="Q496" s="403" t="str">
        <f t="shared" si="65"/>
        <v/>
      </c>
    </row>
    <row r="497" spans="1:17" x14ac:dyDescent="0.25">
      <c r="A497" s="1">
        <f t="shared" si="66"/>
        <v>496</v>
      </c>
      <c r="C497" s="12" t="s">
        <v>17</v>
      </c>
      <c r="D497" s="2">
        <v>42962</v>
      </c>
      <c r="E497" s="3">
        <v>35000</v>
      </c>
      <c r="F497" t="s">
        <v>152</v>
      </c>
      <c r="G497" t="s">
        <v>153</v>
      </c>
      <c r="H497" t="s">
        <v>154</v>
      </c>
      <c r="I497" s="10" t="s">
        <v>514</v>
      </c>
      <c r="J497" s="167" t="s">
        <v>22</v>
      </c>
      <c r="L497" s="9" t="str">
        <f t="shared" si="62"/>
        <v>00496</v>
      </c>
      <c r="M497" s="71" t="str">
        <f t="shared" si="63"/>
        <v>15 de agosto de 2017</v>
      </c>
      <c r="N497" s="39">
        <f t="shared" si="64"/>
        <v>42948</v>
      </c>
      <c r="O497" s="9" t="str">
        <f t="shared" si="67"/>
        <v>35.000,00</v>
      </c>
      <c r="P497" s="8" t="str">
        <f t="shared" si="68"/>
        <v>Treinta y Cinco Mil Bolívares con 00/100</v>
      </c>
      <c r="Q497" s="403" t="str">
        <f t="shared" si="65"/>
        <v/>
      </c>
    </row>
    <row r="498" spans="1:17" x14ac:dyDescent="0.25">
      <c r="A498" s="1">
        <f t="shared" si="66"/>
        <v>497</v>
      </c>
      <c r="C498" s="12" t="s">
        <v>17</v>
      </c>
      <c r="D498" s="2">
        <v>42911</v>
      </c>
      <c r="E498" s="3">
        <v>26000</v>
      </c>
      <c r="F498" t="s">
        <v>296</v>
      </c>
      <c r="G498" t="s">
        <v>297</v>
      </c>
      <c r="H498" t="s">
        <v>298</v>
      </c>
      <c r="I498" s="10" t="s">
        <v>446</v>
      </c>
      <c r="J498" s="167" t="s">
        <v>22</v>
      </c>
      <c r="L498" s="9" t="str">
        <f t="shared" si="62"/>
        <v>00497</v>
      </c>
      <c r="M498" s="71" t="str">
        <f t="shared" si="63"/>
        <v>25 de junio de 2017</v>
      </c>
      <c r="N498" s="39">
        <f t="shared" si="64"/>
        <v>42887</v>
      </c>
      <c r="O498" s="9" t="str">
        <f t="shared" si="67"/>
        <v>26.000,00</v>
      </c>
      <c r="P498" s="8" t="str">
        <f t="shared" si="68"/>
        <v>Veintiseis Mil Bolívares con 00/100</v>
      </c>
      <c r="Q498" s="403" t="str">
        <f t="shared" si="65"/>
        <v/>
      </c>
    </row>
    <row r="499" spans="1:17" x14ac:dyDescent="0.25">
      <c r="A499" s="1">
        <f t="shared" si="66"/>
        <v>498</v>
      </c>
      <c r="C499" s="12" t="s">
        <v>17</v>
      </c>
      <c r="D499" s="2">
        <v>42963</v>
      </c>
      <c r="E499" s="3">
        <v>9000</v>
      </c>
      <c r="F499" t="s">
        <v>122</v>
      </c>
      <c r="G499" t="s">
        <v>123</v>
      </c>
      <c r="H499" t="s">
        <v>124</v>
      </c>
      <c r="I499" s="10" t="s">
        <v>499</v>
      </c>
      <c r="J499" s="167" t="s">
        <v>22</v>
      </c>
      <c r="L499" s="9" t="str">
        <f t="shared" si="62"/>
        <v>00498</v>
      </c>
      <c r="M499" s="71" t="str">
        <f t="shared" si="63"/>
        <v>16 de agosto de 2017</v>
      </c>
      <c r="N499" s="39">
        <f t="shared" si="64"/>
        <v>42948</v>
      </c>
      <c r="O499" s="9" t="str">
        <f t="shared" ref="O499:O519" si="69">TEXT(E499,"#.##0,00")</f>
        <v>9.000,00</v>
      </c>
      <c r="P499" s="8" t="str">
        <f t="shared" ref="P499:P519" si="70">CONVERTIRNUM(E499)</f>
        <v>Nueve Mil Bolívares con 00/100</v>
      </c>
      <c r="Q499" s="403" t="str">
        <f t="shared" si="65"/>
        <v/>
      </c>
    </row>
    <row r="500" spans="1:17" x14ac:dyDescent="0.25">
      <c r="A500" s="1">
        <f t="shared" si="66"/>
        <v>499</v>
      </c>
      <c r="C500" s="12" t="s">
        <v>17</v>
      </c>
      <c r="D500" s="2">
        <v>42963</v>
      </c>
      <c r="E500" s="3">
        <v>35000</v>
      </c>
      <c r="F500" t="s">
        <v>122</v>
      </c>
      <c r="G500" t="s">
        <v>123</v>
      </c>
      <c r="H500" t="s">
        <v>124</v>
      </c>
      <c r="I500" s="10" t="s">
        <v>514</v>
      </c>
      <c r="J500" s="167" t="s">
        <v>22</v>
      </c>
      <c r="L500" s="9" t="str">
        <f t="shared" si="62"/>
        <v>00499</v>
      </c>
      <c r="M500" s="71" t="str">
        <f t="shared" si="63"/>
        <v>16 de agosto de 2017</v>
      </c>
      <c r="N500" s="39">
        <f t="shared" si="64"/>
        <v>42948</v>
      </c>
      <c r="O500" s="9" t="str">
        <f t="shared" si="69"/>
        <v>35.000,00</v>
      </c>
      <c r="P500" s="8" t="str">
        <f t="shared" si="70"/>
        <v>Treinta y Cinco Mil Bolívares con 00/100</v>
      </c>
      <c r="Q500" s="403" t="str">
        <f t="shared" si="65"/>
        <v/>
      </c>
    </row>
    <row r="501" spans="1:17" x14ac:dyDescent="0.25">
      <c r="A501" s="1">
        <f t="shared" si="66"/>
        <v>500</v>
      </c>
      <c r="C501" s="12" t="s">
        <v>17</v>
      </c>
      <c r="D501" s="2">
        <v>42944</v>
      </c>
      <c r="E501" s="3">
        <v>35000</v>
      </c>
      <c r="F501" t="s">
        <v>62</v>
      </c>
      <c r="G501" t="s">
        <v>63</v>
      </c>
      <c r="H501" t="s">
        <v>64</v>
      </c>
      <c r="I501" s="10" t="s">
        <v>500</v>
      </c>
      <c r="J501" s="167" t="s">
        <v>22</v>
      </c>
      <c r="L501" s="9" t="str">
        <f t="shared" si="62"/>
        <v>00500</v>
      </c>
      <c r="M501" s="71" t="str">
        <f t="shared" si="63"/>
        <v>28 de julio de 2017</v>
      </c>
      <c r="N501" s="39">
        <f t="shared" si="64"/>
        <v>42917</v>
      </c>
      <c r="O501" s="9" t="str">
        <f t="shared" si="69"/>
        <v>35.000,00</v>
      </c>
      <c r="P501" s="8" t="str">
        <f t="shared" si="70"/>
        <v>Treinta y Cinco Mil Bolívares con 00/100</v>
      </c>
      <c r="Q501" s="403" t="str">
        <f t="shared" si="65"/>
        <v/>
      </c>
    </row>
    <row r="502" spans="1:17" ht="15.75" thickBot="1" x14ac:dyDescent="0.3">
      <c r="A502" s="1">
        <f t="shared" si="66"/>
        <v>501</v>
      </c>
      <c r="C502" s="12" t="s">
        <v>17</v>
      </c>
      <c r="D502" s="2">
        <v>42941</v>
      </c>
      <c r="E502" s="3">
        <v>35000</v>
      </c>
      <c r="F502" t="s">
        <v>296</v>
      </c>
      <c r="G502" t="s">
        <v>297</v>
      </c>
      <c r="H502" t="s">
        <v>298</v>
      </c>
      <c r="I502" s="10" t="s">
        <v>500</v>
      </c>
      <c r="J502" s="167" t="s">
        <v>22</v>
      </c>
      <c r="L502" s="9" t="str">
        <f t="shared" si="62"/>
        <v>00501</v>
      </c>
      <c r="M502" s="71" t="str">
        <f t="shared" si="63"/>
        <v>25 de julio de 2017</v>
      </c>
      <c r="N502" s="39">
        <f t="shared" si="64"/>
        <v>42917</v>
      </c>
      <c r="O502" s="9" t="str">
        <f t="shared" si="69"/>
        <v>35.000,00</v>
      </c>
      <c r="P502" s="8" t="str">
        <f t="shared" si="70"/>
        <v>Treinta y Cinco Mil Bolívares con 00/100</v>
      </c>
      <c r="Q502" s="403" t="str">
        <f t="shared" si="65"/>
        <v/>
      </c>
    </row>
    <row r="503" spans="1:17" ht="15.75" thickBot="1" x14ac:dyDescent="0.3">
      <c r="A503" s="1">
        <f t="shared" si="66"/>
        <v>502</v>
      </c>
      <c r="C503" s="12" t="s">
        <v>17</v>
      </c>
      <c r="D503" s="2">
        <v>42964</v>
      </c>
      <c r="E503" s="3">
        <v>40000</v>
      </c>
      <c r="F503" s="31" t="s">
        <v>57</v>
      </c>
      <c r="G503" s="27" t="s">
        <v>58</v>
      </c>
      <c r="H503" s="32" t="s">
        <v>59</v>
      </c>
      <c r="I503" s="10" t="s">
        <v>514</v>
      </c>
      <c r="J503" s="167" t="s">
        <v>22</v>
      </c>
      <c r="K503" s="33"/>
      <c r="L503" s="9" t="str">
        <f t="shared" si="62"/>
        <v>00502</v>
      </c>
      <c r="M503" s="71" t="str">
        <f t="shared" si="63"/>
        <v>17 de agosto de 2017</v>
      </c>
      <c r="N503" s="39">
        <f t="shared" si="64"/>
        <v>42948</v>
      </c>
      <c r="O503" s="9" t="str">
        <f t="shared" si="69"/>
        <v>40.000,00</v>
      </c>
      <c r="P503" s="8" t="str">
        <f t="shared" si="70"/>
        <v>Cuarenta Mil Bolívares con 00/100</v>
      </c>
      <c r="Q503" s="403" t="str">
        <f t="shared" si="65"/>
        <v/>
      </c>
    </row>
    <row r="504" spans="1:17" ht="15.75" thickBot="1" x14ac:dyDescent="0.3">
      <c r="A504" s="1">
        <f t="shared" si="66"/>
        <v>503</v>
      </c>
      <c r="C504" s="12" t="s">
        <v>17</v>
      </c>
      <c r="D504" s="2">
        <v>42946</v>
      </c>
      <c r="E504" s="3">
        <v>62000</v>
      </c>
      <c r="F504" t="s">
        <v>197</v>
      </c>
      <c r="G504" t="s">
        <v>198</v>
      </c>
      <c r="H504" t="s">
        <v>199</v>
      </c>
      <c r="I504" s="10" t="s">
        <v>522</v>
      </c>
      <c r="J504" s="167" t="s">
        <v>22</v>
      </c>
      <c r="L504" s="9" t="str">
        <f t="shared" si="62"/>
        <v>00503</v>
      </c>
      <c r="M504" s="71" t="str">
        <f t="shared" si="63"/>
        <v>30 de julio de 2017</v>
      </c>
      <c r="N504" s="39">
        <f t="shared" si="64"/>
        <v>42917</v>
      </c>
      <c r="O504" s="9" t="str">
        <f t="shared" si="69"/>
        <v>62.000,00</v>
      </c>
      <c r="P504" s="8" t="str">
        <f t="shared" si="70"/>
        <v>Sesenta y Dos Mil Bolívares con 00/100</v>
      </c>
      <c r="Q504" s="403" t="str">
        <f t="shared" si="65"/>
        <v/>
      </c>
    </row>
    <row r="505" spans="1:17" ht="15.75" thickBot="1" x14ac:dyDescent="0.3">
      <c r="A505" s="1">
        <f t="shared" si="66"/>
        <v>504</v>
      </c>
      <c r="C505" s="12" t="s">
        <v>17</v>
      </c>
      <c r="D505" s="2">
        <v>42964</v>
      </c>
      <c r="E505" s="3">
        <v>15000</v>
      </c>
      <c r="F505" t="s">
        <v>177</v>
      </c>
      <c r="G505" s="27" t="s">
        <v>58</v>
      </c>
      <c r="H505" t="s">
        <v>179</v>
      </c>
      <c r="I505" s="10" t="s">
        <v>499</v>
      </c>
      <c r="J505" s="167" t="s">
        <v>22</v>
      </c>
      <c r="L505" s="9" t="str">
        <f t="shared" si="62"/>
        <v>00504</v>
      </c>
      <c r="M505" s="71" t="str">
        <f t="shared" si="63"/>
        <v>17 de agosto de 2017</v>
      </c>
      <c r="N505" s="39">
        <f t="shared" si="64"/>
        <v>42948</v>
      </c>
      <c r="O505" s="9" t="str">
        <f t="shared" si="69"/>
        <v>15.000,00</v>
      </c>
      <c r="P505" s="8" t="str">
        <f t="shared" si="70"/>
        <v>Quince Mil Bolívares con 00/100</v>
      </c>
      <c r="Q505" s="403" t="str">
        <f t="shared" si="65"/>
        <v/>
      </c>
    </row>
    <row r="506" spans="1:17" x14ac:dyDescent="0.25">
      <c r="A506" s="1">
        <f t="shared" si="66"/>
        <v>505</v>
      </c>
      <c r="C506" s="12" t="s">
        <v>17</v>
      </c>
      <c r="D506" s="2">
        <v>42964</v>
      </c>
      <c r="E506" s="3">
        <v>5000</v>
      </c>
      <c r="F506" t="s">
        <v>144</v>
      </c>
      <c r="G506" t="s">
        <v>145</v>
      </c>
      <c r="H506" t="s">
        <v>146</v>
      </c>
      <c r="I506" s="10" t="s">
        <v>513</v>
      </c>
      <c r="J506" s="167" t="s">
        <v>22</v>
      </c>
      <c r="L506" s="9" t="str">
        <f t="shared" si="62"/>
        <v>00505</v>
      </c>
      <c r="M506" s="71" t="str">
        <f t="shared" si="63"/>
        <v>17 de agosto de 2017</v>
      </c>
      <c r="N506" s="39">
        <f t="shared" si="64"/>
        <v>42948</v>
      </c>
      <c r="O506" s="9" t="str">
        <f t="shared" si="69"/>
        <v>5.000,00</v>
      </c>
      <c r="P506" s="8" t="str">
        <f t="shared" si="70"/>
        <v>Cinco Mil Bolívares con 00/100</v>
      </c>
      <c r="Q506" s="403" t="str">
        <f t="shared" si="65"/>
        <v/>
      </c>
    </row>
    <row r="507" spans="1:17" x14ac:dyDescent="0.25">
      <c r="A507" s="1">
        <f t="shared" si="66"/>
        <v>506</v>
      </c>
      <c r="C507" s="12" t="s">
        <v>17</v>
      </c>
      <c r="D507" s="2">
        <v>42964</v>
      </c>
      <c r="E507" s="3">
        <v>35000</v>
      </c>
      <c r="F507" t="s">
        <v>107</v>
      </c>
      <c r="G507" t="s">
        <v>108</v>
      </c>
      <c r="H507" t="s">
        <v>109</v>
      </c>
      <c r="I507" s="10" t="s">
        <v>514</v>
      </c>
      <c r="J507" s="167" t="s">
        <v>22</v>
      </c>
      <c r="L507" s="9" t="str">
        <f t="shared" si="62"/>
        <v>00506</v>
      </c>
      <c r="M507" s="71" t="str">
        <f t="shared" si="63"/>
        <v>17 de agosto de 2017</v>
      </c>
      <c r="N507" s="39">
        <f t="shared" si="64"/>
        <v>42948</v>
      </c>
      <c r="O507" s="9" t="str">
        <f t="shared" si="69"/>
        <v>35.000,00</v>
      </c>
      <c r="P507" s="8" t="str">
        <f t="shared" si="70"/>
        <v>Treinta y Cinco Mil Bolívares con 00/100</v>
      </c>
      <c r="Q507" s="403" t="str">
        <f t="shared" si="65"/>
        <v/>
      </c>
    </row>
    <row r="508" spans="1:17" x14ac:dyDescent="0.25">
      <c r="A508" s="1">
        <f t="shared" si="66"/>
        <v>507</v>
      </c>
      <c r="C508" s="12" t="s">
        <v>17</v>
      </c>
      <c r="D508" s="2">
        <v>42934</v>
      </c>
      <c r="E508" s="3">
        <v>20000</v>
      </c>
      <c r="F508" t="s">
        <v>118</v>
      </c>
      <c r="G508" t="s">
        <v>119</v>
      </c>
      <c r="H508" t="s">
        <v>120</v>
      </c>
      <c r="I508" s="10" t="s">
        <v>513</v>
      </c>
      <c r="J508" s="167" t="s">
        <v>22</v>
      </c>
      <c r="L508" s="9" t="str">
        <f t="shared" si="62"/>
        <v>00507</v>
      </c>
      <c r="M508" s="71" t="str">
        <f t="shared" si="63"/>
        <v>18 de julio de 2017</v>
      </c>
      <c r="N508" s="39">
        <f t="shared" si="64"/>
        <v>42917</v>
      </c>
      <c r="O508" s="9" t="str">
        <f t="shared" si="69"/>
        <v>20.000,00</v>
      </c>
      <c r="P508" s="8" t="str">
        <f t="shared" si="70"/>
        <v>Veinte Mil Bolívares con 00/100</v>
      </c>
      <c r="Q508" s="403" t="str">
        <f t="shared" si="65"/>
        <v/>
      </c>
    </row>
    <row r="509" spans="1:17" ht="15.75" thickBot="1" x14ac:dyDescent="0.3">
      <c r="A509" s="1">
        <f t="shared" si="66"/>
        <v>508</v>
      </c>
      <c r="C509" s="12" t="s">
        <v>17</v>
      </c>
      <c r="D509" s="2">
        <v>42965</v>
      </c>
      <c r="E509" s="3">
        <v>20000</v>
      </c>
      <c r="F509" t="s">
        <v>28</v>
      </c>
      <c r="G509" t="s">
        <v>29</v>
      </c>
      <c r="H509" t="s">
        <v>30</v>
      </c>
      <c r="I509" s="10" t="s">
        <v>513</v>
      </c>
      <c r="J509" s="167" t="s">
        <v>22</v>
      </c>
      <c r="L509" s="9" t="str">
        <f t="shared" si="62"/>
        <v>00508</v>
      </c>
      <c r="M509" s="71" t="str">
        <f t="shared" si="63"/>
        <v>18 de agosto de 2017</v>
      </c>
      <c r="N509" s="39">
        <f t="shared" si="64"/>
        <v>42948</v>
      </c>
      <c r="O509" s="9" t="str">
        <f t="shared" si="69"/>
        <v>20.000,00</v>
      </c>
      <c r="P509" s="8" t="str">
        <f t="shared" si="70"/>
        <v>Veinte Mil Bolívares con 00/100</v>
      </c>
      <c r="Q509" s="403" t="str">
        <f t="shared" si="65"/>
        <v/>
      </c>
    </row>
    <row r="510" spans="1:17" ht="15.75" thickBot="1" x14ac:dyDescent="0.3">
      <c r="A510" s="1">
        <f t="shared" si="66"/>
        <v>509</v>
      </c>
      <c r="C510" s="12" t="s">
        <v>17</v>
      </c>
      <c r="D510" s="2">
        <v>42965</v>
      </c>
      <c r="E510" s="3">
        <f>6000+6500</f>
        <v>12500</v>
      </c>
      <c r="F510" t="s">
        <v>398</v>
      </c>
      <c r="G510" s="74" t="s">
        <v>29</v>
      </c>
      <c r="H510" t="s">
        <v>399</v>
      </c>
      <c r="I510" s="10" t="s">
        <v>523</v>
      </c>
      <c r="J510" s="167" t="s">
        <v>22</v>
      </c>
      <c r="L510" s="9" t="str">
        <f t="shared" si="62"/>
        <v>00509</v>
      </c>
      <c r="M510" s="71" t="str">
        <f t="shared" si="63"/>
        <v>18 de agosto de 2017</v>
      </c>
      <c r="N510" s="39">
        <f t="shared" si="64"/>
        <v>42948</v>
      </c>
      <c r="O510" s="9" t="str">
        <f t="shared" si="69"/>
        <v>12.500,00</v>
      </c>
      <c r="P510" s="8" t="str">
        <f t="shared" si="70"/>
        <v>Doce Mil Quinientos Bolívares con 00/100</v>
      </c>
      <c r="Q510" s="403" t="str">
        <f t="shared" si="65"/>
        <v/>
      </c>
    </row>
    <row r="511" spans="1:17" x14ac:dyDescent="0.25">
      <c r="A511" s="1">
        <f t="shared" si="66"/>
        <v>510</v>
      </c>
      <c r="C511" s="12" t="s">
        <v>17</v>
      </c>
      <c r="D511" s="2">
        <v>42965</v>
      </c>
      <c r="E511" s="3">
        <f>17000+26000+26000+35000+35000</f>
        <v>139000</v>
      </c>
      <c r="F511" t="s">
        <v>280</v>
      </c>
      <c r="G511" t="s">
        <v>281</v>
      </c>
      <c r="H511" t="s">
        <v>282</v>
      </c>
      <c r="I511" s="10" t="s">
        <v>524</v>
      </c>
      <c r="J511" s="167" t="s">
        <v>22</v>
      </c>
      <c r="L511" s="9" t="str">
        <f t="shared" si="62"/>
        <v>00510</v>
      </c>
      <c r="M511" s="71" t="str">
        <f t="shared" si="63"/>
        <v>18 de agosto de 2017</v>
      </c>
      <c r="N511" s="39">
        <f t="shared" si="64"/>
        <v>42948</v>
      </c>
      <c r="O511" s="9" t="str">
        <f t="shared" si="69"/>
        <v>139.000,00</v>
      </c>
      <c r="P511" s="8" t="str">
        <f t="shared" si="70"/>
        <v>Ciento Treinta y Nueve Mil Bolívares con 00/100</v>
      </c>
      <c r="Q511" s="403" t="str">
        <f t="shared" si="65"/>
        <v/>
      </c>
    </row>
    <row r="512" spans="1:17" x14ac:dyDescent="0.25">
      <c r="A512" s="1">
        <f t="shared" si="66"/>
        <v>511</v>
      </c>
      <c r="C512" s="12" t="s">
        <v>17</v>
      </c>
      <c r="D512" s="2">
        <v>42966</v>
      </c>
      <c r="E512" s="3">
        <f>35000+35000</f>
        <v>70000</v>
      </c>
      <c r="F512" t="s">
        <v>138</v>
      </c>
      <c r="G512" t="s">
        <v>139</v>
      </c>
      <c r="H512" t="s">
        <v>140</v>
      </c>
      <c r="I512" s="10" t="s">
        <v>508</v>
      </c>
      <c r="J512" s="167" t="s">
        <v>22</v>
      </c>
      <c r="L512" s="9" t="str">
        <f t="shared" si="62"/>
        <v>00511</v>
      </c>
      <c r="M512" s="71" t="str">
        <f t="shared" si="63"/>
        <v>19 de agosto de 2017</v>
      </c>
      <c r="N512" s="39">
        <f t="shared" si="64"/>
        <v>42948</v>
      </c>
      <c r="O512" s="9" t="str">
        <f t="shared" si="69"/>
        <v>70.000,00</v>
      </c>
      <c r="P512" s="8" t="str">
        <f t="shared" si="70"/>
        <v>Setenta Mil Bolívares con 00/100</v>
      </c>
      <c r="Q512" s="403" t="str">
        <f t="shared" si="65"/>
        <v/>
      </c>
    </row>
    <row r="513" spans="1:17" x14ac:dyDescent="0.25">
      <c r="A513" s="1">
        <f t="shared" si="66"/>
        <v>512</v>
      </c>
      <c r="C513" s="12" t="s">
        <v>17</v>
      </c>
      <c r="D513" s="2">
        <v>42966</v>
      </c>
      <c r="E513" s="3">
        <v>30000</v>
      </c>
      <c r="F513" t="s">
        <v>354</v>
      </c>
      <c r="G513" t="s">
        <v>355</v>
      </c>
      <c r="H513" t="s">
        <v>356</v>
      </c>
      <c r="I513" s="10" t="s">
        <v>513</v>
      </c>
      <c r="J513" s="167" t="s">
        <v>22</v>
      </c>
      <c r="L513" s="9" t="str">
        <f t="shared" si="62"/>
        <v>00512</v>
      </c>
      <c r="M513" s="71" t="str">
        <f t="shared" si="63"/>
        <v>19 de agosto de 2017</v>
      </c>
      <c r="N513" s="39">
        <f t="shared" si="64"/>
        <v>42948</v>
      </c>
      <c r="O513" s="9" t="str">
        <f t="shared" si="69"/>
        <v>30.000,00</v>
      </c>
      <c r="P513" s="8" t="str">
        <f t="shared" si="70"/>
        <v>Treinta Mil Bolívares con 00/100</v>
      </c>
      <c r="Q513" s="403" t="str">
        <f t="shared" si="65"/>
        <v/>
      </c>
    </row>
    <row r="514" spans="1:17" x14ac:dyDescent="0.25">
      <c r="A514" s="1">
        <f t="shared" si="66"/>
        <v>513</v>
      </c>
      <c r="C514" s="12" t="s">
        <v>17</v>
      </c>
      <c r="D514" s="2">
        <v>42966</v>
      </c>
      <c r="E514" s="3">
        <v>35000</v>
      </c>
      <c r="F514" t="s">
        <v>363</v>
      </c>
      <c r="G514" t="s">
        <v>364</v>
      </c>
      <c r="H514" t="s">
        <v>365</v>
      </c>
      <c r="I514" s="10" t="s">
        <v>500</v>
      </c>
      <c r="J514" s="167" t="s">
        <v>22</v>
      </c>
      <c r="L514" s="9" t="str">
        <f t="shared" ref="L514:L577" si="71">IF(ISBLANK(A514),"",TEXT(A514,"00000"))</f>
        <v>00513</v>
      </c>
      <c r="M514" s="71" t="str">
        <f t="shared" ref="M514:M577" si="72">IF(ISBLANK(D514),"",TEXT(D514,"dd")&amp;" de "&amp;TEXT(D514,"mmmm")&amp;" de "&amp;TEXT(YEAR(D514),"0"))</f>
        <v>19 de agosto de 2017</v>
      </c>
      <c r="N514" s="39">
        <f t="shared" ref="N514:N577" si="73">DATE(YEAR(D514),MONTH(D514),1)</f>
        <v>42948</v>
      </c>
      <c r="O514" s="9" t="str">
        <f t="shared" si="69"/>
        <v>35.000,00</v>
      </c>
      <c r="P514" s="8" t="str">
        <f t="shared" si="70"/>
        <v>Treinta y Cinco Mil Bolívares con 00/100</v>
      </c>
      <c r="Q514" s="403" t="str">
        <f t="shared" si="65"/>
        <v/>
      </c>
    </row>
    <row r="515" spans="1:17" x14ac:dyDescent="0.25">
      <c r="A515" s="1">
        <f t="shared" si="66"/>
        <v>514</v>
      </c>
      <c r="C515" s="12" t="s">
        <v>17</v>
      </c>
      <c r="D515" s="2">
        <v>42966</v>
      </c>
      <c r="E515" s="3">
        <v>35000</v>
      </c>
      <c r="F515" t="s">
        <v>484</v>
      </c>
      <c r="G515" t="s">
        <v>485</v>
      </c>
      <c r="H515" t="s">
        <v>486</v>
      </c>
      <c r="I515" s="10" t="s">
        <v>514</v>
      </c>
      <c r="J515" s="167" t="s">
        <v>22</v>
      </c>
      <c r="L515" s="9" t="str">
        <f t="shared" si="71"/>
        <v>00514</v>
      </c>
      <c r="M515" s="71" t="str">
        <f t="shared" si="72"/>
        <v>19 de agosto de 2017</v>
      </c>
      <c r="N515" s="39">
        <f t="shared" si="73"/>
        <v>42948</v>
      </c>
      <c r="O515" s="9" t="str">
        <f t="shared" si="69"/>
        <v>35.000,00</v>
      </c>
      <c r="P515" s="8" t="str">
        <f t="shared" si="70"/>
        <v>Treinta y Cinco Mil Bolívares con 00/100</v>
      </c>
      <c r="Q515" s="403" t="str">
        <f t="shared" ref="Q515:Q578" si="74">IF(C515="û","Anulado","")</f>
        <v/>
      </c>
    </row>
    <row r="516" spans="1:17" x14ac:dyDescent="0.25">
      <c r="A516" s="1">
        <f t="shared" ref="A516:A579" si="75">A515+1</f>
        <v>515</v>
      </c>
      <c r="C516" s="12" t="s">
        <v>17</v>
      </c>
      <c r="D516" s="2">
        <v>42967</v>
      </c>
      <c r="E516" s="3">
        <v>35000</v>
      </c>
      <c r="F516" t="s">
        <v>80</v>
      </c>
      <c r="G516" t="s">
        <v>81</v>
      </c>
      <c r="H516" t="s">
        <v>82</v>
      </c>
      <c r="I516" s="10" t="s">
        <v>514</v>
      </c>
      <c r="J516" s="167" t="s">
        <v>22</v>
      </c>
      <c r="L516" s="9" t="str">
        <f t="shared" si="71"/>
        <v>00515</v>
      </c>
      <c r="M516" s="71" t="str">
        <f t="shared" si="72"/>
        <v>20 de agosto de 2017</v>
      </c>
      <c r="N516" s="39">
        <f t="shared" si="73"/>
        <v>42948</v>
      </c>
      <c r="O516" s="9" t="str">
        <f t="shared" si="69"/>
        <v>35.000,00</v>
      </c>
      <c r="P516" s="8" t="str">
        <f t="shared" si="70"/>
        <v>Treinta y Cinco Mil Bolívares con 00/100</v>
      </c>
      <c r="Q516" s="403" t="str">
        <f t="shared" si="74"/>
        <v/>
      </c>
    </row>
    <row r="517" spans="1:17" x14ac:dyDescent="0.25">
      <c r="A517" s="1">
        <f t="shared" si="75"/>
        <v>516</v>
      </c>
      <c r="C517" s="12" t="s">
        <v>17</v>
      </c>
      <c r="D517" s="2">
        <v>42963</v>
      </c>
      <c r="E517" s="3">
        <f>26000+35000</f>
        <v>61000</v>
      </c>
      <c r="F517" t="s">
        <v>248</v>
      </c>
      <c r="G517" t="s">
        <v>249</v>
      </c>
      <c r="H517" t="s">
        <v>250</v>
      </c>
      <c r="I517" s="10" t="s">
        <v>525</v>
      </c>
      <c r="J517" s="167" t="s">
        <v>22</v>
      </c>
      <c r="L517" s="9" t="str">
        <f t="shared" si="71"/>
        <v>00516</v>
      </c>
      <c r="M517" s="71" t="str">
        <f t="shared" si="72"/>
        <v>16 de agosto de 2017</v>
      </c>
      <c r="N517" s="39">
        <f t="shared" si="73"/>
        <v>42948</v>
      </c>
      <c r="O517" s="9" t="str">
        <f t="shared" si="69"/>
        <v>61.000,00</v>
      </c>
      <c r="P517" s="8" t="str">
        <f t="shared" si="70"/>
        <v>Sesenta y Un Mil Bolívares con 00/100</v>
      </c>
      <c r="Q517" s="403" t="str">
        <f t="shared" si="74"/>
        <v/>
      </c>
    </row>
    <row r="518" spans="1:17" x14ac:dyDescent="0.25">
      <c r="A518" s="1">
        <f t="shared" si="75"/>
        <v>517</v>
      </c>
      <c r="C518" s="12" t="s">
        <v>17</v>
      </c>
      <c r="D518" s="2">
        <v>42967</v>
      </c>
      <c r="E518" s="3">
        <v>15000</v>
      </c>
      <c r="F518" t="s">
        <v>130</v>
      </c>
      <c r="G518" t="s">
        <v>131</v>
      </c>
      <c r="H518" t="s">
        <v>132</v>
      </c>
      <c r="I518" s="10" t="s">
        <v>479</v>
      </c>
      <c r="J518" s="167" t="s">
        <v>22</v>
      </c>
      <c r="L518" s="9" t="str">
        <f t="shared" si="71"/>
        <v>00517</v>
      </c>
      <c r="M518" s="71" t="str">
        <f t="shared" si="72"/>
        <v>20 de agosto de 2017</v>
      </c>
      <c r="N518" s="39">
        <f t="shared" si="73"/>
        <v>42948</v>
      </c>
      <c r="O518" s="9" t="str">
        <f t="shared" si="69"/>
        <v>15.000,00</v>
      </c>
      <c r="P518" s="8" t="str">
        <f t="shared" si="70"/>
        <v>Quince Mil Bolívares con 00/100</v>
      </c>
      <c r="Q518" s="403" t="str">
        <f t="shared" si="74"/>
        <v/>
      </c>
    </row>
    <row r="519" spans="1:17" x14ac:dyDescent="0.25">
      <c r="A519" s="1">
        <f t="shared" si="75"/>
        <v>518</v>
      </c>
      <c r="C519" s="12" t="s">
        <v>17</v>
      </c>
      <c r="D519" s="2">
        <v>42968</v>
      </c>
      <c r="E519" s="3">
        <f>9000+35000</f>
        <v>44000</v>
      </c>
      <c r="F519" t="s">
        <v>243</v>
      </c>
      <c r="G519" t="s">
        <v>244</v>
      </c>
      <c r="H519" t="s">
        <v>245</v>
      </c>
      <c r="I519" s="10" t="s">
        <v>526</v>
      </c>
      <c r="J519" s="167" t="s">
        <v>22</v>
      </c>
      <c r="L519" s="9" t="str">
        <f t="shared" si="71"/>
        <v>00518</v>
      </c>
      <c r="M519" s="71" t="str">
        <f t="shared" si="72"/>
        <v>21 de agosto de 2017</v>
      </c>
      <c r="N519" s="39">
        <f t="shared" si="73"/>
        <v>42948</v>
      </c>
      <c r="O519" s="9" t="str">
        <f t="shared" si="69"/>
        <v>44.000,00</v>
      </c>
      <c r="P519" s="8" t="str">
        <f t="shared" si="70"/>
        <v>Cuarenta y Cuatro Mil Bolívares con 00/100</v>
      </c>
      <c r="Q519" s="403" t="str">
        <f t="shared" si="74"/>
        <v/>
      </c>
    </row>
    <row r="520" spans="1:17" x14ac:dyDescent="0.25">
      <c r="A520" s="1">
        <f t="shared" si="75"/>
        <v>519</v>
      </c>
      <c r="C520" s="12" t="s">
        <v>17</v>
      </c>
      <c r="D520" s="2">
        <v>42970</v>
      </c>
      <c r="E520" s="3">
        <v>35000</v>
      </c>
      <c r="F520" t="s">
        <v>248</v>
      </c>
      <c r="G520" t="s">
        <v>249</v>
      </c>
      <c r="H520" t="s">
        <v>250</v>
      </c>
      <c r="I520" s="10" t="s">
        <v>514</v>
      </c>
      <c r="J520" s="167" t="s">
        <v>22</v>
      </c>
      <c r="L520" s="9" t="str">
        <f t="shared" si="71"/>
        <v>00519</v>
      </c>
      <c r="M520" s="71" t="str">
        <f t="shared" si="72"/>
        <v>23 de agosto de 2017</v>
      </c>
      <c r="N520" s="39">
        <f t="shared" si="73"/>
        <v>42948</v>
      </c>
      <c r="O520" s="9" t="str">
        <f t="shared" ref="O520:O552" si="76">TEXT(E520,"#.##0,00")</f>
        <v>35.000,00</v>
      </c>
      <c r="P520" s="8" t="str">
        <f t="shared" ref="P520:P552" si="77">CONVERTIRNUM(E520)</f>
        <v>Treinta y Cinco Mil Bolívares con 00/100</v>
      </c>
      <c r="Q520" s="403" t="str">
        <f t="shared" si="74"/>
        <v/>
      </c>
    </row>
    <row r="521" spans="1:17" x14ac:dyDescent="0.25">
      <c r="A521" s="1">
        <f t="shared" si="75"/>
        <v>520</v>
      </c>
      <c r="C521" s="12" t="s">
        <v>17</v>
      </c>
      <c r="D521" s="2">
        <v>42972</v>
      </c>
      <c r="E521" s="3">
        <v>18000</v>
      </c>
      <c r="F521" t="s">
        <v>130</v>
      </c>
      <c r="G521" t="s">
        <v>131</v>
      </c>
      <c r="H521" t="s">
        <v>132</v>
      </c>
      <c r="I521" s="10" t="s">
        <v>513</v>
      </c>
      <c r="J521" s="167" t="s">
        <v>22</v>
      </c>
      <c r="L521" s="9" t="str">
        <f t="shared" si="71"/>
        <v>00520</v>
      </c>
      <c r="M521" s="71" t="str">
        <f t="shared" si="72"/>
        <v>25 de agosto de 2017</v>
      </c>
      <c r="N521" s="39">
        <f t="shared" si="73"/>
        <v>42948</v>
      </c>
      <c r="O521" s="9" t="str">
        <f t="shared" si="76"/>
        <v>18.000,00</v>
      </c>
      <c r="P521" s="8" t="str">
        <f t="shared" si="77"/>
        <v>Dieciocho Mil Bolívares con 00/100</v>
      </c>
      <c r="Q521" s="403" t="str">
        <f t="shared" si="74"/>
        <v/>
      </c>
    </row>
    <row r="522" spans="1:17" x14ac:dyDescent="0.25">
      <c r="A522" s="1">
        <f t="shared" si="75"/>
        <v>521</v>
      </c>
      <c r="C522" s="12" t="s">
        <v>17</v>
      </c>
      <c r="D522" s="2">
        <v>42975</v>
      </c>
      <c r="E522" s="3">
        <f>35000*2</f>
        <v>70000</v>
      </c>
      <c r="F522" t="s">
        <v>53</v>
      </c>
      <c r="G522" t="s">
        <v>54</v>
      </c>
      <c r="H522" t="s">
        <v>55</v>
      </c>
      <c r="I522" s="10" t="s">
        <v>508</v>
      </c>
      <c r="J522" s="167" t="s">
        <v>22</v>
      </c>
      <c r="L522" s="9" t="str">
        <f t="shared" si="71"/>
        <v>00521</v>
      </c>
      <c r="M522" s="71" t="str">
        <f t="shared" si="72"/>
        <v>28 de agosto de 2017</v>
      </c>
      <c r="N522" s="39">
        <f t="shared" si="73"/>
        <v>42948</v>
      </c>
      <c r="O522" s="9" t="str">
        <f t="shared" si="76"/>
        <v>70.000,00</v>
      </c>
      <c r="P522" s="8" t="str">
        <f t="shared" si="77"/>
        <v>Setenta Mil Bolívares con 00/100</v>
      </c>
      <c r="Q522" s="403" t="str">
        <f t="shared" si="74"/>
        <v/>
      </c>
    </row>
    <row r="523" spans="1:17" x14ac:dyDescent="0.25">
      <c r="A523" s="1">
        <f t="shared" si="75"/>
        <v>522</v>
      </c>
      <c r="C523" s="12" t="s">
        <v>17</v>
      </c>
      <c r="D523" s="2">
        <v>42971</v>
      </c>
      <c r="E523" s="3">
        <v>36000</v>
      </c>
      <c r="F523" t="s">
        <v>148</v>
      </c>
      <c r="G523" t="s">
        <v>149</v>
      </c>
      <c r="H523" t="s">
        <v>150</v>
      </c>
      <c r="I523" s="10" t="s">
        <v>527</v>
      </c>
      <c r="J523" s="167" t="s">
        <v>22</v>
      </c>
      <c r="L523" s="9" t="str">
        <f t="shared" si="71"/>
        <v>00522</v>
      </c>
      <c r="M523" s="71" t="str">
        <f t="shared" si="72"/>
        <v>24 de agosto de 2017</v>
      </c>
      <c r="N523" s="39">
        <f t="shared" si="73"/>
        <v>42948</v>
      </c>
      <c r="O523" s="9" t="str">
        <f t="shared" si="76"/>
        <v>36.000,00</v>
      </c>
      <c r="P523" s="8" t="str">
        <f t="shared" si="77"/>
        <v>Treinta y Seis Mil Bolívares con 00/100</v>
      </c>
      <c r="Q523" s="403" t="str">
        <f t="shared" si="74"/>
        <v/>
      </c>
    </row>
    <row r="524" spans="1:17" x14ac:dyDescent="0.25">
      <c r="A524" s="1">
        <f t="shared" si="75"/>
        <v>523</v>
      </c>
      <c r="C524" s="12" t="s">
        <v>17</v>
      </c>
      <c r="D524" s="2">
        <v>42977</v>
      </c>
      <c r="E524" s="3">
        <v>35000</v>
      </c>
      <c r="F524" t="s">
        <v>44</v>
      </c>
      <c r="G524" t="s">
        <v>45</v>
      </c>
      <c r="H524" t="s">
        <v>46</v>
      </c>
      <c r="I524" s="10" t="s">
        <v>528</v>
      </c>
      <c r="J524" s="167" t="s">
        <v>22</v>
      </c>
      <c r="L524" s="9" t="str">
        <f t="shared" si="71"/>
        <v>00523</v>
      </c>
      <c r="M524" s="71" t="str">
        <f t="shared" si="72"/>
        <v>30 de agosto de 2017</v>
      </c>
      <c r="N524" s="39">
        <f t="shared" si="73"/>
        <v>42948</v>
      </c>
      <c r="O524" s="9" t="str">
        <f t="shared" si="76"/>
        <v>35.000,00</v>
      </c>
      <c r="P524" s="8" t="str">
        <f t="shared" si="77"/>
        <v>Treinta y Cinco Mil Bolívares con 00/100</v>
      </c>
      <c r="Q524" s="403" t="str">
        <f t="shared" si="74"/>
        <v/>
      </c>
    </row>
    <row r="525" spans="1:17" x14ac:dyDescent="0.25">
      <c r="A525" s="1">
        <f t="shared" si="75"/>
        <v>524</v>
      </c>
      <c r="C525" s="12" t="s">
        <v>17</v>
      </c>
      <c r="D525" s="2">
        <v>42978</v>
      </c>
      <c r="E525" s="3">
        <v>70000</v>
      </c>
      <c r="F525" t="s">
        <v>296</v>
      </c>
      <c r="G525" t="s">
        <v>297</v>
      </c>
      <c r="H525" t="s">
        <v>298</v>
      </c>
      <c r="I525" s="10" t="s">
        <v>529</v>
      </c>
      <c r="J525" s="167" t="s">
        <v>22</v>
      </c>
      <c r="L525" s="9" t="str">
        <f t="shared" si="71"/>
        <v>00524</v>
      </c>
      <c r="M525" s="71" t="str">
        <f t="shared" si="72"/>
        <v>31 de agosto de 2017</v>
      </c>
      <c r="N525" s="39">
        <f t="shared" si="73"/>
        <v>42948</v>
      </c>
      <c r="O525" s="9" t="str">
        <f t="shared" si="76"/>
        <v>70.000,00</v>
      </c>
      <c r="P525" s="8" t="str">
        <f t="shared" si="77"/>
        <v>Setenta Mil Bolívares con 00/100</v>
      </c>
      <c r="Q525" s="403" t="str">
        <f t="shared" si="74"/>
        <v/>
      </c>
    </row>
    <row r="526" spans="1:17" ht="15.75" thickBot="1" x14ac:dyDescent="0.3">
      <c r="A526" s="1">
        <f t="shared" si="75"/>
        <v>525</v>
      </c>
      <c r="C526" s="12" t="s">
        <v>17</v>
      </c>
      <c r="D526" s="2">
        <v>42977</v>
      </c>
      <c r="E526" s="3">
        <v>10000</v>
      </c>
      <c r="F526" t="s">
        <v>418</v>
      </c>
      <c r="G526" t="s">
        <v>419</v>
      </c>
      <c r="H526" t="s">
        <v>420</v>
      </c>
      <c r="I526" s="10" t="s">
        <v>513</v>
      </c>
      <c r="J526" s="167" t="s">
        <v>22</v>
      </c>
      <c r="L526" s="9" t="str">
        <f t="shared" si="71"/>
        <v>00525</v>
      </c>
      <c r="M526" s="71" t="str">
        <f t="shared" si="72"/>
        <v>30 de agosto de 2017</v>
      </c>
      <c r="N526" s="39">
        <f t="shared" si="73"/>
        <v>42948</v>
      </c>
      <c r="O526" s="9" t="str">
        <f t="shared" si="76"/>
        <v>10.000,00</v>
      </c>
      <c r="P526" s="8" t="str">
        <f t="shared" si="77"/>
        <v>Diez Mil Bolívares con 00/100</v>
      </c>
      <c r="Q526" s="403" t="str">
        <f t="shared" si="74"/>
        <v/>
      </c>
    </row>
    <row r="527" spans="1:17" ht="15.75" thickBot="1" x14ac:dyDescent="0.3">
      <c r="A527" s="1">
        <f t="shared" si="75"/>
        <v>526</v>
      </c>
      <c r="C527" s="12" t="s">
        <v>17</v>
      </c>
      <c r="D527" s="2">
        <v>42978</v>
      </c>
      <c r="E527" s="3">
        <v>72000</v>
      </c>
      <c r="F527" t="s">
        <v>259</v>
      </c>
      <c r="G527" s="27" t="s">
        <v>58</v>
      </c>
      <c r="H527" t="s">
        <v>261</v>
      </c>
      <c r="I527" s="10" t="s">
        <v>530</v>
      </c>
      <c r="J527" s="167" t="s">
        <v>22</v>
      </c>
      <c r="L527" s="9" t="str">
        <f t="shared" si="71"/>
        <v>00526</v>
      </c>
      <c r="M527" s="71" t="str">
        <f t="shared" si="72"/>
        <v>31 de agosto de 2017</v>
      </c>
      <c r="N527" s="39">
        <f t="shared" si="73"/>
        <v>42948</v>
      </c>
      <c r="O527" s="9" t="str">
        <f t="shared" si="76"/>
        <v>72.000,00</v>
      </c>
      <c r="P527" s="8" t="str">
        <f t="shared" si="77"/>
        <v>Setenta y Dos Mil Bolívares con 00/100</v>
      </c>
      <c r="Q527" s="403" t="str">
        <f t="shared" si="74"/>
        <v/>
      </c>
    </row>
    <row r="528" spans="1:17" x14ac:dyDescent="0.25">
      <c r="A528" s="1">
        <f t="shared" si="75"/>
        <v>527</v>
      </c>
      <c r="C528" s="12" t="s">
        <v>17</v>
      </c>
      <c r="D528" s="2">
        <v>42978</v>
      </c>
      <c r="E528" s="3">
        <v>35000</v>
      </c>
      <c r="F528" t="s">
        <v>80</v>
      </c>
      <c r="G528" t="s">
        <v>81</v>
      </c>
      <c r="H528" t="s">
        <v>82</v>
      </c>
      <c r="I528" s="10" t="s">
        <v>528</v>
      </c>
      <c r="J528" s="167" t="s">
        <v>22</v>
      </c>
      <c r="L528" s="9" t="str">
        <f t="shared" si="71"/>
        <v>00527</v>
      </c>
      <c r="M528" s="71" t="str">
        <f t="shared" si="72"/>
        <v>31 de agosto de 2017</v>
      </c>
      <c r="N528" s="39">
        <f t="shared" si="73"/>
        <v>42948</v>
      </c>
      <c r="O528" s="9" t="str">
        <f t="shared" si="76"/>
        <v>35.000,00</v>
      </c>
      <c r="P528" s="8" t="str">
        <f t="shared" si="77"/>
        <v>Treinta y Cinco Mil Bolívares con 00/100</v>
      </c>
      <c r="Q528" s="403" t="str">
        <f t="shared" si="74"/>
        <v/>
      </c>
    </row>
    <row r="529" spans="1:17" x14ac:dyDescent="0.25">
      <c r="A529" s="1">
        <f t="shared" si="75"/>
        <v>528</v>
      </c>
      <c r="C529" s="12" t="s">
        <v>17</v>
      </c>
      <c r="D529" s="2">
        <v>42947</v>
      </c>
      <c r="E529" s="3">
        <v>35000</v>
      </c>
      <c r="F529" t="s">
        <v>126</v>
      </c>
      <c r="G529" t="s">
        <v>127</v>
      </c>
      <c r="H529" t="s">
        <v>128</v>
      </c>
      <c r="I529" s="10" t="s">
        <v>514</v>
      </c>
      <c r="J529" s="167" t="s">
        <v>22</v>
      </c>
      <c r="L529" s="9" t="str">
        <f t="shared" si="71"/>
        <v>00528</v>
      </c>
      <c r="M529" s="71" t="str">
        <f t="shared" si="72"/>
        <v>31 de julio de 2017</v>
      </c>
      <c r="N529" s="39">
        <f t="shared" si="73"/>
        <v>42917</v>
      </c>
      <c r="O529" s="9" t="str">
        <f t="shared" si="76"/>
        <v>35.000,00</v>
      </c>
      <c r="P529" s="8" t="str">
        <f t="shared" si="77"/>
        <v>Treinta y Cinco Mil Bolívares con 00/100</v>
      </c>
      <c r="Q529" s="403" t="str">
        <f t="shared" si="74"/>
        <v/>
      </c>
    </row>
    <row r="530" spans="1:17" x14ac:dyDescent="0.25">
      <c r="A530" s="1">
        <f t="shared" si="75"/>
        <v>529</v>
      </c>
      <c r="C530" s="12" t="s">
        <v>17</v>
      </c>
      <c r="D530" s="2">
        <v>42979</v>
      </c>
      <c r="E530" s="3">
        <v>100000</v>
      </c>
      <c r="F530" t="s">
        <v>252</v>
      </c>
      <c r="G530" t="s">
        <v>253</v>
      </c>
      <c r="H530" t="s">
        <v>254</v>
      </c>
      <c r="I530" s="10" t="s">
        <v>531</v>
      </c>
      <c r="J530" s="167" t="s">
        <v>22</v>
      </c>
      <c r="L530" s="9" t="str">
        <f t="shared" si="71"/>
        <v>00529</v>
      </c>
      <c r="M530" s="71" t="str">
        <f t="shared" si="72"/>
        <v>01 de septiembre de 2017</v>
      </c>
      <c r="N530" s="39">
        <f t="shared" si="73"/>
        <v>42979</v>
      </c>
      <c r="O530" s="9" t="str">
        <f t="shared" si="76"/>
        <v>100.000,00</v>
      </c>
      <c r="P530" s="8" t="str">
        <f t="shared" si="77"/>
        <v>Cien Mil Bolívares con 00/100</v>
      </c>
      <c r="Q530" s="403" t="str">
        <f t="shared" si="74"/>
        <v/>
      </c>
    </row>
    <row r="531" spans="1:17" ht="15.75" thickBot="1" x14ac:dyDescent="0.3">
      <c r="A531" s="1">
        <f t="shared" si="75"/>
        <v>530</v>
      </c>
      <c r="C531" s="12" t="s">
        <v>17</v>
      </c>
      <c r="D531" s="2">
        <v>42979</v>
      </c>
      <c r="E531" s="3">
        <v>35000</v>
      </c>
      <c r="F531" t="s">
        <v>24</v>
      </c>
      <c r="G531" t="s">
        <v>25</v>
      </c>
      <c r="H531" t="s">
        <v>26</v>
      </c>
      <c r="I531" s="10" t="s">
        <v>528</v>
      </c>
      <c r="J531" s="167" t="s">
        <v>22</v>
      </c>
      <c r="L531" s="9" t="str">
        <f t="shared" si="71"/>
        <v>00530</v>
      </c>
      <c r="M531" s="71" t="str">
        <f t="shared" si="72"/>
        <v>01 de septiembre de 2017</v>
      </c>
      <c r="N531" s="39">
        <f t="shared" si="73"/>
        <v>42979</v>
      </c>
      <c r="O531" s="9" t="str">
        <f t="shared" si="76"/>
        <v>35.000,00</v>
      </c>
      <c r="P531" s="8" t="str">
        <f t="shared" si="77"/>
        <v>Treinta y Cinco Mil Bolívares con 00/100</v>
      </c>
      <c r="Q531" s="403" t="str">
        <f t="shared" si="74"/>
        <v/>
      </c>
    </row>
    <row r="532" spans="1:17" ht="15.75" thickBot="1" x14ac:dyDescent="0.3">
      <c r="A532" s="1">
        <f t="shared" si="75"/>
        <v>531</v>
      </c>
      <c r="C532" s="12" t="s">
        <v>17</v>
      </c>
      <c r="D532" s="2">
        <v>42979</v>
      </c>
      <c r="E532" s="3">
        <v>35000</v>
      </c>
      <c r="F532" t="s">
        <v>319</v>
      </c>
      <c r="G532" s="27" t="s">
        <v>58</v>
      </c>
      <c r="H532" t="s">
        <v>320</v>
      </c>
      <c r="I532" s="10" t="s">
        <v>500</v>
      </c>
      <c r="J532" s="167" t="s">
        <v>22</v>
      </c>
      <c r="L532" s="9" t="str">
        <f t="shared" si="71"/>
        <v>00531</v>
      </c>
      <c r="M532" s="71" t="str">
        <f t="shared" si="72"/>
        <v>01 de septiembre de 2017</v>
      </c>
      <c r="N532" s="39">
        <f t="shared" si="73"/>
        <v>42979</v>
      </c>
      <c r="O532" s="9" t="str">
        <f t="shared" si="76"/>
        <v>35.000,00</v>
      </c>
      <c r="P532" s="8" t="str">
        <f t="shared" si="77"/>
        <v>Treinta y Cinco Mil Bolívares con 00/100</v>
      </c>
      <c r="Q532" s="403" t="str">
        <f t="shared" si="74"/>
        <v/>
      </c>
    </row>
    <row r="533" spans="1:17" ht="15.75" thickBot="1" x14ac:dyDescent="0.3">
      <c r="A533" s="1">
        <f t="shared" si="75"/>
        <v>532</v>
      </c>
      <c r="C533" s="12" t="s">
        <v>17</v>
      </c>
      <c r="D533" s="2">
        <v>42979</v>
      </c>
      <c r="E533" s="3">
        <v>35000</v>
      </c>
      <c r="F533" t="s">
        <v>319</v>
      </c>
      <c r="G533" s="27" t="s">
        <v>58</v>
      </c>
      <c r="H533" t="s">
        <v>320</v>
      </c>
      <c r="I533" s="10" t="s">
        <v>514</v>
      </c>
      <c r="J533" s="167" t="s">
        <v>22</v>
      </c>
      <c r="L533" s="9" t="str">
        <f t="shared" si="71"/>
        <v>00532</v>
      </c>
      <c r="M533" s="71" t="str">
        <f t="shared" si="72"/>
        <v>01 de septiembre de 2017</v>
      </c>
      <c r="N533" s="39">
        <f t="shared" si="73"/>
        <v>42979</v>
      </c>
      <c r="O533" s="9" t="str">
        <f t="shared" si="76"/>
        <v>35.000,00</v>
      </c>
      <c r="P533" s="8" t="str">
        <f t="shared" si="77"/>
        <v>Treinta y Cinco Mil Bolívares con 00/100</v>
      </c>
      <c r="Q533" s="403" t="str">
        <f t="shared" si="74"/>
        <v/>
      </c>
    </row>
    <row r="534" spans="1:17" x14ac:dyDescent="0.25">
      <c r="A534" s="1">
        <f t="shared" si="75"/>
        <v>533</v>
      </c>
      <c r="C534" s="12" t="s">
        <v>17</v>
      </c>
      <c r="D534" s="2">
        <v>42979</v>
      </c>
      <c r="E534" s="3">
        <v>35000</v>
      </c>
      <c r="F534" t="s">
        <v>62</v>
      </c>
      <c r="G534" t="s">
        <v>63</v>
      </c>
      <c r="H534" t="s">
        <v>64</v>
      </c>
      <c r="I534" s="10" t="s">
        <v>514</v>
      </c>
      <c r="J534" s="167" t="s">
        <v>22</v>
      </c>
      <c r="L534" s="9" t="str">
        <f t="shared" si="71"/>
        <v>00533</v>
      </c>
      <c r="M534" s="71" t="str">
        <f t="shared" si="72"/>
        <v>01 de septiembre de 2017</v>
      </c>
      <c r="N534" s="39">
        <f t="shared" si="73"/>
        <v>42979</v>
      </c>
      <c r="O534" s="9" t="str">
        <f t="shared" si="76"/>
        <v>35.000,00</v>
      </c>
      <c r="P534" s="8" t="str">
        <f t="shared" si="77"/>
        <v>Treinta y Cinco Mil Bolívares con 00/100</v>
      </c>
      <c r="Q534" s="403" t="str">
        <f t="shared" si="74"/>
        <v/>
      </c>
    </row>
    <row r="535" spans="1:17" x14ac:dyDescent="0.25">
      <c r="A535" s="390">
        <f t="shared" si="75"/>
        <v>534</v>
      </c>
      <c r="C535" s="12" t="s">
        <v>17</v>
      </c>
      <c r="D535" s="2">
        <v>42979</v>
      </c>
      <c r="E535" s="3">
        <v>35000</v>
      </c>
      <c r="F535" t="s">
        <v>439</v>
      </c>
      <c r="G535" t="s">
        <v>440</v>
      </c>
      <c r="H535" t="s">
        <v>441</v>
      </c>
      <c r="I535" s="10" t="s">
        <v>532</v>
      </c>
      <c r="J535" s="167" t="s">
        <v>22</v>
      </c>
      <c r="L535" s="9" t="str">
        <f t="shared" si="71"/>
        <v>00534</v>
      </c>
      <c r="M535" s="71" t="str">
        <f t="shared" si="72"/>
        <v>01 de septiembre de 2017</v>
      </c>
      <c r="N535" s="39">
        <f t="shared" si="73"/>
        <v>42979</v>
      </c>
      <c r="O535" s="9" t="str">
        <f t="shared" si="76"/>
        <v>35.000,00</v>
      </c>
      <c r="P535" s="8" t="str">
        <f t="shared" si="77"/>
        <v>Treinta y Cinco Mil Bolívares con 00/100</v>
      </c>
      <c r="Q535" s="403" t="str">
        <f t="shared" si="74"/>
        <v/>
      </c>
    </row>
    <row r="536" spans="1:17" x14ac:dyDescent="0.25">
      <c r="A536" s="1">
        <f t="shared" si="75"/>
        <v>535</v>
      </c>
      <c r="C536" s="12" t="s">
        <v>17</v>
      </c>
      <c r="D536" s="2">
        <v>42979</v>
      </c>
      <c r="E536" s="3">
        <v>35000</v>
      </c>
      <c r="F536" t="s">
        <v>18</v>
      </c>
      <c r="G536" t="s">
        <v>19</v>
      </c>
      <c r="H536" t="s">
        <v>20</v>
      </c>
      <c r="I536" s="10" t="s">
        <v>533</v>
      </c>
      <c r="J536" s="167" t="s">
        <v>22</v>
      </c>
      <c r="L536" s="9" t="str">
        <f t="shared" si="71"/>
        <v>00535</v>
      </c>
      <c r="M536" s="71" t="str">
        <f t="shared" si="72"/>
        <v>01 de septiembre de 2017</v>
      </c>
      <c r="N536" s="39">
        <f t="shared" si="73"/>
        <v>42979</v>
      </c>
      <c r="O536" s="9" t="str">
        <f t="shared" si="76"/>
        <v>35.000,00</v>
      </c>
      <c r="P536" s="8" t="str">
        <f t="shared" si="77"/>
        <v>Treinta y Cinco Mil Bolívares con 00/100</v>
      </c>
      <c r="Q536" s="403" t="str">
        <f t="shared" si="74"/>
        <v/>
      </c>
    </row>
    <row r="537" spans="1:17" ht="15.75" thickBot="1" x14ac:dyDescent="0.3">
      <c r="A537" s="1">
        <f t="shared" si="75"/>
        <v>536</v>
      </c>
      <c r="C537" s="12" t="s">
        <v>17</v>
      </c>
      <c r="D537" s="2">
        <v>42979</v>
      </c>
      <c r="E537" s="3">
        <v>20000</v>
      </c>
      <c r="F537" t="s">
        <v>84</v>
      </c>
      <c r="G537" t="s">
        <v>85</v>
      </c>
      <c r="H537" t="s">
        <v>86</v>
      </c>
      <c r="I537" s="10" t="s">
        <v>534</v>
      </c>
      <c r="J537" s="167" t="s">
        <v>22</v>
      </c>
      <c r="L537" s="9" t="str">
        <f t="shared" si="71"/>
        <v>00536</v>
      </c>
      <c r="M537" s="71" t="str">
        <f t="shared" si="72"/>
        <v>01 de septiembre de 2017</v>
      </c>
      <c r="N537" s="39">
        <f t="shared" si="73"/>
        <v>42979</v>
      </c>
      <c r="O537" s="9" t="str">
        <f t="shared" si="76"/>
        <v>20.000,00</v>
      </c>
      <c r="P537" s="8" t="str">
        <f t="shared" si="77"/>
        <v>Veinte Mil Bolívares con 00/100</v>
      </c>
      <c r="Q537" s="403" t="str">
        <f t="shared" si="74"/>
        <v/>
      </c>
    </row>
    <row r="538" spans="1:17" ht="15.75" thickBot="1" x14ac:dyDescent="0.3">
      <c r="A538" s="1">
        <f t="shared" si="75"/>
        <v>537</v>
      </c>
      <c r="C538" s="12" t="s">
        <v>17</v>
      </c>
      <c r="D538" s="2">
        <v>42979</v>
      </c>
      <c r="E538" s="3">
        <v>35000</v>
      </c>
      <c r="F538" t="s">
        <v>239</v>
      </c>
      <c r="G538" s="225" t="s">
        <v>240</v>
      </c>
      <c r="H538" t="s">
        <v>241</v>
      </c>
      <c r="I538" s="10" t="s">
        <v>500</v>
      </c>
      <c r="J538" s="167" t="s">
        <v>22</v>
      </c>
      <c r="L538" s="9" t="str">
        <f t="shared" si="71"/>
        <v>00537</v>
      </c>
      <c r="M538" s="71" t="str">
        <f t="shared" si="72"/>
        <v>01 de septiembre de 2017</v>
      </c>
      <c r="N538" s="39">
        <f t="shared" si="73"/>
        <v>42979</v>
      </c>
      <c r="O538" s="9" t="str">
        <f t="shared" si="76"/>
        <v>35.000,00</v>
      </c>
      <c r="P538" s="8" t="str">
        <f t="shared" si="77"/>
        <v>Treinta y Cinco Mil Bolívares con 00/100</v>
      </c>
      <c r="Q538" s="403" t="str">
        <f t="shared" si="74"/>
        <v/>
      </c>
    </row>
    <row r="539" spans="1:17" x14ac:dyDescent="0.25">
      <c r="A539" s="1">
        <f t="shared" si="75"/>
        <v>538</v>
      </c>
      <c r="C539" s="12" t="s">
        <v>17</v>
      </c>
      <c r="D539" s="2">
        <v>42981</v>
      </c>
      <c r="E539" s="3">
        <v>70000</v>
      </c>
      <c r="F539" t="s">
        <v>66</v>
      </c>
      <c r="G539" t="s">
        <v>67</v>
      </c>
      <c r="H539" t="s">
        <v>68</v>
      </c>
      <c r="I539" s="10" t="s">
        <v>535</v>
      </c>
      <c r="J539" s="167" t="s">
        <v>22</v>
      </c>
      <c r="L539" s="9" t="str">
        <f t="shared" si="71"/>
        <v>00538</v>
      </c>
      <c r="M539" s="71" t="str">
        <f t="shared" si="72"/>
        <v>03 de septiembre de 2017</v>
      </c>
      <c r="N539" s="39">
        <f t="shared" si="73"/>
        <v>42979</v>
      </c>
      <c r="O539" s="9" t="str">
        <f t="shared" si="76"/>
        <v>70.000,00</v>
      </c>
      <c r="P539" s="8" t="str">
        <f t="shared" si="77"/>
        <v>Setenta Mil Bolívares con 00/100</v>
      </c>
      <c r="Q539" s="403" t="str">
        <f t="shared" si="74"/>
        <v/>
      </c>
    </row>
    <row r="540" spans="1:17" x14ac:dyDescent="0.25">
      <c r="A540" s="1">
        <f t="shared" si="75"/>
        <v>539</v>
      </c>
      <c r="C540" s="12" t="s">
        <v>17</v>
      </c>
      <c r="D540" s="2">
        <v>42982</v>
      </c>
      <c r="E540" s="3">
        <v>70000</v>
      </c>
      <c r="F540" t="s">
        <v>114</v>
      </c>
      <c r="G540" t="s">
        <v>115</v>
      </c>
      <c r="H540" t="s">
        <v>116</v>
      </c>
      <c r="I540" s="10" t="s">
        <v>529</v>
      </c>
      <c r="J540" s="167" t="s">
        <v>22</v>
      </c>
      <c r="L540" s="9" t="str">
        <f t="shared" si="71"/>
        <v>00539</v>
      </c>
      <c r="M540" s="71" t="str">
        <f t="shared" si="72"/>
        <v>04 de septiembre de 2017</v>
      </c>
      <c r="N540" s="39">
        <f t="shared" si="73"/>
        <v>42979</v>
      </c>
      <c r="O540" s="9" t="str">
        <f t="shared" si="76"/>
        <v>70.000,00</v>
      </c>
      <c r="P540" s="8" t="str">
        <f t="shared" si="77"/>
        <v>Setenta Mil Bolívares con 00/100</v>
      </c>
      <c r="Q540" s="403" t="str">
        <f t="shared" si="74"/>
        <v/>
      </c>
    </row>
    <row r="541" spans="1:17" x14ac:dyDescent="0.25">
      <c r="A541" s="1">
        <f t="shared" si="75"/>
        <v>540</v>
      </c>
      <c r="C541" s="12" t="s">
        <v>17</v>
      </c>
      <c r="D541" s="2">
        <v>42982</v>
      </c>
      <c r="E541" s="3">
        <v>35000</v>
      </c>
      <c r="F541" t="s">
        <v>211</v>
      </c>
      <c r="G541" t="s">
        <v>212</v>
      </c>
      <c r="H541" t="s">
        <v>213</v>
      </c>
      <c r="I541" s="10" t="s">
        <v>514</v>
      </c>
      <c r="J541" s="167" t="s">
        <v>22</v>
      </c>
      <c r="L541" s="9" t="str">
        <f t="shared" si="71"/>
        <v>00540</v>
      </c>
      <c r="M541" s="71" t="str">
        <f t="shared" si="72"/>
        <v>04 de septiembre de 2017</v>
      </c>
      <c r="N541" s="39">
        <f t="shared" si="73"/>
        <v>42979</v>
      </c>
      <c r="O541" s="9" t="str">
        <f t="shared" si="76"/>
        <v>35.000,00</v>
      </c>
      <c r="P541" s="8" t="str">
        <f t="shared" si="77"/>
        <v>Treinta y Cinco Mil Bolívares con 00/100</v>
      </c>
      <c r="Q541" s="403" t="str">
        <f t="shared" si="74"/>
        <v/>
      </c>
    </row>
    <row r="542" spans="1:17" x14ac:dyDescent="0.25">
      <c r="A542" s="1">
        <f t="shared" si="75"/>
        <v>541</v>
      </c>
      <c r="C542" s="12" t="s">
        <v>17</v>
      </c>
      <c r="D542" s="2">
        <v>42983</v>
      </c>
      <c r="E542" s="3">
        <v>35000</v>
      </c>
      <c r="F542" t="s">
        <v>408</v>
      </c>
      <c r="G542" t="s">
        <v>409</v>
      </c>
      <c r="H542" t="s">
        <v>410</v>
      </c>
      <c r="I542" s="10" t="s">
        <v>514</v>
      </c>
      <c r="J542" s="167" t="s">
        <v>22</v>
      </c>
      <c r="L542" s="9" t="str">
        <f t="shared" si="71"/>
        <v>00541</v>
      </c>
      <c r="M542" s="71" t="str">
        <f t="shared" si="72"/>
        <v>05 de septiembre de 2017</v>
      </c>
      <c r="N542" s="39">
        <f t="shared" si="73"/>
        <v>42979</v>
      </c>
      <c r="O542" s="9" t="str">
        <f t="shared" si="76"/>
        <v>35.000,00</v>
      </c>
      <c r="P542" s="8" t="str">
        <f t="shared" si="77"/>
        <v>Treinta y Cinco Mil Bolívares con 00/100</v>
      </c>
      <c r="Q542" s="403" t="str">
        <f t="shared" si="74"/>
        <v/>
      </c>
    </row>
    <row r="543" spans="1:17" x14ac:dyDescent="0.25">
      <c r="A543" s="1">
        <f t="shared" si="75"/>
        <v>542</v>
      </c>
      <c r="C543" s="12" t="s">
        <v>17</v>
      </c>
      <c r="D543" s="2">
        <v>42983</v>
      </c>
      <c r="E543" s="3">
        <v>35000</v>
      </c>
      <c r="F543" t="s">
        <v>70</v>
      </c>
      <c r="G543" t="s">
        <v>71</v>
      </c>
      <c r="H543" t="s">
        <v>72</v>
      </c>
      <c r="I543" s="10" t="s">
        <v>528</v>
      </c>
      <c r="J543" s="167" t="s">
        <v>22</v>
      </c>
      <c r="L543" s="9" t="str">
        <f t="shared" si="71"/>
        <v>00542</v>
      </c>
      <c r="M543" s="71" t="str">
        <f t="shared" si="72"/>
        <v>05 de septiembre de 2017</v>
      </c>
      <c r="N543" s="39">
        <f t="shared" si="73"/>
        <v>42979</v>
      </c>
      <c r="O543" s="9" t="str">
        <f t="shared" si="76"/>
        <v>35.000,00</v>
      </c>
      <c r="P543" s="8" t="str">
        <f t="shared" si="77"/>
        <v>Treinta y Cinco Mil Bolívares con 00/100</v>
      </c>
      <c r="Q543" s="403" t="str">
        <f t="shared" si="74"/>
        <v/>
      </c>
    </row>
    <row r="544" spans="1:17" x14ac:dyDescent="0.25">
      <c r="A544" s="1">
        <f t="shared" si="75"/>
        <v>543</v>
      </c>
      <c r="C544" s="12" t="s">
        <v>17</v>
      </c>
      <c r="D544" s="2">
        <v>42983</v>
      </c>
      <c r="E544" s="3">
        <f>3*35000</f>
        <v>105000</v>
      </c>
      <c r="F544" t="s">
        <v>219</v>
      </c>
      <c r="G544" t="s">
        <v>220</v>
      </c>
      <c r="H544" t="s">
        <v>221</v>
      </c>
      <c r="I544" s="10" t="s">
        <v>536</v>
      </c>
      <c r="J544" s="167" t="s">
        <v>22</v>
      </c>
      <c r="L544" s="9" t="str">
        <f t="shared" si="71"/>
        <v>00543</v>
      </c>
      <c r="M544" s="71" t="str">
        <f t="shared" si="72"/>
        <v>05 de septiembre de 2017</v>
      </c>
      <c r="N544" s="39">
        <f t="shared" si="73"/>
        <v>42979</v>
      </c>
      <c r="O544" s="9" t="str">
        <f t="shared" si="76"/>
        <v>105.000,00</v>
      </c>
      <c r="P544" s="8" t="str">
        <f t="shared" si="77"/>
        <v>Ciento Cinco Mil Bolívares con 00/100</v>
      </c>
      <c r="Q544" s="403" t="str">
        <f t="shared" si="74"/>
        <v/>
      </c>
    </row>
    <row r="545" spans="1:17" ht="15.75" thickBot="1" x14ac:dyDescent="0.3">
      <c r="A545" s="1">
        <f t="shared" si="75"/>
        <v>544</v>
      </c>
      <c r="C545" s="12" t="s">
        <v>17</v>
      </c>
      <c r="D545" s="2">
        <v>42984</v>
      </c>
      <c r="E545" s="3">
        <v>35000</v>
      </c>
      <c r="F545" t="s">
        <v>90</v>
      </c>
      <c r="G545" t="s">
        <v>91</v>
      </c>
      <c r="H545" t="s">
        <v>92</v>
      </c>
      <c r="I545" s="10" t="s">
        <v>528</v>
      </c>
      <c r="J545" s="167" t="s">
        <v>22</v>
      </c>
      <c r="L545" s="9" t="str">
        <f t="shared" si="71"/>
        <v>00544</v>
      </c>
      <c r="M545" s="71" t="str">
        <f t="shared" si="72"/>
        <v>06 de septiembre de 2017</v>
      </c>
      <c r="N545" s="39">
        <f t="shared" si="73"/>
        <v>42979</v>
      </c>
      <c r="O545" s="9" t="str">
        <f t="shared" si="76"/>
        <v>35.000,00</v>
      </c>
      <c r="P545" s="8" t="str">
        <f t="shared" si="77"/>
        <v>Treinta y Cinco Mil Bolívares con 00/100</v>
      </c>
      <c r="Q545" s="403" t="str">
        <f t="shared" si="74"/>
        <v/>
      </c>
    </row>
    <row r="546" spans="1:17" ht="15.75" thickBot="1" x14ac:dyDescent="0.3">
      <c r="A546" s="1">
        <f t="shared" si="75"/>
        <v>545</v>
      </c>
      <c r="C546" s="12" t="s">
        <v>17</v>
      </c>
      <c r="D546" s="2">
        <v>42984</v>
      </c>
      <c r="E546" s="3">
        <v>54000</v>
      </c>
      <c r="F546" s="36" t="s">
        <v>423</v>
      </c>
      <c r="G546" s="27" t="s">
        <v>58</v>
      </c>
      <c r="H546" t="s">
        <v>424</v>
      </c>
      <c r="I546" s="10" t="s">
        <v>528</v>
      </c>
      <c r="J546" s="167" t="s">
        <v>22</v>
      </c>
      <c r="L546" s="9" t="str">
        <f t="shared" si="71"/>
        <v>00545</v>
      </c>
      <c r="M546" s="71" t="str">
        <f t="shared" si="72"/>
        <v>06 de septiembre de 2017</v>
      </c>
      <c r="N546" s="39">
        <f t="shared" si="73"/>
        <v>42979</v>
      </c>
      <c r="O546" s="9" t="str">
        <f t="shared" si="76"/>
        <v>54.000,00</v>
      </c>
      <c r="P546" s="8" t="str">
        <f t="shared" si="77"/>
        <v>Cincuenta y Cuatro Mil Bolívares con 00/100</v>
      </c>
      <c r="Q546" s="403" t="str">
        <f t="shared" si="74"/>
        <v/>
      </c>
    </row>
    <row r="547" spans="1:17" x14ac:dyDescent="0.25">
      <c r="A547" s="1">
        <f t="shared" si="75"/>
        <v>546</v>
      </c>
      <c r="C547" s="12" t="s">
        <v>17</v>
      </c>
      <c r="D547" s="2">
        <v>42984</v>
      </c>
      <c r="E547" s="3">
        <v>15000</v>
      </c>
      <c r="F547" t="s">
        <v>48</v>
      </c>
      <c r="G547" t="s">
        <v>49</v>
      </c>
      <c r="H547" t="s">
        <v>50</v>
      </c>
      <c r="I547" s="10" t="s">
        <v>534</v>
      </c>
      <c r="J547" s="167" t="s">
        <v>22</v>
      </c>
      <c r="L547" s="9" t="str">
        <f t="shared" si="71"/>
        <v>00546</v>
      </c>
      <c r="M547" s="71" t="str">
        <f t="shared" si="72"/>
        <v>06 de septiembre de 2017</v>
      </c>
      <c r="N547" s="39">
        <f t="shared" si="73"/>
        <v>42979</v>
      </c>
      <c r="O547" s="9" t="str">
        <f t="shared" si="76"/>
        <v>15.000,00</v>
      </c>
      <c r="P547" s="8" t="str">
        <f t="shared" si="77"/>
        <v>Quince Mil Bolívares con 00/100</v>
      </c>
      <c r="Q547" s="403" t="str">
        <f t="shared" si="74"/>
        <v/>
      </c>
    </row>
    <row r="548" spans="1:17" x14ac:dyDescent="0.25">
      <c r="A548" s="1">
        <f t="shared" si="75"/>
        <v>547</v>
      </c>
      <c r="C548" s="12" t="s">
        <v>17</v>
      </c>
      <c r="D548" s="2">
        <v>42970</v>
      </c>
      <c r="E548" s="3">
        <v>35000</v>
      </c>
      <c r="F548" t="s">
        <v>185</v>
      </c>
      <c r="G548" t="s">
        <v>186</v>
      </c>
      <c r="H548" t="s">
        <v>187</v>
      </c>
      <c r="I548" s="10" t="s">
        <v>514</v>
      </c>
      <c r="J548" s="167" t="s">
        <v>22</v>
      </c>
      <c r="L548" s="9" t="str">
        <f t="shared" si="71"/>
        <v>00547</v>
      </c>
      <c r="M548" s="71" t="str">
        <f t="shared" si="72"/>
        <v>23 de agosto de 2017</v>
      </c>
      <c r="N548" s="39">
        <f t="shared" si="73"/>
        <v>42948</v>
      </c>
      <c r="O548" s="9" t="str">
        <f t="shared" si="76"/>
        <v>35.000,00</v>
      </c>
      <c r="P548" s="8" t="str">
        <f t="shared" si="77"/>
        <v>Treinta y Cinco Mil Bolívares con 00/100</v>
      </c>
      <c r="Q548" s="403" t="str">
        <f t="shared" si="74"/>
        <v/>
      </c>
    </row>
    <row r="549" spans="1:17" x14ac:dyDescent="0.25">
      <c r="A549" s="1">
        <f t="shared" si="75"/>
        <v>548</v>
      </c>
      <c r="C549" s="12" t="s">
        <v>17</v>
      </c>
      <c r="D549" s="2">
        <v>42971</v>
      </c>
      <c r="E549" s="3">
        <v>35000</v>
      </c>
      <c r="F549" t="s">
        <v>134</v>
      </c>
      <c r="G549" t="s">
        <v>135</v>
      </c>
      <c r="H549" t="s">
        <v>136</v>
      </c>
      <c r="I549" s="10" t="s">
        <v>514</v>
      </c>
      <c r="J549" s="167" t="s">
        <v>22</v>
      </c>
      <c r="L549" s="9" t="str">
        <f t="shared" si="71"/>
        <v>00548</v>
      </c>
      <c r="M549" s="71" t="str">
        <f t="shared" si="72"/>
        <v>24 de agosto de 2017</v>
      </c>
      <c r="N549" s="39">
        <f t="shared" si="73"/>
        <v>42948</v>
      </c>
      <c r="O549" s="9" t="str">
        <f t="shared" si="76"/>
        <v>35.000,00</v>
      </c>
      <c r="P549" s="8" t="str">
        <f t="shared" si="77"/>
        <v>Treinta y Cinco Mil Bolívares con 00/100</v>
      </c>
      <c r="Q549" s="403" t="str">
        <f t="shared" si="74"/>
        <v/>
      </c>
    </row>
    <row r="550" spans="1:17" x14ac:dyDescent="0.25">
      <c r="A550" s="1">
        <f t="shared" si="75"/>
        <v>549</v>
      </c>
      <c r="C550" s="12" t="s">
        <v>17</v>
      </c>
      <c r="D550" s="2">
        <v>42985</v>
      </c>
      <c r="E550" s="3">
        <v>35000</v>
      </c>
      <c r="F550" t="s">
        <v>206</v>
      </c>
      <c r="G550" t="s">
        <v>207</v>
      </c>
      <c r="H550" t="s">
        <v>208</v>
      </c>
      <c r="I550" s="10" t="s">
        <v>500</v>
      </c>
      <c r="J550" s="167" t="s">
        <v>22</v>
      </c>
      <c r="L550" s="9" t="str">
        <f t="shared" si="71"/>
        <v>00549</v>
      </c>
      <c r="M550" s="71" t="str">
        <f t="shared" si="72"/>
        <v>07 de septiembre de 2017</v>
      </c>
      <c r="N550" s="39">
        <f t="shared" si="73"/>
        <v>42979</v>
      </c>
      <c r="O550" s="9" t="str">
        <f t="shared" si="76"/>
        <v>35.000,00</v>
      </c>
      <c r="P550" s="8" t="str">
        <f t="shared" si="77"/>
        <v>Treinta y Cinco Mil Bolívares con 00/100</v>
      </c>
      <c r="Q550" s="403" t="str">
        <f t="shared" si="74"/>
        <v/>
      </c>
    </row>
    <row r="551" spans="1:17" x14ac:dyDescent="0.25">
      <c r="A551" s="1">
        <f t="shared" si="75"/>
        <v>550</v>
      </c>
      <c r="C551" s="12" t="s">
        <v>17</v>
      </c>
      <c r="D551" s="2">
        <v>42988</v>
      </c>
      <c r="E551" s="3">
        <v>15000</v>
      </c>
      <c r="F551" t="s">
        <v>167</v>
      </c>
      <c r="G551" t="s">
        <v>168</v>
      </c>
      <c r="H551" t="s">
        <v>169</v>
      </c>
      <c r="I551" s="10" t="s">
        <v>513</v>
      </c>
      <c r="J551" s="167" t="s">
        <v>22</v>
      </c>
      <c r="L551" s="9" t="str">
        <f t="shared" si="71"/>
        <v>00550</v>
      </c>
      <c r="M551" s="71" t="str">
        <f t="shared" si="72"/>
        <v>10 de septiembre de 2017</v>
      </c>
      <c r="N551" s="39">
        <f t="shared" si="73"/>
        <v>42979</v>
      </c>
      <c r="O551" s="9" t="str">
        <f t="shared" si="76"/>
        <v>15.000,00</v>
      </c>
      <c r="P551" s="8" t="str">
        <f t="shared" si="77"/>
        <v>Quince Mil Bolívares con 00/100</v>
      </c>
      <c r="Q551" s="403" t="str">
        <f t="shared" si="74"/>
        <v/>
      </c>
    </row>
    <row r="552" spans="1:17" x14ac:dyDescent="0.25">
      <c r="A552" s="1">
        <f t="shared" si="75"/>
        <v>551</v>
      </c>
      <c r="C552" s="12" t="s">
        <v>17</v>
      </c>
      <c r="D552" s="2">
        <v>42989</v>
      </c>
      <c r="E552" s="3">
        <v>60000</v>
      </c>
      <c r="F552" t="s">
        <v>324</v>
      </c>
      <c r="G552" t="s">
        <v>325</v>
      </c>
      <c r="H552" t="s">
        <v>326</v>
      </c>
      <c r="I552" s="10" t="s">
        <v>523</v>
      </c>
      <c r="J552" s="167" t="s">
        <v>22</v>
      </c>
      <c r="L552" s="9" t="str">
        <f t="shared" si="71"/>
        <v>00551</v>
      </c>
      <c r="M552" s="71" t="str">
        <f t="shared" si="72"/>
        <v>11 de septiembre de 2017</v>
      </c>
      <c r="N552" s="39">
        <f t="shared" si="73"/>
        <v>42979</v>
      </c>
      <c r="O552" s="9" t="str">
        <f t="shared" si="76"/>
        <v>60.000,00</v>
      </c>
      <c r="P552" s="8" t="str">
        <f t="shared" si="77"/>
        <v>Sesenta Mil Bolívares con 00/100</v>
      </c>
      <c r="Q552" s="403" t="str">
        <f t="shared" si="74"/>
        <v/>
      </c>
    </row>
    <row r="553" spans="1:17" x14ac:dyDescent="0.25">
      <c r="A553" s="1">
        <f t="shared" si="75"/>
        <v>552</v>
      </c>
      <c r="C553" s="12" t="s">
        <v>17</v>
      </c>
      <c r="D553" s="2">
        <v>42990</v>
      </c>
      <c r="E553" s="3">
        <v>35000</v>
      </c>
      <c r="F553" t="s">
        <v>324</v>
      </c>
      <c r="G553" t="s">
        <v>325</v>
      </c>
      <c r="H553" t="s">
        <v>326</v>
      </c>
      <c r="I553" s="10" t="s">
        <v>528</v>
      </c>
      <c r="J553" s="167" t="s">
        <v>22</v>
      </c>
      <c r="L553" s="9" t="str">
        <f t="shared" si="71"/>
        <v>00552</v>
      </c>
      <c r="M553" s="71" t="str">
        <f t="shared" si="72"/>
        <v>12 de septiembre de 2017</v>
      </c>
      <c r="N553" s="39">
        <f t="shared" si="73"/>
        <v>42979</v>
      </c>
      <c r="O553" s="9" t="str">
        <f>TEXT(E553,"#.##0,00")</f>
        <v>35.000,00</v>
      </c>
      <c r="P553" s="8" t="str">
        <f>CONVERTIRNUM(E553)</f>
        <v>Treinta y Cinco Mil Bolívares con 00/100</v>
      </c>
      <c r="Q553" s="403" t="str">
        <f t="shared" si="74"/>
        <v/>
      </c>
    </row>
    <row r="554" spans="1:17" x14ac:dyDescent="0.25">
      <c r="A554" s="1">
        <f t="shared" si="75"/>
        <v>553</v>
      </c>
      <c r="C554" s="12" t="s">
        <v>17</v>
      </c>
      <c r="D554" s="2">
        <v>42991</v>
      </c>
      <c r="E554" s="3">
        <v>9000</v>
      </c>
      <c r="F554" t="s">
        <v>114</v>
      </c>
      <c r="G554" t="s">
        <v>115</v>
      </c>
      <c r="H554" t="s">
        <v>116</v>
      </c>
      <c r="I554" s="10" t="s">
        <v>499</v>
      </c>
      <c r="J554" s="167" t="s">
        <v>22</v>
      </c>
      <c r="L554" s="9" t="str">
        <f t="shared" si="71"/>
        <v>00553</v>
      </c>
      <c r="M554" s="71" t="str">
        <f t="shared" si="72"/>
        <v>13 de septiembre de 2017</v>
      </c>
      <c r="N554" s="39">
        <f t="shared" si="73"/>
        <v>42979</v>
      </c>
      <c r="O554" s="9" t="str">
        <f>TEXT(E554,"#.##0,00")</f>
        <v>9.000,00</v>
      </c>
      <c r="P554" s="8" t="str">
        <f>CONVERTIRNUM(E554)</f>
        <v>Nueve Mil Bolívares con 00/100</v>
      </c>
      <c r="Q554" s="403" t="str">
        <f t="shared" si="74"/>
        <v/>
      </c>
    </row>
    <row r="555" spans="1:17" x14ac:dyDescent="0.25">
      <c r="A555" s="1">
        <f t="shared" si="75"/>
        <v>554</v>
      </c>
      <c r="C555" s="12" t="s">
        <v>17</v>
      </c>
      <c r="D555" s="2">
        <v>42991</v>
      </c>
      <c r="E555" s="3">
        <v>35000</v>
      </c>
      <c r="F555" t="s">
        <v>100</v>
      </c>
      <c r="G555" t="s">
        <v>95</v>
      </c>
      <c r="H555" t="s">
        <v>101</v>
      </c>
      <c r="I555" s="10" t="s">
        <v>528</v>
      </c>
      <c r="J555" s="167" t="s">
        <v>22</v>
      </c>
      <c r="L555" s="9" t="str">
        <f t="shared" si="71"/>
        <v>00554</v>
      </c>
      <c r="M555" s="71" t="str">
        <f t="shared" si="72"/>
        <v>13 de septiembre de 2017</v>
      </c>
      <c r="N555" s="39">
        <f t="shared" si="73"/>
        <v>42979</v>
      </c>
      <c r="O555" s="9" t="str">
        <f>TEXT(E555,"#.##0,00")</f>
        <v>35.000,00</v>
      </c>
      <c r="P555" s="8" t="str">
        <f>CONVERTIRNUM(E555)</f>
        <v>Treinta y Cinco Mil Bolívares con 00/100</v>
      </c>
      <c r="Q555" s="403" t="str">
        <f t="shared" si="74"/>
        <v/>
      </c>
    </row>
    <row r="556" spans="1:17" x14ac:dyDescent="0.25">
      <c r="A556" s="1">
        <f t="shared" si="75"/>
        <v>555</v>
      </c>
      <c r="C556" s="12" t="s">
        <v>17</v>
      </c>
      <c r="D556" s="2">
        <v>42991</v>
      </c>
      <c r="E556" s="3">
        <v>3000</v>
      </c>
      <c r="F556" t="s">
        <v>94</v>
      </c>
      <c r="G556" t="s">
        <v>95</v>
      </c>
      <c r="H556" t="s">
        <v>96</v>
      </c>
      <c r="I556" s="10" t="s">
        <v>534</v>
      </c>
      <c r="J556" s="167" t="s">
        <v>22</v>
      </c>
      <c r="L556" s="9" t="str">
        <f t="shared" si="71"/>
        <v>00555</v>
      </c>
      <c r="M556" s="71" t="str">
        <f t="shared" si="72"/>
        <v>13 de septiembre de 2017</v>
      </c>
      <c r="N556" s="39">
        <f t="shared" si="73"/>
        <v>42979</v>
      </c>
      <c r="O556" s="9" t="str">
        <f>TEXT(E556,"#.##0,00")</f>
        <v>3.000,00</v>
      </c>
      <c r="P556" s="8" t="str">
        <f>CONVERTIRNUM(E556)</f>
        <v>Tres Mil Bolívares con 00/100</v>
      </c>
      <c r="Q556" s="403" t="str">
        <f t="shared" si="74"/>
        <v/>
      </c>
    </row>
    <row r="557" spans="1:17" ht="15.75" thickBot="1" x14ac:dyDescent="0.3">
      <c r="A557" s="1">
        <f t="shared" si="75"/>
        <v>556</v>
      </c>
      <c r="C557" s="12" t="s">
        <v>17</v>
      </c>
      <c r="D557" s="2">
        <v>42991</v>
      </c>
      <c r="E557" s="3">
        <f>3*35000</f>
        <v>105000</v>
      </c>
      <c r="F557" t="s">
        <v>537</v>
      </c>
      <c r="G557" t="s">
        <v>538</v>
      </c>
      <c r="H557" t="s">
        <v>539</v>
      </c>
      <c r="I557" s="10" t="s">
        <v>536</v>
      </c>
      <c r="J557" s="167" t="s">
        <v>22</v>
      </c>
      <c r="L557" s="9" t="str">
        <f t="shared" si="71"/>
        <v>00556</v>
      </c>
      <c r="M557" s="71" t="str">
        <f t="shared" si="72"/>
        <v>13 de septiembre de 2017</v>
      </c>
      <c r="N557" s="39">
        <f t="shared" si="73"/>
        <v>42979</v>
      </c>
      <c r="O557" s="9" t="str">
        <f t="shared" ref="O557:O578" si="78">TEXT(E557,"#.##0,00")</f>
        <v>105.000,00</v>
      </c>
      <c r="P557" s="8" t="str">
        <f t="shared" ref="P557:P578" si="79">CONVERTIRNUM(E557)</f>
        <v>Ciento Cinco Mil Bolívares con 00/100</v>
      </c>
      <c r="Q557" s="403" t="str">
        <f t="shared" si="74"/>
        <v/>
      </c>
    </row>
    <row r="558" spans="1:17" ht="15.75" thickBot="1" x14ac:dyDescent="0.3">
      <c r="A558" s="1">
        <f t="shared" si="75"/>
        <v>557</v>
      </c>
      <c r="C558" s="12" t="s">
        <v>17</v>
      </c>
      <c r="D558" s="2">
        <v>42992</v>
      </c>
      <c r="E558" s="3">
        <v>14900</v>
      </c>
      <c r="F558" t="s">
        <v>398</v>
      </c>
      <c r="G558" s="74" t="s">
        <v>29</v>
      </c>
      <c r="H558" t="s">
        <v>399</v>
      </c>
      <c r="I558" s="10" t="s">
        <v>534</v>
      </c>
      <c r="J558" s="167" t="s">
        <v>22</v>
      </c>
      <c r="L558" s="9" t="str">
        <f t="shared" si="71"/>
        <v>00557</v>
      </c>
      <c r="M558" s="71" t="str">
        <f t="shared" si="72"/>
        <v>14 de septiembre de 2017</v>
      </c>
      <c r="N558" s="39">
        <f t="shared" si="73"/>
        <v>42979</v>
      </c>
      <c r="O558" s="9" t="str">
        <f t="shared" si="78"/>
        <v>14.900,00</v>
      </c>
      <c r="P558" s="8" t="str">
        <f t="shared" si="79"/>
        <v>Catorce Mil Novecientos Bolívares con 00/100</v>
      </c>
      <c r="Q558" s="403" t="str">
        <f t="shared" si="74"/>
        <v/>
      </c>
    </row>
    <row r="559" spans="1:17" x14ac:dyDescent="0.25">
      <c r="A559" s="1">
        <f t="shared" si="75"/>
        <v>558</v>
      </c>
      <c r="C559" s="12" t="s">
        <v>17</v>
      </c>
      <c r="D559" s="2">
        <v>42992</v>
      </c>
      <c r="E559" s="3">
        <v>20000</v>
      </c>
      <c r="F559" t="s">
        <v>28</v>
      </c>
      <c r="G559" t="s">
        <v>29</v>
      </c>
      <c r="H559" t="s">
        <v>30</v>
      </c>
      <c r="I559" s="10" t="s">
        <v>534</v>
      </c>
      <c r="J559" s="167" t="s">
        <v>22</v>
      </c>
      <c r="L559" s="9" t="str">
        <f t="shared" si="71"/>
        <v>00558</v>
      </c>
      <c r="M559" s="71" t="str">
        <f t="shared" si="72"/>
        <v>14 de septiembre de 2017</v>
      </c>
      <c r="N559" s="39">
        <f t="shared" si="73"/>
        <v>42979</v>
      </c>
      <c r="O559" s="9" t="str">
        <f t="shared" si="78"/>
        <v>20.000,00</v>
      </c>
      <c r="P559" s="8" t="str">
        <f t="shared" si="79"/>
        <v>Veinte Mil Bolívares con 00/100</v>
      </c>
      <c r="Q559" s="403" t="str">
        <f t="shared" si="74"/>
        <v/>
      </c>
    </row>
    <row r="560" spans="1:17" x14ac:dyDescent="0.25">
      <c r="A560" s="1">
        <f t="shared" si="75"/>
        <v>559</v>
      </c>
      <c r="C560" s="12" t="s">
        <v>17</v>
      </c>
      <c r="D560" s="2">
        <v>42993</v>
      </c>
      <c r="E560" s="3">
        <v>35000</v>
      </c>
      <c r="F560" t="s">
        <v>103</v>
      </c>
      <c r="G560" t="s">
        <v>104</v>
      </c>
      <c r="H560" t="s">
        <v>105</v>
      </c>
      <c r="I560" s="10" t="s">
        <v>528</v>
      </c>
      <c r="J560" s="167" t="s">
        <v>22</v>
      </c>
      <c r="L560" s="9" t="str">
        <f t="shared" si="71"/>
        <v>00559</v>
      </c>
      <c r="M560" s="71" t="str">
        <f t="shared" si="72"/>
        <v>15 de septiembre de 2017</v>
      </c>
      <c r="N560" s="39">
        <f t="shared" si="73"/>
        <v>42979</v>
      </c>
      <c r="O560" s="9" t="str">
        <f t="shared" si="78"/>
        <v>35.000,00</v>
      </c>
      <c r="P560" s="8" t="str">
        <f t="shared" si="79"/>
        <v>Treinta y Cinco Mil Bolívares con 00/100</v>
      </c>
      <c r="Q560" s="403" t="str">
        <f t="shared" si="74"/>
        <v/>
      </c>
    </row>
    <row r="561" spans="1:17" x14ac:dyDescent="0.25">
      <c r="A561" s="1">
        <f t="shared" si="75"/>
        <v>560</v>
      </c>
      <c r="C561" s="12" t="s">
        <v>17</v>
      </c>
      <c r="D561" s="2">
        <v>42993</v>
      </c>
      <c r="E561" s="3">
        <v>35000</v>
      </c>
      <c r="F561" t="s">
        <v>122</v>
      </c>
      <c r="G561" t="s">
        <v>123</v>
      </c>
      <c r="H561" t="s">
        <v>124</v>
      </c>
      <c r="I561" s="10" t="s">
        <v>528</v>
      </c>
      <c r="J561" s="167" t="s">
        <v>22</v>
      </c>
      <c r="L561" s="9" t="str">
        <f t="shared" si="71"/>
        <v>00560</v>
      </c>
      <c r="M561" s="71" t="str">
        <f t="shared" si="72"/>
        <v>15 de septiembre de 2017</v>
      </c>
      <c r="N561" s="39">
        <f t="shared" si="73"/>
        <v>42979</v>
      </c>
      <c r="O561" s="9" t="str">
        <f t="shared" si="78"/>
        <v>35.000,00</v>
      </c>
      <c r="P561" s="8" t="str">
        <f t="shared" si="79"/>
        <v>Treinta y Cinco Mil Bolívares con 00/100</v>
      </c>
      <c r="Q561" s="403" t="str">
        <f t="shared" si="74"/>
        <v/>
      </c>
    </row>
    <row r="562" spans="1:17" x14ac:dyDescent="0.25">
      <c r="A562" s="1">
        <f t="shared" si="75"/>
        <v>561</v>
      </c>
      <c r="C562" s="12" t="s">
        <v>17</v>
      </c>
      <c r="D562" s="2">
        <v>42993</v>
      </c>
      <c r="E562" s="3">
        <v>17000</v>
      </c>
      <c r="F562" t="s">
        <v>402</v>
      </c>
      <c r="G562" t="s">
        <v>403</v>
      </c>
      <c r="H562" t="s">
        <v>404</v>
      </c>
      <c r="I562" s="10" t="s">
        <v>534</v>
      </c>
      <c r="J562" s="167" t="s">
        <v>22</v>
      </c>
      <c r="L562" s="9" t="str">
        <f t="shared" si="71"/>
        <v>00561</v>
      </c>
      <c r="M562" s="71" t="str">
        <f t="shared" si="72"/>
        <v>15 de septiembre de 2017</v>
      </c>
      <c r="N562" s="39">
        <f t="shared" si="73"/>
        <v>42979</v>
      </c>
      <c r="O562" s="9" t="str">
        <f t="shared" si="78"/>
        <v>17.000,00</v>
      </c>
      <c r="P562" s="8" t="str">
        <f t="shared" si="79"/>
        <v>Diecisiete Mil Bolívares con 00/100</v>
      </c>
      <c r="Q562" s="403" t="str">
        <f t="shared" si="74"/>
        <v/>
      </c>
    </row>
    <row r="563" spans="1:17" x14ac:dyDescent="0.25">
      <c r="A563" s="1">
        <f t="shared" si="75"/>
        <v>562</v>
      </c>
      <c r="C563" s="12" t="s">
        <v>17</v>
      </c>
      <c r="D563" s="2">
        <v>42993</v>
      </c>
      <c r="E563" s="3">
        <v>35000</v>
      </c>
      <c r="F563" t="s">
        <v>152</v>
      </c>
      <c r="G563" t="s">
        <v>153</v>
      </c>
      <c r="H563" t="s">
        <v>154</v>
      </c>
      <c r="I563" s="10" t="s">
        <v>528</v>
      </c>
      <c r="J563" s="167" t="s">
        <v>22</v>
      </c>
      <c r="L563" s="9" t="str">
        <f t="shared" si="71"/>
        <v>00562</v>
      </c>
      <c r="M563" s="71" t="str">
        <f t="shared" si="72"/>
        <v>15 de septiembre de 2017</v>
      </c>
      <c r="N563" s="39">
        <f t="shared" si="73"/>
        <v>42979</v>
      </c>
      <c r="O563" s="9" t="str">
        <f t="shared" si="78"/>
        <v>35.000,00</v>
      </c>
      <c r="P563" s="8" t="str">
        <f t="shared" si="79"/>
        <v>Treinta y Cinco Mil Bolívares con 00/100</v>
      </c>
      <c r="Q563" s="403" t="str">
        <f t="shared" si="74"/>
        <v/>
      </c>
    </row>
    <row r="564" spans="1:17" x14ac:dyDescent="0.25">
      <c r="A564" s="1">
        <f t="shared" si="75"/>
        <v>563</v>
      </c>
      <c r="C564" s="12" t="s">
        <v>17</v>
      </c>
      <c r="D564" s="2">
        <v>42994</v>
      </c>
      <c r="E564" s="3">
        <v>20000</v>
      </c>
      <c r="F564" t="s">
        <v>181</v>
      </c>
      <c r="G564" t="s">
        <v>182</v>
      </c>
      <c r="H564" t="s">
        <v>183</v>
      </c>
      <c r="I564" s="10" t="s">
        <v>534</v>
      </c>
      <c r="J564" s="167" t="s">
        <v>22</v>
      </c>
      <c r="L564" s="9" t="str">
        <f t="shared" si="71"/>
        <v>00563</v>
      </c>
      <c r="M564" s="71" t="str">
        <f t="shared" si="72"/>
        <v>16 de septiembre de 2017</v>
      </c>
      <c r="N564" s="39">
        <f t="shared" si="73"/>
        <v>42979</v>
      </c>
      <c r="O564" s="9" t="str">
        <f t="shared" si="78"/>
        <v>20.000,00</v>
      </c>
      <c r="P564" s="8" t="str">
        <f t="shared" si="79"/>
        <v>Veinte Mil Bolívares con 00/100</v>
      </c>
      <c r="Q564" s="403" t="str">
        <f t="shared" si="74"/>
        <v/>
      </c>
    </row>
    <row r="565" spans="1:17" x14ac:dyDescent="0.25">
      <c r="A565" s="1">
        <f t="shared" si="75"/>
        <v>564</v>
      </c>
      <c r="C565" s="12" t="s">
        <v>17</v>
      </c>
      <c r="D565" s="2">
        <v>42996</v>
      </c>
      <c r="E565" s="3">
        <v>35000</v>
      </c>
      <c r="F565" t="s">
        <v>201</v>
      </c>
      <c r="G565" t="s">
        <v>202</v>
      </c>
      <c r="H565" t="s">
        <v>203</v>
      </c>
      <c r="I565" s="10" t="s">
        <v>514</v>
      </c>
      <c r="J565" s="167" t="s">
        <v>22</v>
      </c>
      <c r="L565" s="9" t="str">
        <f t="shared" si="71"/>
        <v>00564</v>
      </c>
      <c r="M565" s="71" t="str">
        <f t="shared" si="72"/>
        <v>18 de septiembre de 2017</v>
      </c>
      <c r="N565" s="39">
        <f t="shared" si="73"/>
        <v>42979</v>
      </c>
      <c r="O565" s="9" t="str">
        <f t="shared" si="78"/>
        <v>35.000,00</v>
      </c>
      <c r="P565" s="8" t="str">
        <f t="shared" si="79"/>
        <v>Treinta y Cinco Mil Bolívares con 00/100</v>
      </c>
      <c r="Q565" s="403" t="str">
        <f t="shared" si="74"/>
        <v/>
      </c>
    </row>
    <row r="566" spans="1:17" x14ac:dyDescent="0.25">
      <c r="A566" s="1">
        <f t="shared" si="75"/>
        <v>565</v>
      </c>
      <c r="C566" s="12" t="s">
        <v>17</v>
      </c>
      <c r="D566" s="2">
        <v>42996</v>
      </c>
      <c r="E566" s="3">
        <v>35000</v>
      </c>
      <c r="F566" t="s">
        <v>107</v>
      </c>
      <c r="G566" t="s">
        <v>108</v>
      </c>
      <c r="H566" t="s">
        <v>109</v>
      </c>
      <c r="I566" s="10" t="s">
        <v>528</v>
      </c>
      <c r="J566" s="167" t="s">
        <v>22</v>
      </c>
      <c r="L566" s="9" t="str">
        <f t="shared" si="71"/>
        <v>00565</v>
      </c>
      <c r="M566" s="71" t="str">
        <f t="shared" si="72"/>
        <v>18 de septiembre de 2017</v>
      </c>
      <c r="N566" s="39">
        <f t="shared" si="73"/>
        <v>42979</v>
      </c>
      <c r="O566" s="9" t="str">
        <f t="shared" si="78"/>
        <v>35.000,00</v>
      </c>
      <c r="P566" s="8" t="str">
        <f t="shared" si="79"/>
        <v>Treinta y Cinco Mil Bolívares con 00/100</v>
      </c>
      <c r="Q566" s="403" t="str">
        <f t="shared" si="74"/>
        <v/>
      </c>
    </row>
    <row r="567" spans="1:17" x14ac:dyDescent="0.25">
      <c r="A567" s="1">
        <f t="shared" si="75"/>
        <v>566</v>
      </c>
      <c r="C567" s="12" t="s">
        <v>17</v>
      </c>
      <c r="D567" s="2">
        <v>42996</v>
      </c>
      <c r="E567" s="3">
        <v>20000</v>
      </c>
      <c r="F567" t="s">
        <v>284</v>
      </c>
      <c r="G567" t="s">
        <v>276</v>
      </c>
      <c r="H567" t="s">
        <v>285</v>
      </c>
      <c r="I567" s="10" t="s">
        <v>523</v>
      </c>
      <c r="J567" s="167" t="s">
        <v>22</v>
      </c>
      <c r="L567" s="9" t="str">
        <f t="shared" si="71"/>
        <v>00566</v>
      </c>
      <c r="M567" s="71" t="str">
        <f t="shared" si="72"/>
        <v>18 de septiembre de 2017</v>
      </c>
      <c r="N567" s="39">
        <f t="shared" si="73"/>
        <v>42979</v>
      </c>
      <c r="O567" s="9" t="str">
        <f t="shared" si="78"/>
        <v>20.000,00</v>
      </c>
      <c r="P567" s="8" t="str">
        <f t="shared" si="79"/>
        <v>Veinte Mil Bolívares con 00/100</v>
      </c>
      <c r="Q567" s="403" t="str">
        <f t="shared" si="74"/>
        <v/>
      </c>
    </row>
    <row r="568" spans="1:17" x14ac:dyDescent="0.25">
      <c r="A568" s="1">
        <f t="shared" si="75"/>
        <v>567</v>
      </c>
      <c r="C568" s="12" t="s">
        <v>17</v>
      </c>
      <c r="D568" s="2">
        <v>42996</v>
      </c>
      <c r="E568" s="3">
        <v>35000</v>
      </c>
      <c r="F568" t="s">
        <v>36</v>
      </c>
      <c r="G568" t="s">
        <v>37</v>
      </c>
      <c r="H568" t="s">
        <v>38</v>
      </c>
      <c r="I568" s="10" t="s">
        <v>540</v>
      </c>
      <c r="J568" s="167" t="s">
        <v>22</v>
      </c>
      <c r="L568" s="9" t="str">
        <f t="shared" si="71"/>
        <v>00567</v>
      </c>
      <c r="M568" s="71" t="str">
        <f t="shared" si="72"/>
        <v>18 de septiembre de 2017</v>
      </c>
      <c r="N568" s="39">
        <f t="shared" si="73"/>
        <v>42979</v>
      </c>
      <c r="O568" s="9" t="str">
        <f t="shared" si="78"/>
        <v>35.000,00</v>
      </c>
      <c r="P568" s="8" t="str">
        <f t="shared" si="79"/>
        <v>Treinta y Cinco Mil Bolívares con 00/100</v>
      </c>
      <c r="Q568" s="403" t="str">
        <f t="shared" si="74"/>
        <v/>
      </c>
    </row>
    <row r="569" spans="1:17" x14ac:dyDescent="0.25">
      <c r="A569" s="1">
        <f t="shared" si="75"/>
        <v>568</v>
      </c>
      <c r="C569" s="12" t="s">
        <v>17</v>
      </c>
      <c r="D569" s="2">
        <v>42997</v>
      </c>
      <c r="E569" s="3">
        <v>35000</v>
      </c>
      <c r="F569" t="s">
        <v>40</v>
      </c>
      <c r="G569" t="s">
        <v>41</v>
      </c>
      <c r="H569" t="s">
        <v>42</v>
      </c>
      <c r="I569" s="10" t="s">
        <v>528</v>
      </c>
      <c r="J569" s="167" t="s">
        <v>22</v>
      </c>
      <c r="L569" s="9" t="str">
        <f t="shared" si="71"/>
        <v>00568</v>
      </c>
      <c r="M569" s="71" t="str">
        <f t="shared" si="72"/>
        <v>19 de septiembre de 2017</v>
      </c>
      <c r="N569" s="39">
        <f t="shared" si="73"/>
        <v>42979</v>
      </c>
      <c r="O569" s="9" t="str">
        <f t="shared" si="78"/>
        <v>35.000,00</v>
      </c>
      <c r="P569" s="8" t="str">
        <f t="shared" si="79"/>
        <v>Treinta y Cinco Mil Bolívares con 00/100</v>
      </c>
      <c r="Q569" s="403" t="str">
        <f t="shared" si="74"/>
        <v/>
      </c>
    </row>
    <row r="570" spans="1:17" x14ac:dyDescent="0.25">
      <c r="A570" s="1">
        <f t="shared" si="75"/>
        <v>569</v>
      </c>
      <c r="C570" s="12" t="s">
        <v>17</v>
      </c>
      <c r="D570" s="2">
        <v>42997</v>
      </c>
      <c r="E570" s="3">
        <v>35000</v>
      </c>
      <c r="F570" t="s">
        <v>211</v>
      </c>
      <c r="G570" t="s">
        <v>212</v>
      </c>
      <c r="H570" t="s">
        <v>213</v>
      </c>
      <c r="I570" s="10" t="s">
        <v>528</v>
      </c>
      <c r="J570" s="167" t="s">
        <v>22</v>
      </c>
      <c r="L570" s="9" t="str">
        <f t="shared" si="71"/>
        <v>00569</v>
      </c>
      <c r="M570" s="71" t="str">
        <f t="shared" si="72"/>
        <v>19 de septiembre de 2017</v>
      </c>
      <c r="N570" s="39">
        <f t="shared" si="73"/>
        <v>42979</v>
      </c>
      <c r="O570" s="9" t="str">
        <f t="shared" si="78"/>
        <v>35.000,00</v>
      </c>
      <c r="P570" s="8" t="str">
        <f t="shared" si="79"/>
        <v>Treinta y Cinco Mil Bolívares con 00/100</v>
      </c>
      <c r="Q570" s="403" t="str">
        <f t="shared" si="74"/>
        <v/>
      </c>
    </row>
    <row r="571" spans="1:17" x14ac:dyDescent="0.25">
      <c r="A571" s="1">
        <f t="shared" si="75"/>
        <v>570</v>
      </c>
      <c r="C571" s="12" t="s">
        <v>17</v>
      </c>
      <c r="D571" s="2">
        <v>42997</v>
      </c>
      <c r="E571" s="3">
        <f>2*35000</f>
        <v>70000</v>
      </c>
      <c r="F571" t="s">
        <v>287</v>
      </c>
      <c r="G571" t="s">
        <v>288</v>
      </c>
      <c r="H571" t="s">
        <v>289</v>
      </c>
      <c r="I571" s="10" t="s">
        <v>508</v>
      </c>
      <c r="J571" s="167" t="s">
        <v>22</v>
      </c>
      <c r="L571" s="9" t="str">
        <f t="shared" si="71"/>
        <v>00570</v>
      </c>
      <c r="M571" s="71" t="str">
        <f t="shared" si="72"/>
        <v>19 de septiembre de 2017</v>
      </c>
      <c r="N571" s="39">
        <f t="shared" si="73"/>
        <v>42979</v>
      </c>
      <c r="O571" s="9" t="str">
        <f t="shared" si="78"/>
        <v>70.000,00</v>
      </c>
      <c r="P571" s="8" t="str">
        <f t="shared" si="79"/>
        <v>Setenta Mil Bolívares con 00/100</v>
      </c>
      <c r="Q571" s="403" t="str">
        <f t="shared" si="74"/>
        <v/>
      </c>
    </row>
    <row r="572" spans="1:17" x14ac:dyDescent="0.25">
      <c r="A572" s="1">
        <f t="shared" si="75"/>
        <v>571</v>
      </c>
      <c r="C572" s="12" t="s">
        <v>17</v>
      </c>
      <c r="D572" s="2">
        <v>42998</v>
      </c>
      <c r="E572" s="3">
        <v>35000</v>
      </c>
      <c r="F572" t="s">
        <v>134</v>
      </c>
      <c r="G572" t="s">
        <v>135</v>
      </c>
      <c r="H572" t="s">
        <v>136</v>
      </c>
      <c r="I572" s="10" t="s">
        <v>528</v>
      </c>
      <c r="J572" s="167" t="s">
        <v>22</v>
      </c>
      <c r="L572" s="9" t="str">
        <f t="shared" si="71"/>
        <v>00571</v>
      </c>
      <c r="M572" s="71" t="str">
        <f t="shared" si="72"/>
        <v>20 de septiembre de 2017</v>
      </c>
      <c r="N572" s="39">
        <f t="shared" si="73"/>
        <v>42979</v>
      </c>
      <c r="O572" s="9" t="str">
        <f t="shared" si="78"/>
        <v>35.000,00</v>
      </c>
      <c r="P572" s="8" t="str">
        <f t="shared" si="79"/>
        <v>Treinta y Cinco Mil Bolívares con 00/100</v>
      </c>
      <c r="Q572" s="403" t="str">
        <f t="shared" si="74"/>
        <v/>
      </c>
    </row>
    <row r="573" spans="1:17" x14ac:dyDescent="0.25">
      <c r="A573" s="1">
        <f t="shared" si="75"/>
        <v>572</v>
      </c>
      <c r="C573" s="12" t="s">
        <v>17</v>
      </c>
      <c r="D573" s="2">
        <v>42998</v>
      </c>
      <c r="E573" s="3">
        <v>35000</v>
      </c>
      <c r="F573" t="s">
        <v>444</v>
      </c>
      <c r="G573" t="s">
        <v>445</v>
      </c>
      <c r="H573" t="s">
        <v>75</v>
      </c>
      <c r="I573" s="10" t="s">
        <v>528</v>
      </c>
      <c r="J573" s="167" t="s">
        <v>22</v>
      </c>
      <c r="L573" s="9" t="str">
        <f t="shared" si="71"/>
        <v>00572</v>
      </c>
      <c r="M573" s="71" t="str">
        <f t="shared" si="72"/>
        <v>20 de septiembre de 2017</v>
      </c>
      <c r="N573" s="39">
        <f t="shared" si="73"/>
        <v>42979</v>
      </c>
      <c r="O573" s="9" t="str">
        <f t="shared" si="78"/>
        <v>35.000,00</v>
      </c>
      <c r="P573" s="8" t="str">
        <f t="shared" si="79"/>
        <v>Treinta y Cinco Mil Bolívares con 00/100</v>
      </c>
      <c r="Q573" s="403" t="str">
        <f t="shared" si="74"/>
        <v/>
      </c>
    </row>
    <row r="574" spans="1:17" x14ac:dyDescent="0.25">
      <c r="A574" s="1">
        <f t="shared" si="75"/>
        <v>573</v>
      </c>
      <c r="C574" s="12" t="s">
        <v>17</v>
      </c>
      <c r="D574" s="2">
        <v>42998</v>
      </c>
      <c r="E574" s="3">
        <v>35000</v>
      </c>
      <c r="F574" t="s">
        <v>230</v>
      </c>
      <c r="G574" t="s">
        <v>231</v>
      </c>
      <c r="H574" t="s">
        <v>232</v>
      </c>
      <c r="I574" s="10" t="s">
        <v>514</v>
      </c>
      <c r="J574" s="167" t="s">
        <v>22</v>
      </c>
      <c r="L574" s="9" t="str">
        <f t="shared" si="71"/>
        <v>00573</v>
      </c>
      <c r="M574" s="71" t="str">
        <f t="shared" si="72"/>
        <v>20 de septiembre de 2017</v>
      </c>
      <c r="N574" s="39">
        <f t="shared" si="73"/>
        <v>42979</v>
      </c>
      <c r="O574" s="9" t="str">
        <f t="shared" si="78"/>
        <v>35.000,00</v>
      </c>
      <c r="P574" s="8" t="str">
        <f t="shared" si="79"/>
        <v>Treinta y Cinco Mil Bolívares con 00/100</v>
      </c>
      <c r="Q574" s="403" t="str">
        <f t="shared" si="74"/>
        <v/>
      </c>
    </row>
    <row r="575" spans="1:17" ht="15.75" thickBot="1" x14ac:dyDescent="0.3">
      <c r="A575" s="1">
        <f t="shared" si="75"/>
        <v>574</v>
      </c>
      <c r="C575" s="12" t="s">
        <v>17</v>
      </c>
      <c r="D575" s="2">
        <v>42999</v>
      </c>
      <c r="E575" s="3">
        <v>35000</v>
      </c>
      <c r="F575" t="s">
        <v>18</v>
      </c>
      <c r="G575" t="s">
        <v>19</v>
      </c>
      <c r="H575" t="s">
        <v>20</v>
      </c>
      <c r="I575" s="10" t="s">
        <v>541</v>
      </c>
      <c r="J575" s="167" t="s">
        <v>227</v>
      </c>
      <c r="L575" s="9" t="str">
        <f t="shared" si="71"/>
        <v>00574</v>
      </c>
      <c r="M575" s="71" t="str">
        <f t="shared" si="72"/>
        <v>21 de septiembre de 2017</v>
      </c>
      <c r="N575" s="39">
        <f t="shared" si="73"/>
        <v>42979</v>
      </c>
      <c r="O575" s="9" t="str">
        <f t="shared" si="78"/>
        <v>35.000,00</v>
      </c>
      <c r="P575" s="8" t="str">
        <f t="shared" si="79"/>
        <v>Treinta y Cinco Mil Bolívares con 00/100</v>
      </c>
      <c r="Q575" s="403" t="str">
        <f t="shared" si="74"/>
        <v/>
      </c>
    </row>
    <row r="576" spans="1:17" ht="15.75" thickBot="1" x14ac:dyDescent="0.3">
      <c r="A576" s="1">
        <f t="shared" si="75"/>
        <v>575</v>
      </c>
      <c r="C576" s="12" t="s">
        <v>17</v>
      </c>
      <c r="D576" s="2">
        <v>42999</v>
      </c>
      <c r="E576" s="3">
        <v>10000</v>
      </c>
      <c r="F576" t="s">
        <v>303</v>
      </c>
      <c r="G576" s="27" t="s">
        <v>58</v>
      </c>
      <c r="H576" t="s">
        <v>304</v>
      </c>
      <c r="I576" s="10" t="s">
        <v>513</v>
      </c>
      <c r="J576" s="167" t="s">
        <v>22</v>
      </c>
      <c r="L576" s="9" t="str">
        <f t="shared" si="71"/>
        <v>00575</v>
      </c>
      <c r="M576" s="71" t="str">
        <f t="shared" si="72"/>
        <v>21 de septiembre de 2017</v>
      </c>
      <c r="N576" s="39">
        <f t="shared" si="73"/>
        <v>42979</v>
      </c>
      <c r="O576" s="9" t="str">
        <f t="shared" si="78"/>
        <v>10.000,00</v>
      </c>
      <c r="P576" s="8" t="str">
        <f t="shared" si="79"/>
        <v>Diez Mil Bolívares con 00/100</v>
      </c>
      <c r="Q576" s="403" t="str">
        <f t="shared" si="74"/>
        <v/>
      </c>
    </row>
    <row r="577" spans="1:17" x14ac:dyDescent="0.25">
      <c r="A577" s="1">
        <f t="shared" si="75"/>
        <v>576</v>
      </c>
      <c r="C577" s="12" t="s">
        <v>17</v>
      </c>
      <c r="D577" s="2">
        <v>42999</v>
      </c>
      <c r="E577" s="3">
        <v>35000</v>
      </c>
      <c r="F577" t="s">
        <v>197</v>
      </c>
      <c r="G577" t="s">
        <v>198</v>
      </c>
      <c r="H577" t="s">
        <v>199</v>
      </c>
      <c r="I577" s="10" t="s">
        <v>542</v>
      </c>
      <c r="J577" s="167" t="s">
        <v>22</v>
      </c>
      <c r="L577" s="9" t="str">
        <f t="shared" si="71"/>
        <v>00576</v>
      </c>
      <c r="M577" s="71" t="str">
        <f t="shared" si="72"/>
        <v>21 de septiembre de 2017</v>
      </c>
      <c r="N577" s="39">
        <f t="shared" si="73"/>
        <v>42979</v>
      </c>
      <c r="O577" s="9" t="str">
        <f t="shared" si="78"/>
        <v>35.000,00</v>
      </c>
      <c r="P577" s="8" t="str">
        <f t="shared" si="79"/>
        <v>Treinta y Cinco Mil Bolívares con 00/100</v>
      </c>
      <c r="Q577" s="403" t="str">
        <f t="shared" si="74"/>
        <v/>
      </c>
    </row>
    <row r="578" spans="1:17" x14ac:dyDescent="0.25">
      <c r="A578" s="1">
        <f t="shared" si="75"/>
        <v>577</v>
      </c>
      <c r="C578" s="12" t="s">
        <v>17</v>
      </c>
      <c r="D578" s="2">
        <v>42999</v>
      </c>
      <c r="E578" s="3">
        <v>25000</v>
      </c>
      <c r="F578" t="s">
        <v>342</v>
      </c>
      <c r="G578" t="s">
        <v>343</v>
      </c>
      <c r="H578" t="s">
        <v>344</v>
      </c>
      <c r="I578" s="10" t="s">
        <v>479</v>
      </c>
      <c r="J578" s="167" t="s">
        <v>22</v>
      </c>
      <c r="L578" s="9" t="str">
        <f t="shared" ref="L578:L641" si="80">IF(ISBLANK(A578),"",TEXT(A578,"00000"))</f>
        <v>00577</v>
      </c>
      <c r="M578" s="71" t="str">
        <f t="shared" ref="M578:M641" si="81">IF(ISBLANK(D578),"",TEXT(D578,"dd")&amp;" de "&amp;TEXT(D578,"mmmm")&amp;" de "&amp;TEXT(YEAR(D578),"0"))</f>
        <v>21 de septiembre de 2017</v>
      </c>
      <c r="N578" s="39">
        <f t="shared" ref="N578:N641" si="82">DATE(YEAR(D578),MONTH(D578),1)</f>
        <v>42979</v>
      </c>
      <c r="O578" s="9" t="str">
        <f t="shared" si="78"/>
        <v>25.000,00</v>
      </c>
      <c r="P578" s="8" t="str">
        <f t="shared" si="79"/>
        <v>Veinticinco Mil Bolívares con 00/100</v>
      </c>
      <c r="Q578" s="403" t="str">
        <f t="shared" si="74"/>
        <v/>
      </c>
    </row>
    <row r="579" spans="1:17" ht="15.75" thickBot="1" x14ac:dyDescent="0.3">
      <c r="A579" s="1">
        <f t="shared" si="75"/>
        <v>578</v>
      </c>
      <c r="C579" s="12" t="s">
        <v>17</v>
      </c>
      <c r="D579" s="2">
        <v>42999</v>
      </c>
      <c r="E579" s="3">
        <v>30000</v>
      </c>
      <c r="F579" t="s">
        <v>342</v>
      </c>
      <c r="G579" t="s">
        <v>343</v>
      </c>
      <c r="H579" t="s">
        <v>344</v>
      </c>
      <c r="I579" s="10" t="s">
        <v>513</v>
      </c>
      <c r="J579" s="167" t="s">
        <v>22</v>
      </c>
      <c r="L579" s="9" t="str">
        <f t="shared" si="80"/>
        <v>00578</v>
      </c>
      <c r="M579" s="71" t="str">
        <f t="shared" si="81"/>
        <v>21 de septiembre de 2017</v>
      </c>
      <c r="N579" s="39">
        <f t="shared" si="82"/>
        <v>42979</v>
      </c>
      <c r="O579" s="9" t="str">
        <f t="shared" ref="O579:O590" si="83">TEXT(E579,"#.##0,00")</f>
        <v>30.000,00</v>
      </c>
      <c r="P579" s="8" t="str">
        <f t="shared" ref="P579:P590" si="84">CONVERTIRNUM(E579)</f>
        <v>Treinta Mil Bolívares con 00/100</v>
      </c>
      <c r="Q579" s="403" t="str">
        <f t="shared" ref="Q579:Q642" si="85">IF(C579="û","Anulado","")</f>
        <v/>
      </c>
    </row>
    <row r="580" spans="1:17" ht="15.75" thickBot="1" x14ac:dyDescent="0.3">
      <c r="A580" s="1">
        <f t="shared" ref="A580:A643" si="86">A579+1</f>
        <v>579</v>
      </c>
      <c r="C580" s="12" t="s">
        <v>17</v>
      </c>
      <c r="D580" s="2">
        <v>43000</v>
      </c>
      <c r="E580" s="3">
        <v>35000</v>
      </c>
      <c r="F580" t="s">
        <v>319</v>
      </c>
      <c r="G580" s="27" t="s">
        <v>58</v>
      </c>
      <c r="H580" t="s">
        <v>320</v>
      </c>
      <c r="I580" s="10" t="s">
        <v>528</v>
      </c>
      <c r="J580" s="167" t="s">
        <v>22</v>
      </c>
      <c r="L580" s="9" t="str">
        <f t="shared" si="80"/>
        <v>00579</v>
      </c>
      <c r="M580" s="71" t="str">
        <f t="shared" si="81"/>
        <v>22 de septiembre de 2017</v>
      </c>
      <c r="N580" s="39">
        <f t="shared" si="82"/>
        <v>42979</v>
      </c>
      <c r="O580" s="9" t="str">
        <f t="shared" si="83"/>
        <v>35.000,00</v>
      </c>
      <c r="P580" s="8" t="str">
        <f t="shared" si="84"/>
        <v>Treinta y Cinco Mil Bolívares con 00/100</v>
      </c>
      <c r="Q580" s="403" t="str">
        <f t="shared" si="85"/>
        <v/>
      </c>
    </row>
    <row r="581" spans="1:17" ht="15.75" thickBot="1" x14ac:dyDescent="0.3">
      <c r="A581" s="1">
        <f t="shared" si="86"/>
        <v>580</v>
      </c>
      <c r="C581" s="12" t="s">
        <v>17</v>
      </c>
      <c r="D581" s="2">
        <v>43001</v>
      </c>
      <c r="E581" s="3">
        <f>7*3000</f>
        <v>21000</v>
      </c>
      <c r="F581" t="s">
        <v>434</v>
      </c>
      <c r="G581" t="s">
        <v>435</v>
      </c>
      <c r="H581" t="s">
        <v>436</v>
      </c>
      <c r="I581" s="10" t="s">
        <v>543</v>
      </c>
      <c r="J581" s="167" t="s">
        <v>22</v>
      </c>
      <c r="L581" s="9" t="str">
        <f t="shared" si="80"/>
        <v>00580</v>
      </c>
      <c r="M581" s="71" t="str">
        <f t="shared" si="81"/>
        <v>23 de septiembre de 2017</v>
      </c>
      <c r="N581" s="39">
        <f t="shared" si="82"/>
        <v>42979</v>
      </c>
      <c r="O581" s="9" t="str">
        <f t="shared" si="83"/>
        <v>21.000,00</v>
      </c>
      <c r="P581" s="8" t="str">
        <f t="shared" si="84"/>
        <v>Veintiun Mil Bolívares con 00/100</v>
      </c>
      <c r="Q581" s="403" t="str">
        <f t="shared" si="85"/>
        <v/>
      </c>
    </row>
    <row r="582" spans="1:17" ht="15.75" thickBot="1" x14ac:dyDescent="0.3">
      <c r="A582" s="1">
        <f t="shared" si="86"/>
        <v>581</v>
      </c>
      <c r="C582" s="12" t="s">
        <v>17</v>
      </c>
      <c r="D582" s="2">
        <v>43003</v>
      </c>
      <c r="E582" s="3">
        <v>40000</v>
      </c>
      <c r="F582" s="31" t="s">
        <v>57</v>
      </c>
      <c r="G582" s="27" t="s">
        <v>58</v>
      </c>
      <c r="H582" s="32" t="s">
        <v>59</v>
      </c>
      <c r="I582" s="10" t="s">
        <v>528</v>
      </c>
      <c r="J582" s="167" t="s">
        <v>22</v>
      </c>
      <c r="K582" s="33"/>
      <c r="L582" s="9" t="str">
        <f t="shared" si="80"/>
        <v>00581</v>
      </c>
      <c r="M582" s="71" t="str">
        <f t="shared" si="81"/>
        <v>25 de septiembre de 2017</v>
      </c>
      <c r="N582" s="39">
        <f t="shared" si="82"/>
        <v>42979</v>
      </c>
      <c r="O582" s="9" t="str">
        <f t="shared" si="83"/>
        <v>40.000,00</v>
      </c>
      <c r="P582" s="8" t="str">
        <f t="shared" si="84"/>
        <v>Cuarenta Mil Bolívares con 00/100</v>
      </c>
      <c r="Q582" s="403" t="str">
        <f t="shared" si="85"/>
        <v/>
      </c>
    </row>
    <row r="583" spans="1:17" ht="15.75" thickBot="1" x14ac:dyDescent="0.3">
      <c r="A583" s="1">
        <f t="shared" si="86"/>
        <v>582</v>
      </c>
      <c r="C583" s="12" t="s">
        <v>17</v>
      </c>
      <c r="D583" s="2">
        <v>43003</v>
      </c>
      <c r="E583" s="3">
        <v>35000</v>
      </c>
      <c r="F583" t="s">
        <v>177</v>
      </c>
      <c r="G583" s="27" t="s">
        <v>58</v>
      </c>
      <c r="H583" t="s">
        <v>179</v>
      </c>
      <c r="I583" s="10" t="s">
        <v>514</v>
      </c>
      <c r="J583" s="167" t="s">
        <v>22</v>
      </c>
      <c r="L583" s="9" t="str">
        <f t="shared" si="80"/>
        <v>00582</v>
      </c>
      <c r="M583" s="71" t="str">
        <f t="shared" si="81"/>
        <v>25 de septiembre de 2017</v>
      </c>
      <c r="N583" s="39">
        <f t="shared" si="82"/>
        <v>42979</v>
      </c>
      <c r="O583" s="9" t="str">
        <f t="shared" si="83"/>
        <v>35.000,00</v>
      </c>
      <c r="P583" s="8" t="str">
        <f t="shared" si="84"/>
        <v>Treinta y Cinco Mil Bolívares con 00/100</v>
      </c>
      <c r="Q583" s="403" t="str">
        <f t="shared" si="85"/>
        <v/>
      </c>
    </row>
    <row r="584" spans="1:17" x14ac:dyDescent="0.25">
      <c r="A584" s="1">
        <f t="shared" si="86"/>
        <v>583</v>
      </c>
      <c r="C584" s="12" t="s">
        <v>17</v>
      </c>
      <c r="D584" s="2">
        <v>43003</v>
      </c>
      <c r="E584" s="3">
        <v>35000</v>
      </c>
      <c r="F584" t="s">
        <v>363</v>
      </c>
      <c r="G584" t="s">
        <v>364</v>
      </c>
      <c r="H584" t="s">
        <v>365</v>
      </c>
      <c r="I584" s="10" t="s">
        <v>514</v>
      </c>
      <c r="J584" s="167" t="s">
        <v>22</v>
      </c>
      <c r="L584" s="9" t="str">
        <f t="shared" si="80"/>
        <v>00583</v>
      </c>
      <c r="M584" s="71" t="str">
        <f t="shared" si="81"/>
        <v>25 de septiembre de 2017</v>
      </c>
      <c r="N584" s="39">
        <f t="shared" si="82"/>
        <v>42979</v>
      </c>
      <c r="O584" s="9" t="str">
        <f t="shared" si="83"/>
        <v>35.000,00</v>
      </c>
      <c r="P584" s="8" t="str">
        <f t="shared" si="84"/>
        <v>Treinta y Cinco Mil Bolívares con 00/100</v>
      </c>
      <c r="Q584" s="403" t="str">
        <f t="shared" si="85"/>
        <v/>
      </c>
    </row>
    <row r="585" spans="1:17" x14ac:dyDescent="0.25">
      <c r="A585" s="1">
        <f t="shared" si="86"/>
        <v>584</v>
      </c>
      <c r="C585" s="12" t="s">
        <v>17</v>
      </c>
      <c r="D585" s="2">
        <v>43004</v>
      </c>
      <c r="E585" s="3">
        <v>35000</v>
      </c>
      <c r="F585" t="s">
        <v>280</v>
      </c>
      <c r="G585" t="s">
        <v>281</v>
      </c>
      <c r="H585" t="s">
        <v>282</v>
      </c>
      <c r="I585" s="10" t="s">
        <v>528</v>
      </c>
      <c r="J585" s="167" t="s">
        <v>22</v>
      </c>
      <c r="L585" s="9" t="str">
        <f t="shared" si="80"/>
        <v>00584</v>
      </c>
      <c r="M585" s="71" t="str">
        <f t="shared" si="81"/>
        <v>26 de septiembre de 2017</v>
      </c>
      <c r="N585" s="39">
        <f t="shared" si="82"/>
        <v>42979</v>
      </c>
      <c r="O585" s="9" t="str">
        <f t="shared" si="83"/>
        <v>35.000,00</v>
      </c>
      <c r="P585" s="8" t="str">
        <f t="shared" si="84"/>
        <v>Treinta y Cinco Mil Bolívares con 00/100</v>
      </c>
      <c r="Q585" s="403" t="str">
        <f t="shared" si="85"/>
        <v/>
      </c>
    </row>
    <row r="586" spans="1:17" x14ac:dyDescent="0.25">
      <c r="A586" s="1">
        <f t="shared" si="86"/>
        <v>585</v>
      </c>
      <c r="C586" s="12" t="s">
        <v>17</v>
      </c>
      <c r="D586" s="2">
        <v>43007</v>
      </c>
      <c r="E586" s="3">
        <v>35000</v>
      </c>
      <c r="F586" t="s">
        <v>62</v>
      </c>
      <c r="G586" t="s">
        <v>63</v>
      </c>
      <c r="H586" t="s">
        <v>64</v>
      </c>
      <c r="I586" s="10" t="s">
        <v>528</v>
      </c>
      <c r="J586" s="167" t="s">
        <v>22</v>
      </c>
      <c r="L586" s="9" t="str">
        <f t="shared" si="80"/>
        <v>00585</v>
      </c>
      <c r="M586" s="71" t="str">
        <f t="shared" si="81"/>
        <v>29 de septiembre de 2017</v>
      </c>
      <c r="N586" s="39">
        <f t="shared" si="82"/>
        <v>42979</v>
      </c>
      <c r="O586" s="9" t="str">
        <f t="shared" si="83"/>
        <v>35.000,00</v>
      </c>
      <c r="P586" s="8" t="str">
        <f t="shared" si="84"/>
        <v>Treinta y Cinco Mil Bolívares con 00/100</v>
      </c>
      <c r="Q586" s="403" t="str">
        <f t="shared" si="85"/>
        <v/>
      </c>
    </row>
    <row r="587" spans="1:17" x14ac:dyDescent="0.25">
      <c r="A587" s="1">
        <f t="shared" si="86"/>
        <v>586</v>
      </c>
      <c r="C587" s="12" t="s">
        <v>17</v>
      </c>
      <c r="D587" s="2">
        <v>43010</v>
      </c>
      <c r="E587" s="3">
        <v>35000</v>
      </c>
      <c r="F587" t="s">
        <v>408</v>
      </c>
      <c r="G587" t="s">
        <v>409</v>
      </c>
      <c r="H587" t="s">
        <v>410</v>
      </c>
      <c r="I587" s="10" t="s">
        <v>528</v>
      </c>
      <c r="J587" s="167" t="s">
        <v>22</v>
      </c>
      <c r="L587" s="9" t="str">
        <f t="shared" si="80"/>
        <v>00586</v>
      </c>
      <c r="M587" s="71" t="str">
        <f t="shared" si="81"/>
        <v>02 de octubre de 2017</v>
      </c>
      <c r="N587" s="39">
        <f t="shared" si="82"/>
        <v>43009</v>
      </c>
      <c r="O587" s="9" t="str">
        <f t="shared" si="83"/>
        <v>35.000,00</v>
      </c>
      <c r="P587" s="8" t="str">
        <f t="shared" si="84"/>
        <v>Treinta y Cinco Mil Bolívares con 00/100</v>
      </c>
      <c r="Q587" s="403" t="str">
        <f t="shared" si="85"/>
        <v/>
      </c>
    </row>
    <row r="588" spans="1:17" x14ac:dyDescent="0.25">
      <c r="A588" s="1">
        <f t="shared" si="86"/>
        <v>587</v>
      </c>
      <c r="C588" s="12" t="s">
        <v>17</v>
      </c>
      <c r="D588" s="2">
        <v>43010</v>
      </c>
      <c r="E588" s="3">
        <v>35000</v>
      </c>
      <c r="F588" t="s">
        <v>148</v>
      </c>
      <c r="G588" t="s">
        <v>149</v>
      </c>
      <c r="H588" t="s">
        <v>150</v>
      </c>
      <c r="I588" s="10" t="s">
        <v>544</v>
      </c>
      <c r="J588" s="167" t="s">
        <v>22</v>
      </c>
      <c r="L588" s="9" t="str">
        <f t="shared" si="80"/>
        <v>00587</v>
      </c>
      <c r="M588" s="71" t="str">
        <f t="shared" si="81"/>
        <v>02 de octubre de 2017</v>
      </c>
      <c r="N588" s="39">
        <f t="shared" si="82"/>
        <v>43009</v>
      </c>
      <c r="O588" s="9" t="str">
        <f t="shared" si="83"/>
        <v>35.000,00</v>
      </c>
      <c r="P588" s="8" t="str">
        <f t="shared" si="84"/>
        <v>Treinta y Cinco Mil Bolívares con 00/100</v>
      </c>
      <c r="Q588" s="403" t="str">
        <f t="shared" si="85"/>
        <v/>
      </c>
    </row>
    <row r="589" spans="1:17" x14ac:dyDescent="0.25">
      <c r="A589" s="1">
        <f t="shared" si="86"/>
        <v>588</v>
      </c>
      <c r="C589" s="12" t="s">
        <v>17</v>
      </c>
      <c r="D589" s="2">
        <v>43011</v>
      </c>
      <c r="E589" s="3">
        <v>35000</v>
      </c>
      <c r="F589" t="s">
        <v>44</v>
      </c>
      <c r="G589" t="s">
        <v>45</v>
      </c>
      <c r="H589" t="s">
        <v>46</v>
      </c>
      <c r="I589" s="10" t="s">
        <v>545</v>
      </c>
      <c r="J589" s="167" t="s">
        <v>22</v>
      </c>
      <c r="L589" s="9" t="str">
        <f t="shared" si="80"/>
        <v>00588</v>
      </c>
      <c r="M589" s="71" t="str">
        <f t="shared" si="81"/>
        <v>03 de octubre de 2017</v>
      </c>
      <c r="N589" s="39">
        <f t="shared" si="82"/>
        <v>43009</v>
      </c>
      <c r="O589" s="9" t="str">
        <f t="shared" si="83"/>
        <v>35.000,00</v>
      </c>
      <c r="P589" s="8" t="str">
        <f t="shared" si="84"/>
        <v>Treinta y Cinco Mil Bolívares con 00/100</v>
      </c>
      <c r="Q589" s="403" t="str">
        <f t="shared" si="85"/>
        <v/>
      </c>
    </row>
    <row r="590" spans="1:17" x14ac:dyDescent="0.25">
      <c r="A590" s="1">
        <f t="shared" si="86"/>
        <v>589</v>
      </c>
      <c r="C590" s="12" t="s">
        <v>17</v>
      </c>
      <c r="D590" s="2">
        <v>43011</v>
      </c>
      <c r="E590" s="3">
        <v>22000</v>
      </c>
      <c r="F590" t="s">
        <v>337</v>
      </c>
      <c r="G590" t="s">
        <v>338</v>
      </c>
      <c r="H590" t="s">
        <v>339</v>
      </c>
      <c r="I590" s="10" t="s">
        <v>499</v>
      </c>
      <c r="J590" s="167" t="s">
        <v>22</v>
      </c>
      <c r="L590" s="9" t="str">
        <f t="shared" si="80"/>
        <v>00589</v>
      </c>
      <c r="M590" s="71" t="str">
        <f t="shared" si="81"/>
        <v>03 de octubre de 2017</v>
      </c>
      <c r="N590" s="39">
        <f t="shared" si="82"/>
        <v>43009</v>
      </c>
      <c r="O590" s="9" t="str">
        <f t="shared" si="83"/>
        <v>22.000,00</v>
      </c>
      <c r="P590" s="8" t="str">
        <f t="shared" si="84"/>
        <v>Veintidos Mil Bolívares con 00/100</v>
      </c>
      <c r="Q590" s="403" t="str">
        <f t="shared" si="85"/>
        <v/>
      </c>
    </row>
    <row r="591" spans="1:17" x14ac:dyDescent="0.25">
      <c r="A591" s="1">
        <f t="shared" si="86"/>
        <v>590</v>
      </c>
      <c r="C591" s="12" t="s">
        <v>17</v>
      </c>
      <c r="D591" s="2">
        <v>43011</v>
      </c>
      <c r="E591" s="3">
        <v>35000</v>
      </c>
      <c r="F591" t="s">
        <v>337</v>
      </c>
      <c r="G591" t="s">
        <v>338</v>
      </c>
      <c r="H591" t="s">
        <v>339</v>
      </c>
      <c r="I591" s="10" t="s">
        <v>514</v>
      </c>
      <c r="J591" s="167" t="s">
        <v>22</v>
      </c>
      <c r="L591" s="9" t="str">
        <f t="shared" si="80"/>
        <v>00590</v>
      </c>
      <c r="M591" s="71" t="str">
        <f t="shared" si="81"/>
        <v>03 de octubre de 2017</v>
      </c>
      <c r="N591" s="39">
        <f t="shared" si="82"/>
        <v>43009</v>
      </c>
      <c r="O591" s="9" t="str">
        <f t="shared" ref="O591:O601" si="87">TEXT(E591,"#.##0,00")</f>
        <v>35.000,00</v>
      </c>
      <c r="P591" s="8" t="str">
        <f t="shared" ref="P591:P601" si="88">CONVERTIRNUM(E591)</f>
        <v>Treinta y Cinco Mil Bolívares con 00/100</v>
      </c>
      <c r="Q591" s="403" t="str">
        <f t="shared" si="85"/>
        <v/>
      </c>
    </row>
    <row r="592" spans="1:17" x14ac:dyDescent="0.25">
      <c r="A592" s="1">
        <f t="shared" si="86"/>
        <v>591</v>
      </c>
      <c r="C592" s="12" t="s">
        <v>17</v>
      </c>
      <c r="D592" s="2">
        <v>43011</v>
      </c>
      <c r="E592" s="3">
        <v>20000</v>
      </c>
      <c r="F592" t="s">
        <v>118</v>
      </c>
      <c r="G592" t="s">
        <v>119</v>
      </c>
      <c r="H592" t="s">
        <v>120</v>
      </c>
      <c r="I592" s="10" t="s">
        <v>534</v>
      </c>
      <c r="J592" s="167" t="s">
        <v>22</v>
      </c>
      <c r="L592" s="9" t="str">
        <f t="shared" si="80"/>
        <v>00591</v>
      </c>
      <c r="M592" s="71" t="str">
        <f t="shared" si="81"/>
        <v>03 de octubre de 2017</v>
      </c>
      <c r="N592" s="39">
        <f t="shared" si="82"/>
        <v>43009</v>
      </c>
      <c r="O592" s="9" t="str">
        <f t="shared" si="87"/>
        <v>20.000,00</v>
      </c>
      <c r="P592" s="8" t="str">
        <f t="shared" si="88"/>
        <v>Veinte Mil Bolívares con 00/100</v>
      </c>
      <c r="Q592" s="403" t="str">
        <f t="shared" si="85"/>
        <v/>
      </c>
    </row>
    <row r="593" spans="1:17" x14ac:dyDescent="0.25">
      <c r="A593" s="1">
        <f t="shared" si="86"/>
        <v>592</v>
      </c>
      <c r="C593" s="12" t="s">
        <v>17</v>
      </c>
      <c r="D593" s="2">
        <v>43011</v>
      </c>
      <c r="E593" s="3">
        <v>70000</v>
      </c>
      <c r="F593" t="s">
        <v>248</v>
      </c>
      <c r="G593" t="s">
        <v>249</v>
      </c>
      <c r="H593" t="s">
        <v>250</v>
      </c>
      <c r="I593" s="10" t="s">
        <v>535</v>
      </c>
      <c r="J593" s="167" t="s">
        <v>22</v>
      </c>
      <c r="L593" s="9" t="str">
        <f t="shared" si="80"/>
        <v>00592</v>
      </c>
      <c r="M593" s="71" t="str">
        <f t="shared" si="81"/>
        <v>03 de octubre de 2017</v>
      </c>
      <c r="N593" s="39">
        <f t="shared" si="82"/>
        <v>43009</v>
      </c>
      <c r="O593" s="9" t="str">
        <f t="shared" si="87"/>
        <v>70.000,00</v>
      </c>
      <c r="P593" s="8" t="str">
        <f t="shared" si="88"/>
        <v>Setenta Mil Bolívares con 00/100</v>
      </c>
      <c r="Q593" s="403" t="str">
        <f t="shared" si="85"/>
        <v/>
      </c>
    </row>
    <row r="594" spans="1:17" x14ac:dyDescent="0.25">
      <c r="A594" s="1">
        <f t="shared" si="86"/>
        <v>593</v>
      </c>
      <c r="C594" s="12" t="s">
        <v>17</v>
      </c>
      <c r="D594" s="2">
        <v>43012</v>
      </c>
      <c r="E594" s="3">
        <v>15000</v>
      </c>
      <c r="F594" t="s">
        <v>48</v>
      </c>
      <c r="G594" t="s">
        <v>49</v>
      </c>
      <c r="H594" t="s">
        <v>50</v>
      </c>
      <c r="I594" s="10" t="s">
        <v>546</v>
      </c>
      <c r="J594" s="167" t="s">
        <v>22</v>
      </c>
      <c r="L594" s="9" t="str">
        <f t="shared" si="80"/>
        <v>00593</v>
      </c>
      <c r="M594" s="71" t="str">
        <f t="shared" si="81"/>
        <v>04 de octubre de 2017</v>
      </c>
      <c r="N594" s="39">
        <f t="shared" si="82"/>
        <v>43009</v>
      </c>
      <c r="O594" s="9" t="str">
        <f t="shared" si="87"/>
        <v>15.000,00</v>
      </c>
      <c r="P594" s="8" t="str">
        <f t="shared" si="88"/>
        <v>Quince Mil Bolívares con 00/100</v>
      </c>
      <c r="Q594" s="403" t="str">
        <f t="shared" si="85"/>
        <v/>
      </c>
    </row>
    <row r="595" spans="1:17" x14ac:dyDescent="0.25">
      <c r="A595" s="1">
        <f t="shared" si="86"/>
        <v>594</v>
      </c>
      <c r="C595" s="12" t="s">
        <v>17</v>
      </c>
      <c r="D595" s="2">
        <v>43012</v>
      </c>
      <c r="E595" s="3">
        <v>35000</v>
      </c>
      <c r="F595" t="s">
        <v>80</v>
      </c>
      <c r="G595" t="s">
        <v>81</v>
      </c>
      <c r="H595" t="s">
        <v>82</v>
      </c>
      <c r="I595" s="10" t="s">
        <v>545</v>
      </c>
      <c r="J595" s="167" t="s">
        <v>22</v>
      </c>
      <c r="L595" s="9" t="str">
        <f t="shared" si="80"/>
        <v>00594</v>
      </c>
      <c r="M595" s="71" t="str">
        <f t="shared" si="81"/>
        <v>04 de octubre de 2017</v>
      </c>
      <c r="N595" s="39">
        <f t="shared" si="82"/>
        <v>43009</v>
      </c>
      <c r="O595" s="9" t="str">
        <f t="shared" si="87"/>
        <v>35.000,00</v>
      </c>
      <c r="P595" s="8" t="str">
        <f t="shared" si="88"/>
        <v>Treinta y Cinco Mil Bolívares con 00/100</v>
      </c>
      <c r="Q595" s="403" t="str">
        <f t="shared" si="85"/>
        <v/>
      </c>
    </row>
    <row r="596" spans="1:17" x14ac:dyDescent="0.25">
      <c r="A596" s="1">
        <f t="shared" si="86"/>
        <v>595</v>
      </c>
      <c r="C596" s="12" t="s">
        <v>17</v>
      </c>
      <c r="D596" s="2">
        <v>43012</v>
      </c>
      <c r="E596" s="3">
        <v>70000</v>
      </c>
      <c r="F596" t="s">
        <v>264</v>
      </c>
      <c r="G596" t="s">
        <v>265</v>
      </c>
      <c r="H596" t="s">
        <v>266</v>
      </c>
      <c r="I596" s="10" t="s">
        <v>529</v>
      </c>
      <c r="J596" s="167" t="s">
        <v>22</v>
      </c>
      <c r="L596" s="9" t="str">
        <f t="shared" si="80"/>
        <v>00595</v>
      </c>
      <c r="M596" s="71" t="str">
        <f t="shared" si="81"/>
        <v>04 de octubre de 2017</v>
      </c>
      <c r="N596" s="39">
        <f t="shared" si="82"/>
        <v>43009</v>
      </c>
      <c r="O596" s="9" t="str">
        <f t="shared" si="87"/>
        <v>70.000,00</v>
      </c>
      <c r="P596" s="8" t="str">
        <f t="shared" si="88"/>
        <v>Setenta Mil Bolívares con 00/100</v>
      </c>
      <c r="Q596" s="403" t="str">
        <f t="shared" si="85"/>
        <v/>
      </c>
    </row>
    <row r="597" spans="1:17" x14ac:dyDescent="0.25">
      <c r="A597" s="1">
        <f t="shared" si="86"/>
        <v>596</v>
      </c>
      <c r="C597" s="12" t="s">
        <v>17</v>
      </c>
      <c r="D597" s="2">
        <v>43012</v>
      </c>
      <c r="E597" s="3">
        <v>35000</v>
      </c>
      <c r="F597" t="s">
        <v>70</v>
      </c>
      <c r="G597" t="s">
        <v>71</v>
      </c>
      <c r="H597" t="s">
        <v>72</v>
      </c>
      <c r="I597" s="10" t="s">
        <v>545</v>
      </c>
      <c r="J597" s="167" t="s">
        <v>22</v>
      </c>
      <c r="L597" s="9" t="str">
        <f t="shared" si="80"/>
        <v>00596</v>
      </c>
      <c r="M597" s="71" t="str">
        <f t="shared" si="81"/>
        <v>04 de octubre de 2017</v>
      </c>
      <c r="N597" s="39">
        <f t="shared" si="82"/>
        <v>43009</v>
      </c>
      <c r="O597" s="9" t="str">
        <f t="shared" si="87"/>
        <v>35.000,00</v>
      </c>
      <c r="P597" s="8" t="str">
        <f t="shared" si="88"/>
        <v>Treinta y Cinco Mil Bolívares con 00/100</v>
      </c>
      <c r="Q597" s="403" t="str">
        <f t="shared" si="85"/>
        <v/>
      </c>
    </row>
    <row r="598" spans="1:17" x14ac:dyDescent="0.25">
      <c r="A598" s="1">
        <f t="shared" si="86"/>
        <v>597</v>
      </c>
      <c r="C598" s="12" t="s">
        <v>17</v>
      </c>
      <c r="D598" s="2">
        <v>43012</v>
      </c>
      <c r="E598" s="3">
        <v>25000</v>
      </c>
      <c r="F598" t="s">
        <v>84</v>
      </c>
      <c r="G598" t="s">
        <v>85</v>
      </c>
      <c r="H598" t="s">
        <v>86</v>
      </c>
      <c r="I598" s="10" t="s">
        <v>546</v>
      </c>
      <c r="J598" s="167" t="s">
        <v>22</v>
      </c>
      <c r="L598" s="9" t="str">
        <f t="shared" si="80"/>
        <v>00597</v>
      </c>
      <c r="M598" s="71" t="str">
        <f t="shared" si="81"/>
        <v>04 de octubre de 2017</v>
      </c>
      <c r="N598" s="39">
        <f t="shared" si="82"/>
        <v>43009</v>
      </c>
      <c r="O598" s="9" t="str">
        <f t="shared" si="87"/>
        <v>25.000,00</v>
      </c>
      <c r="P598" s="8" t="str">
        <f t="shared" si="88"/>
        <v>Veinticinco Mil Bolívares con 00/100</v>
      </c>
      <c r="Q598" s="403" t="str">
        <f t="shared" si="85"/>
        <v/>
      </c>
    </row>
    <row r="599" spans="1:17" x14ac:dyDescent="0.25">
      <c r="A599" s="1">
        <f t="shared" si="86"/>
        <v>598</v>
      </c>
      <c r="C599" s="12" t="s">
        <v>17</v>
      </c>
      <c r="D599" s="2">
        <v>43013</v>
      </c>
      <c r="E599" s="3">
        <v>35000</v>
      </c>
      <c r="F599" t="s">
        <v>18</v>
      </c>
      <c r="G599" t="s">
        <v>19</v>
      </c>
      <c r="H599" t="s">
        <v>20</v>
      </c>
      <c r="I599" s="10" t="s">
        <v>547</v>
      </c>
      <c r="J599" s="167" t="s">
        <v>22</v>
      </c>
      <c r="L599" s="9" t="str">
        <f t="shared" si="80"/>
        <v>00598</v>
      </c>
      <c r="M599" s="71" t="str">
        <f t="shared" si="81"/>
        <v>05 de octubre de 2017</v>
      </c>
      <c r="N599" s="39">
        <f t="shared" si="82"/>
        <v>43009</v>
      </c>
      <c r="O599" s="9" t="str">
        <f t="shared" si="87"/>
        <v>35.000,00</v>
      </c>
      <c r="P599" s="8" t="str">
        <f t="shared" si="88"/>
        <v>Treinta y Cinco Mil Bolívares con 00/100</v>
      </c>
      <c r="Q599" s="403" t="str">
        <f t="shared" si="85"/>
        <v/>
      </c>
    </row>
    <row r="600" spans="1:17" x14ac:dyDescent="0.25">
      <c r="A600" s="390">
        <f t="shared" si="86"/>
        <v>599</v>
      </c>
      <c r="C600" s="12" t="s">
        <v>17</v>
      </c>
      <c r="D600" s="2">
        <v>43013</v>
      </c>
      <c r="E600" s="3">
        <v>35000</v>
      </c>
      <c r="F600" t="s">
        <v>439</v>
      </c>
      <c r="G600" t="s">
        <v>440</v>
      </c>
      <c r="H600" t="s">
        <v>441</v>
      </c>
      <c r="I600" s="10" t="s">
        <v>548</v>
      </c>
      <c r="J600" s="167" t="s">
        <v>22</v>
      </c>
      <c r="L600" s="9" t="str">
        <f t="shared" si="80"/>
        <v>00599</v>
      </c>
      <c r="M600" s="71" t="str">
        <f t="shared" si="81"/>
        <v>05 de octubre de 2017</v>
      </c>
      <c r="N600" s="39">
        <f t="shared" si="82"/>
        <v>43009</v>
      </c>
      <c r="O600" s="9" t="str">
        <f t="shared" si="87"/>
        <v>35.000,00</v>
      </c>
      <c r="P600" s="8" t="str">
        <f t="shared" si="88"/>
        <v>Treinta y Cinco Mil Bolívares con 00/100</v>
      </c>
      <c r="Q600" s="403" t="str">
        <f t="shared" si="85"/>
        <v/>
      </c>
    </row>
    <row r="601" spans="1:17" x14ac:dyDescent="0.25">
      <c r="A601" s="1">
        <f t="shared" si="86"/>
        <v>600</v>
      </c>
      <c r="C601" s="12" t="s">
        <v>17</v>
      </c>
      <c r="D601" s="2">
        <v>42998</v>
      </c>
      <c r="E601" s="3">
        <v>10000</v>
      </c>
      <c r="F601" t="s">
        <v>144</v>
      </c>
      <c r="G601" t="s">
        <v>145</v>
      </c>
      <c r="H601" t="s">
        <v>146</v>
      </c>
      <c r="I601" s="10" t="s">
        <v>534</v>
      </c>
      <c r="J601" s="167" t="s">
        <v>22</v>
      </c>
      <c r="L601" s="9" t="str">
        <f t="shared" si="80"/>
        <v>00600</v>
      </c>
      <c r="M601" s="71" t="str">
        <f t="shared" si="81"/>
        <v>20 de septiembre de 2017</v>
      </c>
      <c r="N601" s="39">
        <f t="shared" si="82"/>
        <v>42979</v>
      </c>
      <c r="O601" s="9" t="str">
        <f t="shared" si="87"/>
        <v>10.000,00</v>
      </c>
      <c r="P601" s="8" t="str">
        <f t="shared" si="88"/>
        <v>Diez Mil Bolívares con 00/100</v>
      </c>
      <c r="Q601" s="403" t="str">
        <f t="shared" si="85"/>
        <v/>
      </c>
    </row>
    <row r="602" spans="1:17" x14ac:dyDescent="0.25">
      <c r="A602" s="1">
        <f t="shared" si="86"/>
        <v>601</v>
      </c>
      <c r="C602" s="12" t="s">
        <v>17</v>
      </c>
      <c r="D602" s="2">
        <v>43013</v>
      </c>
      <c r="E602" s="3">
        <v>10000</v>
      </c>
      <c r="F602" t="s">
        <v>144</v>
      </c>
      <c r="G602" t="s">
        <v>145</v>
      </c>
      <c r="H602" t="s">
        <v>146</v>
      </c>
      <c r="I602" s="10" t="s">
        <v>546</v>
      </c>
      <c r="J602" s="167" t="s">
        <v>22</v>
      </c>
      <c r="L602" s="9" t="str">
        <f t="shared" si="80"/>
        <v>00601</v>
      </c>
      <c r="M602" s="71" t="str">
        <f t="shared" si="81"/>
        <v>05 de octubre de 2017</v>
      </c>
      <c r="N602" s="39">
        <f t="shared" si="82"/>
        <v>43009</v>
      </c>
      <c r="O602" s="9" t="str">
        <f t="shared" ref="O602:O619" si="89">TEXT(E602,"#.##0,00")</f>
        <v>10.000,00</v>
      </c>
      <c r="P602" s="8" t="str">
        <f t="shared" ref="P602:P619" si="90">CONVERTIRNUM(E602)</f>
        <v>Diez Mil Bolívares con 00/100</v>
      </c>
      <c r="Q602" s="403" t="str">
        <f t="shared" si="85"/>
        <v/>
      </c>
    </row>
    <row r="603" spans="1:17" x14ac:dyDescent="0.25">
      <c r="A603" s="1">
        <f t="shared" si="86"/>
        <v>602</v>
      </c>
      <c r="C603" s="12" t="s">
        <v>17</v>
      </c>
      <c r="D603" s="2">
        <v>43014</v>
      </c>
      <c r="E603" s="3">
        <v>10000</v>
      </c>
      <c r="F603" t="s">
        <v>418</v>
      </c>
      <c r="G603" t="s">
        <v>419</v>
      </c>
      <c r="H603" t="s">
        <v>420</v>
      </c>
      <c r="I603" s="10" t="s">
        <v>534</v>
      </c>
      <c r="J603" s="167" t="s">
        <v>22</v>
      </c>
      <c r="L603" s="9" t="str">
        <f t="shared" si="80"/>
        <v>00602</v>
      </c>
      <c r="M603" s="71" t="str">
        <f t="shared" si="81"/>
        <v>06 de octubre de 2017</v>
      </c>
      <c r="N603" s="39">
        <f t="shared" si="82"/>
        <v>43009</v>
      </c>
      <c r="O603" s="9" t="str">
        <f t="shared" si="89"/>
        <v>10.000,00</v>
      </c>
      <c r="P603" s="8" t="str">
        <f t="shared" si="90"/>
        <v>Diez Mil Bolívares con 00/100</v>
      </c>
      <c r="Q603" s="403" t="str">
        <f t="shared" si="85"/>
        <v/>
      </c>
    </row>
    <row r="604" spans="1:17" ht="15.75" thickBot="1" x14ac:dyDescent="0.3">
      <c r="A604" s="1">
        <f t="shared" si="86"/>
        <v>603</v>
      </c>
      <c r="C604" s="12" t="s">
        <v>17</v>
      </c>
      <c r="D604" s="2">
        <v>43014</v>
      </c>
      <c r="E604" s="3">
        <v>35000</v>
      </c>
      <c r="F604" t="s">
        <v>126</v>
      </c>
      <c r="G604" t="s">
        <v>127</v>
      </c>
      <c r="H604" t="s">
        <v>128</v>
      </c>
      <c r="I604" s="10" t="s">
        <v>528</v>
      </c>
      <c r="J604" s="167" t="s">
        <v>22</v>
      </c>
      <c r="L604" s="9" t="str">
        <f t="shared" si="80"/>
        <v>00603</v>
      </c>
      <c r="M604" s="71" t="str">
        <f t="shared" si="81"/>
        <v>06 de octubre de 2017</v>
      </c>
      <c r="N604" s="39">
        <f t="shared" si="82"/>
        <v>43009</v>
      </c>
      <c r="O604" s="9" t="str">
        <f t="shared" si="89"/>
        <v>35.000,00</v>
      </c>
      <c r="P604" s="8" t="str">
        <f t="shared" si="90"/>
        <v>Treinta y Cinco Mil Bolívares con 00/100</v>
      </c>
      <c r="Q604" s="403" t="str">
        <f t="shared" si="85"/>
        <v/>
      </c>
    </row>
    <row r="605" spans="1:17" ht="15.75" thickBot="1" x14ac:dyDescent="0.3">
      <c r="A605" s="1">
        <f t="shared" si="86"/>
        <v>604</v>
      </c>
      <c r="C605" s="12" t="s">
        <v>17</v>
      </c>
      <c r="D605" s="2">
        <v>43014</v>
      </c>
      <c r="E605" s="3">
        <v>54000</v>
      </c>
      <c r="F605" s="36" t="s">
        <v>423</v>
      </c>
      <c r="G605" s="27" t="s">
        <v>58</v>
      </c>
      <c r="H605" t="s">
        <v>424</v>
      </c>
      <c r="I605" s="10" t="s">
        <v>545</v>
      </c>
      <c r="J605" s="167" t="s">
        <v>22</v>
      </c>
      <c r="L605" s="9" t="str">
        <f t="shared" si="80"/>
        <v>00604</v>
      </c>
      <c r="M605" s="71" t="str">
        <f t="shared" si="81"/>
        <v>06 de octubre de 2017</v>
      </c>
      <c r="N605" s="39">
        <f t="shared" si="82"/>
        <v>43009</v>
      </c>
      <c r="O605" s="9" t="str">
        <f t="shared" si="89"/>
        <v>54.000,00</v>
      </c>
      <c r="P605" s="8" t="str">
        <f t="shared" si="90"/>
        <v>Cincuenta y Cuatro Mil Bolívares con 00/100</v>
      </c>
      <c r="Q605" s="403" t="str">
        <f t="shared" si="85"/>
        <v/>
      </c>
    </row>
    <row r="606" spans="1:17" x14ac:dyDescent="0.25">
      <c r="A606" s="390">
        <f t="shared" si="86"/>
        <v>605</v>
      </c>
      <c r="C606" s="12" t="s">
        <v>225</v>
      </c>
      <c r="D606" s="2">
        <v>43017</v>
      </c>
      <c r="E606" s="3">
        <v>156000</v>
      </c>
      <c r="F606" t="s">
        <v>439</v>
      </c>
      <c r="G606" t="s">
        <v>440</v>
      </c>
      <c r="H606" t="s">
        <v>441</v>
      </c>
      <c r="I606" s="10" t="s">
        <v>549</v>
      </c>
      <c r="J606" s="167" t="s">
        <v>227</v>
      </c>
      <c r="L606" s="9" t="str">
        <f t="shared" si="80"/>
        <v>00605</v>
      </c>
      <c r="M606" s="71" t="str">
        <f t="shared" si="81"/>
        <v>09 de octubre de 2017</v>
      </c>
      <c r="N606" s="39">
        <f t="shared" si="82"/>
        <v>43009</v>
      </c>
      <c r="O606" s="9" t="str">
        <f t="shared" si="89"/>
        <v>156.000,00</v>
      </c>
      <c r="P606" s="8" t="str">
        <f t="shared" si="90"/>
        <v>Ciento Cincuenta y Seis Mil Bolívares con 00/100</v>
      </c>
      <c r="Q606" s="403" t="str">
        <f t="shared" si="85"/>
        <v>Anulado</v>
      </c>
    </row>
    <row r="607" spans="1:17" x14ac:dyDescent="0.25">
      <c r="A607" s="1">
        <f t="shared" si="86"/>
        <v>606</v>
      </c>
      <c r="C607" s="12" t="s">
        <v>17</v>
      </c>
      <c r="D607" s="2">
        <v>43018</v>
      </c>
      <c r="E607" s="3">
        <v>35000</v>
      </c>
      <c r="F607" t="s">
        <v>24</v>
      </c>
      <c r="G607" t="s">
        <v>25</v>
      </c>
      <c r="H607" t="s">
        <v>26</v>
      </c>
      <c r="I607" s="10" t="s">
        <v>545</v>
      </c>
      <c r="J607" s="167" t="s">
        <v>22</v>
      </c>
      <c r="L607" s="9" t="str">
        <f t="shared" si="80"/>
        <v>00606</v>
      </c>
      <c r="M607" s="71" t="str">
        <f t="shared" si="81"/>
        <v>10 de octubre de 2017</v>
      </c>
      <c r="N607" s="39">
        <f t="shared" si="82"/>
        <v>43009</v>
      </c>
      <c r="O607" s="9" t="str">
        <f t="shared" si="89"/>
        <v>35.000,00</v>
      </c>
      <c r="P607" s="8" t="str">
        <f t="shared" si="90"/>
        <v>Treinta y Cinco Mil Bolívares con 00/100</v>
      </c>
      <c r="Q607" s="403" t="str">
        <f t="shared" si="85"/>
        <v/>
      </c>
    </row>
    <row r="608" spans="1:17" x14ac:dyDescent="0.25">
      <c r="A608" s="1">
        <f t="shared" si="86"/>
        <v>607</v>
      </c>
      <c r="C608" s="12" t="s">
        <v>17</v>
      </c>
      <c r="D608" s="2">
        <v>43019</v>
      </c>
      <c r="E608" s="3">
        <v>35000</v>
      </c>
      <c r="F608" t="s">
        <v>100</v>
      </c>
      <c r="G608" t="s">
        <v>95</v>
      </c>
      <c r="H608" t="s">
        <v>101</v>
      </c>
      <c r="I608" s="10" t="s">
        <v>545</v>
      </c>
      <c r="J608" s="167" t="s">
        <v>22</v>
      </c>
      <c r="L608" s="9" t="str">
        <f t="shared" si="80"/>
        <v>00607</v>
      </c>
      <c r="M608" s="71" t="str">
        <f t="shared" si="81"/>
        <v>11 de octubre de 2017</v>
      </c>
      <c r="N608" s="39">
        <f t="shared" si="82"/>
        <v>43009</v>
      </c>
      <c r="O608" s="9" t="str">
        <f t="shared" si="89"/>
        <v>35.000,00</v>
      </c>
      <c r="P608" s="8" t="str">
        <f t="shared" si="90"/>
        <v>Treinta y Cinco Mil Bolívares con 00/100</v>
      </c>
      <c r="Q608" s="403" t="str">
        <f t="shared" si="85"/>
        <v/>
      </c>
    </row>
    <row r="609" spans="1:17" x14ac:dyDescent="0.25">
      <c r="A609" s="1">
        <f t="shared" si="86"/>
        <v>608</v>
      </c>
      <c r="C609" s="12" t="s">
        <v>17</v>
      </c>
      <c r="D609" s="2">
        <v>43019</v>
      </c>
      <c r="E609" s="3">
        <v>5000</v>
      </c>
      <c r="F609" t="s">
        <v>94</v>
      </c>
      <c r="G609" t="s">
        <v>95</v>
      </c>
      <c r="H609" t="s">
        <v>96</v>
      </c>
      <c r="I609" s="10" t="s">
        <v>546</v>
      </c>
      <c r="J609" s="167" t="s">
        <v>22</v>
      </c>
      <c r="L609" s="9" t="str">
        <f t="shared" si="80"/>
        <v>00608</v>
      </c>
      <c r="M609" s="71" t="str">
        <f t="shared" si="81"/>
        <v>11 de octubre de 2017</v>
      </c>
      <c r="N609" s="39">
        <f t="shared" si="82"/>
        <v>43009</v>
      </c>
      <c r="O609" s="9" t="str">
        <f t="shared" si="89"/>
        <v>5.000,00</v>
      </c>
      <c r="P609" s="8" t="str">
        <f t="shared" si="90"/>
        <v>Cinco Mil Bolívares con 00/100</v>
      </c>
      <c r="Q609" s="403" t="str">
        <f t="shared" si="85"/>
        <v/>
      </c>
    </row>
    <row r="610" spans="1:17" x14ac:dyDescent="0.25">
      <c r="A610" s="1">
        <f t="shared" si="86"/>
        <v>609</v>
      </c>
      <c r="C610" s="12" t="s">
        <v>17</v>
      </c>
      <c r="D610" s="2">
        <v>43019</v>
      </c>
      <c r="E610" s="3">
        <v>35000</v>
      </c>
      <c r="F610" t="s">
        <v>103</v>
      </c>
      <c r="G610" t="s">
        <v>104</v>
      </c>
      <c r="H610" t="s">
        <v>105</v>
      </c>
      <c r="I610" s="10" t="s">
        <v>545</v>
      </c>
      <c r="J610" s="167" t="s">
        <v>22</v>
      </c>
      <c r="L610" s="9" t="str">
        <f t="shared" si="80"/>
        <v>00609</v>
      </c>
      <c r="M610" s="71" t="str">
        <f t="shared" si="81"/>
        <v>11 de octubre de 2017</v>
      </c>
      <c r="N610" s="39">
        <f t="shared" si="82"/>
        <v>43009</v>
      </c>
      <c r="O610" s="9" t="str">
        <f t="shared" si="89"/>
        <v>35.000,00</v>
      </c>
      <c r="P610" s="8" t="str">
        <f t="shared" si="90"/>
        <v>Treinta y Cinco Mil Bolívares con 00/100</v>
      </c>
      <c r="Q610" s="403" t="str">
        <f t="shared" si="85"/>
        <v/>
      </c>
    </row>
    <row r="611" spans="1:17" x14ac:dyDescent="0.25">
      <c r="A611" s="1">
        <f t="shared" si="86"/>
        <v>610</v>
      </c>
      <c r="C611" s="12" t="s">
        <v>17</v>
      </c>
      <c r="D611" s="2">
        <v>43019</v>
      </c>
      <c r="E611" s="3">
        <v>35000</v>
      </c>
      <c r="F611" t="s">
        <v>148</v>
      </c>
      <c r="G611" t="s">
        <v>149</v>
      </c>
      <c r="H611" t="s">
        <v>150</v>
      </c>
      <c r="I611" s="10" t="s">
        <v>550</v>
      </c>
      <c r="J611" s="167" t="s">
        <v>22</v>
      </c>
      <c r="L611" s="9" t="str">
        <f t="shared" si="80"/>
        <v>00610</v>
      </c>
      <c r="M611" s="71" t="str">
        <f t="shared" si="81"/>
        <v>11 de octubre de 2017</v>
      </c>
      <c r="N611" s="39">
        <f t="shared" si="82"/>
        <v>43009</v>
      </c>
      <c r="O611" s="9" t="str">
        <f t="shared" si="89"/>
        <v>35.000,00</v>
      </c>
      <c r="P611" s="8" t="str">
        <f t="shared" si="90"/>
        <v>Treinta y Cinco Mil Bolívares con 00/100</v>
      </c>
      <c r="Q611" s="403" t="str">
        <f t="shared" si="85"/>
        <v/>
      </c>
    </row>
    <row r="612" spans="1:17" x14ac:dyDescent="0.25">
      <c r="A612" s="1">
        <f t="shared" si="86"/>
        <v>611</v>
      </c>
      <c r="C612" s="12" t="s">
        <v>17</v>
      </c>
      <c r="D612" s="2">
        <v>43020</v>
      </c>
      <c r="E612" s="3">
        <f>35000+35000</f>
        <v>70000</v>
      </c>
      <c r="F612" t="s">
        <v>138</v>
      </c>
      <c r="G612" t="s">
        <v>139</v>
      </c>
      <c r="H612" t="s">
        <v>140</v>
      </c>
      <c r="I612" s="10" t="s">
        <v>535</v>
      </c>
      <c r="J612" s="167" t="s">
        <v>22</v>
      </c>
      <c r="L612" s="9" t="str">
        <f t="shared" si="80"/>
        <v>00611</v>
      </c>
      <c r="M612" s="71" t="str">
        <f t="shared" si="81"/>
        <v>12 de octubre de 2017</v>
      </c>
      <c r="N612" s="39">
        <f t="shared" si="82"/>
        <v>43009</v>
      </c>
      <c r="O612" s="9" t="str">
        <f t="shared" si="89"/>
        <v>70.000,00</v>
      </c>
      <c r="P612" s="8" t="str">
        <f t="shared" si="90"/>
        <v>Setenta Mil Bolívares con 00/100</v>
      </c>
      <c r="Q612" s="403" t="str">
        <f t="shared" si="85"/>
        <v/>
      </c>
    </row>
    <row r="613" spans="1:17" x14ac:dyDescent="0.25">
      <c r="A613" s="1">
        <f t="shared" si="86"/>
        <v>612</v>
      </c>
      <c r="C613" s="12" t="s">
        <v>17</v>
      </c>
      <c r="D613" s="2">
        <v>43023</v>
      </c>
      <c r="E613" s="3">
        <v>35000</v>
      </c>
      <c r="F613" t="s">
        <v>211</v>
      </c>
      <c r="G613" t="s">
        <v>212</v>
      </c>
      <c r="H613" t="s">
        <v>213</v>
      </c>
      <c r="I613" s="10" t="s">
        <v>545</v>
      </c>
      <c r="J613" s="167" t="s">
        <v>22</v>
      </c>
      <c r="L613" s="9" t="str">
        <f t="shared" si="80"/>
        <v>00612</v>
      </c>
      <c r="M613" s="71" t="str">
        <f t="shared" si="81"/>
        <v>15 de octubre de 2017</v>
      </c>
      <c r="N613" s="39">
        <f t="shared" si="82"/>
        <v>43009</v>
      </c>
      <c r="O613" s="9" t="str">
        <f t="shared" si="89"/>
        <v>35.000,00</v>
      </c>
      <c r="P613" s="8" t="str">
        <f t="shared" si="90"/>
        <v>Treinta y Cinco Mil Bolívares con 00/100</v>
      </c>
      <c r="Q613" s="403" t="str">
        <f t="shared" si="85"/>
        <v/>
      </c>
    </row>
    <row r="614" spans="1:17" x14ac:dyDescent="0.25">
      <c r="A614" s="1">
        <f t="shared" si="86"/>
        <v>613</v>
      </c>
      <c r="C614" s="12" t="s">
        <v>17</v>
      </c>
      <c r="D614" s="2">
        <v>43023</v>
      </c>
      <c r="E614" s="3">
        <v>35000</v>
      </c>
      <c r="F614" t="s">
        <v>444</v>
      </c>
      <c r="G614" t="s">
        <v>445</v>
      </c>
      <c r="H614" t="s">
        <v>75</v>
      </c>
      <c r="I614" s="10" t="s">
        <v>545</v>
      </c>
      <c r="J614" s="167" t="s">
        <v>22</v>
      </c>
      <c r="L614" s="9" t="str">
        <f t="shared" si="80"/>
        <v>00613</v>
      </c>
      <c r="M614" s="71" t="str">
        <f t="shared" si="81"/>
        <v>15 de octubre de 2017</v>
      </c>
      <c r="N614" s="39">
        <f t="shared" si="82"/>
        <v>43009</v>
      </c>
      <c r="O614" s="9" t="str">
        <f t="shared" si="89"/>
        <v>35.000,00</v>
      </c>
      <c r="P614" s="8" t="str">
        <f t="shared" si="90"/>
        <v>Treinta y Cinco Mil Bolívares con 00/100</v>
      </c>
      <c r="Q614" s="403" t="str">
        <f t="shared" si="85"/>
        <v/>
      </c>
    </row>
    <row r="615" spans="1:17" x14ac:dyDescent="0.25">
      <c r="A615" s="1">
        <f t="shared" si="86"/>
        <v>614</v>
      </c>
      <c r="C615" s="12" t="s">
        <v>17</v>
      </c>
      <c r="D615" s="2">
        <v>43022</v>
      </c>
      <c r="E615" s="3">
        <v>35000</v>
      </c>
      <c r="F615" t="s">
        <v>36</v>
      </c>
      <c r="G615" t="s">
        <v>37</v>
      </c>
      <c r="H615" t="s">
        <v>38</v>
      </c>
      <c r="I615" s="10" t="s">
        <v>551</v>
      </c>
      <c r="J615" s="167" t="s">
        <v>22</v>
      </c>
      <c r="L615" s="9" t="str">
        <f t="shared" si="80"/>
        <v>00614</v>
      </c>
      <c r="M615" s="71" t="str">
        <f t="shared" si="81"/>
        <v>14 de octubre de 2017</v>
      </c>
      <c r="N615" s="39">
        <f t="shared" si="82"/>
        <v>43009</v>
      </c>
      <c r="O615" s="9" t="str">
        <f t="shared" si="89"/>
        <v>35.000,00</v>
      </c>
      <c r="P615" s="8" t="str">
        <f t="shared" si="90"/>
        <v>Treinta y Cinco Mil Bolívares con 00/100</v>
      </c>
      <c r="Q615" s="403" t="str">
        <f t="shared" si="85"/>
        <v/>
      </c>
    </row>
    <row r="616" spans="1:17" x14ac:dyDescent="0.25">
      <c r="A616" s="1">
        <f t="shared" si="86"/>
        <v>615</v>
      </c>
      <c r="C616" s="12" t="s">
        <v>17</v>
      </c>
      <c r="D616" s="2">
        <v>43024</v>
      </c>
      <c r="E616" s="3">
        <v>35000</v>
      </c>
      <c r="F616" t="s">
        <v>152</v>
      </c>
      <c r="G616" t="s">
        <v>153</v>
      </c>
      <c r="H616" t="s">
        <v>154</v>
      </c>
      <c r="I616" s="10" t="s">
        <v>552</v>
      </c>
      <c r="J616" s="167" t="s">
        <v>22</v>
      </c>
      <c r="L616" s="9" t="str">
        <f t="shared" si="80"/>
        <v>00615</v>
      </c>
      <c r="M616" s="71" t="str">
        <f t="shared" si="81"/>
        <v>16 de octubre de 2017</v>
      </c>
      <c r="N616" s="39">
        <f t="shared" si="82"/>
        <v>43009</v>
      </c>
      <c r="O616" s="9" t="str">
        <f t="shared" si="89"/>
        <v>35.000,00</v>
      </c>
      <c r="P616" s="8" t="str">
        <f t="shared" si="90"/>
        <v>Treinta y Cinco Mil Bolívares con 00/100</v>
      </c>
      <c r="Q616" s="403" t="str">
        <f t="shared" si="85"/>
        <v/>
      </c>
    </row>
    <row r="617" spans="1:17" x14ac:dyDescent="0.25">
      <c r="A617" s="1">
        <f t="shared" si="86"/>
        <v>616</v>
      </c>
      <c r="C617" s="12" t="s">
        <v>17</v>
      </c>
      <c r="D617" s="2">
        <v>43024</v>
      </c>
      <c r="E617" s="3">
        <v>35000</v>
      </c>
      <c r="F617" t="s">
        <v>484</v>
      </c>
      <c r="G617" t="s">
        <v>485</v>
      </c>
      <c r="H617" t="s">
        <v>486</v>
      </c>
      <c r="I617" s="10" t="s">
        <v>528</v>
      </c>
      <c r="J617" s="167" t="s">
        <v>22</v>
      </c>
      <c r="L617" s="9" t="str">
        <f t="shared" si="80"/>
        <v>00616</v>
      </c>
      <c r="M617" s="71" t="str">
        <f t="shared" si="81"/>
        <v>16 de octubre de 2017</v>
      </c>
      <c r="N617" s="39">
        <f t="shared" si="82"/>
        <v>43009</v>
      </c>
      <c r="O617" s="9" t="str">
        <f t="shared" si="89"/>
        <v>35.000,00</v>
      </c>
      <c r="P617" s="8" t="str">
        <f t="shared" si="90"/>
        <v>Treinta y Cinco Mil Bolívares con 00/100</v>
      </c>
      <c r="Q617" s="403" t="str">
        <f t="shared" si="85"/>
        <v/>
      </c>
    </row>
    <row r="618" spans="1:17" x14ac:dyDescent="0.25">
      <c r="A618" s="1">
        <f t="shared" si="86"/>
        <v>617</v>
      </c>
      <c r="C618" s="12" t="s">
        <v>17</v>
      </c>
      <c r="D618" s="2">
        <v>43024</v>
      </c>
      <c r="E618" s="3">
        <v>15000</v>
      </c>
      <c r="F618" t="s">
        <v>402</v>
      </c>
      <c r="G618" t="s">
        <v>403</v>
      </c>
      <c r="H618" t="s">
        <v>404</v>
      </c>
      <c r="I618" s="10" t="s">
        <v>546</v>
      </c>
      <c r="J618" s="167" t="s">
        <v>22</v>
      </c>
      <c r="L618" s="9" t="str">
        <f t="shared" si="80"/>
        <v>00617</v>
      </c>
      <c r="M618" s="71" t="str">
        <f t="shared" si="81"/>
        <v>16 de octubre de 2017</v>
      </c>
      <c r="N618" s="39">
        <f t="shared" si="82"/>
        <v>43009</v>
      </c>
      <c r="O618" s="9" t="str">
        <f t="shared" si="89"/>
        <v>15.000,00</v>
      </c>
      <c r="P618" s="8" t="str">
        <f t="shared" si="90"/>
        <v>Quince Mil Bolívares con 00/100</v>
      </c>
      <c r="Q618" s="403" t="str">
        <f t="shared" si="85"/>
        <v/>
      </c>
    </row>
    <row r="619" spans="1:17" x14ac:dyDescent="0.25">
      <c r="A619" s="1">
        <f t="shared" si="86"/>
        <v>618</v>
      </c>
      <c r="C619" s="12" t="s">
        <v>17</v>
      </c>
      <c r="D619" s="2">
        <v>43024</v>
      </c>
      <c r="E619" s="3">
        <v>20000</v>
      </c>
      <c r="F619" t="s">
        <v>130</v>
      </c>
      <c r="G619" t="s">
        <v>131</v>
      </c>
      <c r="H619" t="s">
        <v>132</v>
      </c>
      <c r="I619" s="10" t="s">
        <v>546</v>
      </c>
      <c r="J619" s="167" t="s">
        <v>22</v>
      </c>
      <c r="L619" s="9" t="str">
        <f t="shared" si="80"/>
        <v>00618</v>
      </c>
      <c r="M619" s="71" t="str">
        <f t="shared" si="81"/>
        <v>16 de octubre de 2017</v>
      </c>
      <c r="N619" s="39">
        <f t="shared" si="82"/>
        <v>43009</v>
      </c>
      <c r="O619" s="9" t="str">
        <f t="shared" si="89"/>
        <v>20.000,00</v>
      </c>
      <c r="P619" s="8" t="str">
        <f t="shared" si="90"/>
        <v>Veinte Mil Bolívares con 00/100</v>
      </c>
      <c r="Q619" s="403" t="str">
        <f t="shared" si="85"/>
        <v/>
      </c>
    </row>
    <row r="620" spans="1:17" x14ac:dyDescent="0.25">
      <c r="A620" s="1">
        <f t="shared" si="86"/>
        <v>619</v>
      </c>
      <c r="C620" s="12" t="s">
        <v>17</v>
      </c>
      <c r="D620" s="2">
        <v>43026</v>
      </c>
      <c r="E620" s="3">
        <v>20000</v>
      </c>
      <c r="F620" t="s">
        <v>130</v>
      </c>
      <c r="G620" t="s">
        <v>131</v>
      </c>
      <c r="H620" t="s">
        <v>132</v>
      </c>
      <c r="I620" s="10" t="s">
        <v>534</v>
      </c>
      <c r="J620" s="167" t="s">
        <v>22</v>
      </c>
      <c r="L620" s="9" t="str">
        <f t="shared" si="80"/>
        <v>00619</v>
      </c>
      <c r="M620" s="71" t="str">
        <f t="shared" si="81"/>
        <v>18 de octubre de 2017</v>
      </c>
      <c r="N620" s="39">
        <f t="shared" si="82"/>
        <v>43009</v>
      </c>
      <c r="O620" s="9" t="str">
        <f t="shared" ref="O620:O646" si="91">TEXT(E620,"#.##0,00")</f>
        <v>20.000,00</v>
      </c>
      <c r="P620" s="8" t="str">
        <f t="shared" ref="P620:P646" si="92">CONVERTIRNUM(E620)</f>
        <v>Veinte Mil Bolívares con 00/100</v>
      </c>
      <c r="Q620" s="403" t="str">
        <f t="shared" si="85"/>
        <v/>
      </c>
    </row>
    <row r="621" spans="1:17" x14ac:dyDescent="0.25">
      <c r="A621" s="1">
        <f t="shared" si="86"/>
        <v>620</v>
      </c>
      <c r="C621" s="12" t="s">
        <v>17</v>
      </c>
      <c r="D621" s="2">
        <v>43026</v>
      </c>
      <c r="E621" s="3">
        <v>35000</v>
      </c>
      <c r="F621" t="s">
        <v>185</v>
      </c>
      <c r="G621" t="s">
        <v>186</v>
      </c>
      <c r="H621" t="s">
        <v>187</v>
      </c>
      <c r="I621" s="10" t="s">
        <v>528</v>
      </c>
      <c r="J621" s="167" t="s">
        <v>22</v>
      </c>
      <c r="L621" s="9" t="str">
        <f t="shared" si="80"/>
        <v>00620</v>
      </c>
      <c r="M621" s="71" t="str">
        <f t="shared" si="81"/>
        <v>18 de octubre de 2017</v>
      </c>
      <c r="N621" s="39">
        <f t="shared" si="82"/>
        <v>43009</v>
      </c>
      <c r="O621" s="9" t="str">
        <f t="shared" si="91"/>
        <v>35.000,00</v>
      </c>
      <c r="P621" s="8" t="str">
        <f t="shared" si="92"/>
        <v>Treinta y Cinco Mil Bolívares con 00/100</v>
      </c>
      <c r="Q621" s="403" t="str">
        <f t="shared" si="85"/>
        <v/>
      </c>
    </row>
    <row r="622" spans="1:17" ht="15.75" thickBot="1" x14ac:dyDescent="0.3">
      <c r="A622" s="1">
        <f t="shared" si="86"/>
        <v>621</v>
      </c>
      <c r="C622" s="12" t="s">
        <v>17</v>
      </c>
      <c r="D622" s="2">
        <v>43027</v>
      </c>
      <c r="E622" s="3">
        <v>35000</v>
      </c>
      <c r="F622" t="s">
        <v>122</v>
      </c>
      <c r="G622" t="s">
        <v>123</v>
      </c>
      <c r="H622" t="s">
        <v>124</v>
      </c>
      <c r="I622" s="10" t="s">
        <v>545</v>
      </c>
      <c r="J622" s="167" t="s">
        <v>22</v>
      </c>
      <c r="L622" s="9" t="str">
        <f t="shared" si="80"/>
        <v>00621</v>
      </c>
      <c r="M622" s="71" t="str">
        <f t="shared" si="81"/>
        <v>19 de octubre de 2017</v>
      </c>
      <c r="N622" s="39">
        <f t="shared" si="82"/>
        <v>43009</v>
      </c>
      <c r="O622" s="9" t="str">
        <f t="shared" si="91"/>
        <v>35.000,00</v>
      </c>
      <c r="P622" s="8" t="str">
        <f t="shared" si="92"/>
        <v>Treinta y Cinco Mil Bolívares con 00/100</v>
      </c>
      <c r="Q622" s="403" t="str">
        <f t="shared" si="85"/>
        <v/>
      </c>
    </row>
    <row r="623" spans="1:17" ht="15.75" thickBot="1" x14ac:dyDescent="0.3">
      <c r="A623" s="1">
        <f t="shared" si="86"/>
        <v>622</v>
      </c>
      <c r="C623" s="12" t="s">
        <v>17</v>
      </c>
      <c r="D623" s="2">
        <v>43028</v>
      </c>
      <c r="E623" s="3">
        <v>40000</v>
      </c>
      <c r="F623" s="31" t="s">
        <v>57</v>
      </c>
      <c r="G623" s="27" t="s">
        <v>58</v>
      </c>
      <c r="H623" s="32" t="s">
        <v>59</v>
      </c>
      <c r="I623" s="10" t="s">
        <v>545</v>
      </c>
      <c r="J623" s="167" t="s">
        <v>22</v>
      </c>
      <c r="K623" s="33"/>
      <c r="L623" s="9" t="str">
        <f t="shared" si="80"/>
        <v>00622</v>
      </c>
      <c r="M623" s="71" t="str">
        <f t="shared" si="81"/>
        <v>20 de octubre de 2017</v>
      </c>
      <c r="N623" s="39">
        <f t="shared" si="82"/>
        <v>43009</v>
      </c>
      <c r="O623" s="9" t="str">
        <f t="shared" si="91"/>
        <v>40.000,00</v>
      </c>
      <c r="P623" s="8" t="str">
        <f t="shared" si="92"/>
        <v>Cuarenta Mil Bolívares con 00/100</v>
      </c>
      <c r="Q623" s="403" t="str">
        <f t="shared" si="85"/>
        <v/>
      </c>
    </row>
    <row r="624" spans="1:17" x14ac:dyDescent="0.25">
      <c r="A624" s="1">
        <f t="shared" si="86"/>
        <v>623</v>
      </c>
      <c r="C624" s="12" t="s">
        <v>17</v>
      </c>
      <c r="D624" s="2">
        <v>43029</v>
      </c>
      <c r="E624" s="3">
        <f>35000*2</f>
        <v>70000</v>
      </c>
      <c r="F624" t="s">
        <v>53</v>
      </c>
      <c r="G624" t="s">
        <v>54</v>
      </c>
      <c r="H624" t="s">
        <v>55</v>
      </c>
      <c r="I624" s="10" t="s">
        <v>535</v>
      </c>
      <c r="J624" s="167" t="s">
        <v>22</v>
      </c>
      <c r="L624" s="9" t="str">
        <f t="shared" si="80"/>
        <v>00623</v>
      </c>
      <c r="M624" s="71" t="str">
        <f t="shared" si="81"/>
        <v>21 de octubre de 2017</v>
      </c>
      <c r="N624" s="39">
        <f t="shared" si="82"/>
        <v>43009</v>
      </c>
      <c r="O624" s="9" t="str">
        <f t="shared" si="91"/>
        <v>70.000,00</v>
      </c>
      <c r="P624" s="8" t="str">
        <f t="shared" si="92"/>
        <v>Setenta Mil Bolívares con 00/100</v>
      </c>
      <c r="Q624" s="403" t="str">
        <f t="shared" si="85"/>
        <v/>
      </c>
    </row>
    <row r="625" spans="1:17" x14ac:dyDescent="0.25">
      <c r="A625" s="1">
        <f t="shared" si="86"/>
        <v>624</v>
      </c>
      <c r="C625" s="12" t="s">
        <v>17</v>
      </c>
      <c r="D625" s="2">
        <v>43029</v>
      </c>
      <c r="E625" s="3">
        <v>35000</v>
      </c>
      <c r="F625" t="s">
        <v>201</v>
      </c>
      <c r="G625" t="s">
        <v>202</v>
      </c>
      <c r="H625" t="s">
        <v>203</v>
      </c>
      <c r="I625" s="10" t="s">
        <v>528</v>
      </c>
      <c r="J625" s="167" t="s">
        <v>22</v>
      </c>
      <c r="L625" s="9" t="str">
        <f t="shared" si="80"/>
        <v>00624</v>
      </c>
      <c r="M625" s="71" t="str">
        <f t="shared" si="81"/>
        <v>21 de octubre de 2017</v>
      </c>
      <c r="N625" s="39">
        <f t="shared" si="82"/>
        <v>43009</v>
      </c>
      <c r="O625" s="9" t="str">
        <f t="shared" si="91"/>
        <v>35.000,00</v>
      </c>
      <c r="P625" s="8" t="str">
        <f t="shared" si="92"/>
        <v>Treinta y Cinco Mil Bolívares con 00/100</v>
      </c>
      <c r="Q625" s="403" t="str">
        <f t="shared" si="85"/>
        <v/>
      </c>
    </row>
    <row r="626" spans="1:17" x14ac:dyDescent="0.25">
      <c r="A626" s="1">
        <f t="shared" si="86"/>
        <v>625</v>
      </c>
      <c r="C626" s="12" t="s">
        <v>17</v>
      </c>
      <c r="D626" s="2">
        <v>43029</v>
      </c>
      <c r="E626" s="3">
        <v>35000</v>
      </c>
      <c r="F626" t="s">
        <v>230</v>
      </c>
      <c r="G626" t="s">
        <v>231</v>
      </c>
      <c r="H626" t="s">
        <v>232</v>
      </c>
      <c r="I626" s="10" t="s">
        <v>528</v>
      </c>
      <c r="J626" s="167" t="s">
        <v>22</v>
      </c>
      <c r="L626" s="9" t="str">
        <f t="shared" si="80"/>
        <v>00625</v>
      </c>
      <c r="M626" s="71" t="str">
        <f t="shared" si="81"/>
        <v>21 de octubre de 2017</v>
      </c>
      <c r="N626" s="39">
        <f t="shared" si="82"/>
        <v>43009</v>
      </c>
      <c r="O626" s="9" t="str">
        <f t="shared" si="91"/>
        <v>35.000,00</v>
      </c>
      <c r="P626" s="8" t="str">
        <f t="shared" si="92"/>
        <v>Treinta y Cinco Mil Bolívares con 00/100</v>
      </c>
      <c r="Q626" s="403" t="str">
        <f t="shared" si="85"/>
        <v/>
      </c>
    </row>
    <row r="627" spans="1:17" x14ac:dyDescent="0.25">
      <c r="A627" s="1">
        <f t="shared" si="86"/>
        <v>626</v>
      </c>
      <c r="C627" s="12" t="s">
        <v>17</v>
      </c>
      <c r="D627" s="2">
        <v>43031</v>
      </c>
      <c r="E627" s="3">
        <v>35000</v>
      </c>
      <c r="F627" t="s">
        <v>134</v>
      </c>
      <c r="G627" t="s">
        <v>135</v>
      </c>
      <c r="H627" t="s">
        <v>136</v>
      </c>
      <c r="I627" s="10" t="s">
        <v>545</v>
      </c>
      <c r="J627" s="167" t="s">
        <v>22</v>
      </c>
      <c r="L627" s="9" t="str">
        <f t="shared" si="80"/>
        <v>00626</v>
      </c>
      <c r="M627" s="71" t="str">
        <f t="shared" si="81"/>
        <v>23 de octubre de 2017</v>
      </c>
      <c r="N627" s="39">
        <f t="shared" si="82"/>
        <v>43009</v>
      </c>
      <c r="O627" s="9" t="str">
        <f t="shared" si="91"/>
        <v>35.000,00</v>
      </c>
      <c r="P627" s="8" t="str">
        <f t="shared" si="92"/>
        <v>Treinta y Cinco Mil Bolívares con 00/100</v>
      </c>
      <c r="Q627" s="403" t="str">
        <f t="shared" si="85"/>
        <v/>
      </c>
    </row>
    <row r="628" spans="1:17" x14ac:dyDescent="0.25">
      <c r="A628" s="1">
        <f t="shared" si="86"/>
        <v>627</v>
      </c>
      <c r="C628" s="12" t="s">
        <v>17</v>
      </c>
      <c r="D628" s="2">
        <v>43031</v>
      </c>
      <c r="E628" s="3">
        <v>35000</v>
      </c>
      <c r="F628" t="s">
        <v>107</v>
      </c>
      <c r="G628" t="s">
        <v>108</v>
      </c>
      <c r="H628" t="s">
        <v>109</v>
      </c>
      <c r="I628" s="10" t="s">
        <v>545</v>
      </c>
      <c r="J628" s="167" t="s">
        <v>22</v>
      </c>
      <c r="L628" s="9" t="str">
        <f t="shared" si="80"/>
        <v>00627</v>
      </c>
      <c r="M628" s="71" t="str">
        <f t="shared" si="81"/>
        <v>23 de octubre de 2017</v>
      </c>
      <c r="N628" s="39">
        <f t="shared" si="82"/>
        <v>43009</v>
      </c>
      <c r="O628" s="9" t="str">
        <f t="shared" si="91"/>
        <v>35.000,00</v>
      </c>
      <c r="P628" s="8" t="str">
        <f t="shared" si="92"/>
        <v>Treinta y Cinco Mil Bolívares con 00/100</v>
      </c>
      <c r="Q628" s="403" t="str">
        <f t="shared" si="85"/>
        <v/>
      </c>
    </row>
    <row r="629" spans="1:17" x14ac:dyDescent="0.25">
      <c r="A629" s="1">
        <f t="shared" si="86"/>
        <v>628</v>
      </c>
      <c r="C629" s="12" t="s">
        <v>17</v>
      </c>
      <c r="D629" s="2">
        <v>43031</v>
      </c>
      <c r="E629" s="3">
        <v>35000</v>
      </c>
      <c r="F629" t="s">
        <v>40</v>
      </c>
      <c r="G629" t="s">
        <v>41</v>
      </c>
      <c r="H629" t="s">
        <v>42</v>
      </c>
      <c r="I629" s="10" t="s">
        <v>545</v>
      </c>
      <c r="J629" s="167" t="s">
        <v>22</v>
      </c>
      <c r="L629" s="9" t="str">
        <f t="shared" si="80"/>
        <v>00628</v>
      </c>
      <c r="M629" s="71" t="str">
        <f t="shared" si="81"/>
        <v>23 de octubre de 2017</v>
      </c>
      <c r="N629" s="39">
        <f t="shared" si="82"/>
        <v>43009</v>
      </c>
      <c r="O629" s="9" t="str">
        <f t="shared" si="91"/>
        <v>35.000,00</v>
      </c>
      <c r="P629" s="8" t="str">
        <f t="shared" si="92"/>
        <v>Treinta y Cinco Mil Bolívares con 00/100</v>
      </c>
      <c r="Q629" s="403" t="str">
        <f t="shared" si="85"/>
        <v/>
      </c>
    </row>
    <row r="630" spans="1:17" ht="15.75" thickBot="1" x14ac:dyDescent="0.3">
      <c r="A630" s="1">
        <f t="shared" si="86"/>
        <v>629</v>
      </c>
      <c r="C630" s="12" t="s">
        <v>17</v>
      </c>
      <c r="D630" s="2">
        <v>43031</v>
      </c>
      <c r="E630" s="3">
        <v>70000</v>
      </c>
      <c r="F630" t="s">
        <v>363</v>
      </c>
      <c r="G630" t="s">
        <v>364</v>
      </c>
      <c r="H630" t="s">
        <v>365</v>
      </c>
      <c r="I630" s="10" t="s">
        <v>535</v>
      </c>
      <c r="J630" s="167" t="s">
        <v>22</v>
      </c>
      <c r="L630" s="9" t="str">
        <f t="shared" si="80"/>
        <v>00629</v>
      </c>
      <c r="M630" s="71" t="str">
        <f t="shared" si="81"/>
        <v>23 de octubre de 2017</v>
      </c>
      <c r="N630" s="39">
        <f t="shared" si="82"/>
        <v>43009</v>
      </c>
      <c r="O630" s="9" t="str">
        <f t="shared" si="91"/>
        <v>70.000,00</v>
      </c>
      <c r="P630" s="8" t="str">
        <f t="shared" si="92"/>
        <v>Setenta Mil Bolívares con 00/100</v>
      </c>
      <c r="Q630" s="403" t="str">
        <f t="shared" si="85"/>
        <v/>
      </c>
    </row>
    <row r="631" spans="1:17" ht="15.75" thickBot="1" x14ac:dyDescent="0.3">
      <c r="A631" s="1">
        <f t="shared" si="86"/>
        <v>630</v>
      </c>
      <c r="C631" s="12" t="s">
        <v>17</v>
      </c>
      <c r="D631" s="2">
        <v>43031</v>
      </c>
      <c r="E631" s="3">
        <v>70000</v>
      </c>
      <c r="F631" t="s">
        <v>239</v>
      </c>
      <c r="G631" s="225" t="s">
        <v>240</v>
      </c>
      <c r="H631" t="s">
        <v>241</v>
      </c>
      <c r="I631" s="10" t="s">
        <v>529</v>
      </c>
      <c r="J631" s="167" t="s">
        <v>22</v>
      </c>
      <c r="L631" s="9" t="str">
        <f t="shared" si="80"/>
        <v>00630</v>
      </c>
      <c r="M631" s="71" t="str">
        <f t="shared" si="81"/>
        <v>23 de octubre de 2017</v>
      </c>
      <c r="N631" s="39">
        <f t="shared" si="82"/>
        <v>43009</v>
      </c>
      <c r="O631" s="9" t="str">
        <f t="shared" si="91"/>
        <v>70.000,00</v>
      </c>
      <c r="P631" s="8" t="str">
        <f t="shared" si="92"/>
        <v>Setenta Mil Bolívares con 00/100</v>
      </c>
      <c r="Q631" s="403" t="str">
        <f t="shared" si="85"/>
        <v/>
      </c>
    </row>
    <row r="632" spans="1:17" x14ac:dyDescent="0.25">
      <c r="A632" s="1">
        <f t="shared" si="86"/>
        <v>631</v>
      </c>
      <c r="C632" s="12" t="s">
        <v>17</v>
      </c>
      <c r="D632" s="2">
        <v>43033</v>
      </c>
      <c r="E632" s="3">
        <v>30000</v>
      </c>
      <c r="F632" t="s">
        <v>342</v>
      </c>
      <c r="G632" t="s">
        <v>343</v>
      </c>
      <c r="H632" t="s">
        <v>344</v>
      </c>
      <c r="I632" s="10" t="s">
        <v>534</v>
      </c>
      <c r="J632" s="167" t="s">
        <v>22</v>
      </c>
      <c r="L632" s="9" t="str">
        <f t="shared" si="80"/>
        <v>00631</v>
      </c>
      <c r="M632" s="71" t="str">
        <f t="shared" si="81"/>
        <v>25 de octubre de 2017</v>
      </c>
      <c r="N632" s="39">
        <f t="shared" si="82"/>
        <v>43009</v>
      </c>
      <c r="O632" s="9" t="str">
        <f t="shared" si="91"/>
        <v>30.000,00</v>
      </c>
      <c r="P632" s="8" t="str">
        <f t="shared" si="92"/>
        <v>Treinta Mil Bolívares con 00/100</v>
      </c>
      <c r="Q632" s="403" t="str">
        <f t="shared" si="85"/>
        <v/>
      </c>
    </row>
    <row r="633" spans="1:17" x14ac:dyDescent="0.25">
      <c r="A633" s="1">
        <f t="shared" si="86"/>
        <v>632</v>
      </c>
      <c r="C633" s="12" t="s">
        <v>17</v>
      </c>
      <c r="D633" s="2">
        <v>43034</v>
      </c>
      <c r="E633" s="3">
        <v>15000</v>
      </c>
      <c r="F633" t="s">
        <v>167</v>
      </c>
      <c r="G633" t="s">
        <v>168</v>
      </c>
      <c r="H633" t="s">
        <v>169</v>
      </c>
      <c r="I633" s="10" t="s">
        <v>534</v>
      </c>
      <c r="J633" s="167" t="s">
        <v>22</v>
      </c>
      <c r="L633" s="9" t="str">
        <f t="shared" si="80"/>
        <v>00632</v>
      </c>
      <c r="M633" s="71" t="str">
        <f t="shared" si="81"/>
        <v>26 de octubre de 2017</v>
      </c>
      <c r="N633" s="39">
        <f t="shared" si="82"/>
        <v>43009</v>
      </c>
      <c r="O633" s="9" t="str">
        <f t="shared" si="91"/>
        <v>15.000,00</v>
      </c>
      <c r="P633" s="8" t="str">
        <f t="shared" si="92"/>
        <v>Quince Mil Bolívares con 00/100</v>
      </c>
      <c r="Q633" s="403" t="str">
        <f t="shared" si="85"/>
        <v/>
      </c>
    </row>
    <row r="634" spans="1:17" x14ac:dyDescent="0.25">
      <c r="A634" s="1">
        <f t="shared" si="86"/>
        <v>633</v>
      </c>
      <c r="C634" s="12" t="s">
        <v>17</v>
      </c>
      <c r="D634" s="2">
        <v>43035</v>
      </c>
      <c r="E634" s="3">
        <v>35000</v>
      </c>
      <c r="F634" t="s">
        <v>126</v>
      </c>
      <c r="G634" t="s">
        <v>127</v>
      </c>
      <c r="H634" t="s">
        <v>128</v>
      </c>
      <c r="I634" s="10" t="s">
        <v>545</v>
      </c>
      <c r="J634" s="167" t="s">
        <v>22</v>
      </c>
      <c r="L634" s="9" t="str">
        <f t="shared" si="80"/>
        <v>00633</v>
      </c>
      <c r="M634" s="71" t="str">
        <f t="shared" si="81"/>
        <v>27 de octubre de 2017</v>
      </c>
      <c r="N634" s="39">
        <f t="shared" si="82"/>
        <v>43009</v>
      </c>
      <c r="O634" s="9" t="str">
        <f t="shared" si="91"/>
        <v>35.000,00</v>
      </c>
      <c r="P634" s="8" t="str">
        <f t="shared" si="92"/>
        <v>Treinta y Cinco Mil Bolívares con 00/100</v>
      </c>
      <c r="Q634" s="403" t="str">
        <f t="shared" si="85"/>
        <v/>
      </c>
    </row>
    <row r="635" spans="1:17" x14ac:dyDescent="0.25">
      <c r="A635" s="1">
        <f t="shared" si="86"/>
        <v>634</v>
      </c>
      <c r="C635" s="12" t="s">
        <v>17</v>
      </c>
      <c r="D635" s="2">
        <v>43035</v>
      </c>
      <c r="E635" s="3">
        <f>35000*3</f>
        <v>105000</v>
      </c>
      <c r="F635" t="s">
        <v>243</v>
      </c>
      <c r="G635" t="s">
        <v>244</v>
      </c>
      <c r="H635" t="s">
        <v>245</v>
      </c>
      <c r="I635" s="10" t="s">
        <v>553</v>
      </c>
      <c r="J635" s="167" t="s">
        <v>22</v>
      </c>
      <c r="L635" s="9" t="str">
        <f t="shared" si="80"/>
        <v>00634</v>
      </c>
      <c r="M635" s="71" t="str">
        <f t="shared" si="81"/>
        <v>27 de octubre de 2017</v>
      </c>
      <c r="N635" s="39">
        <f t="shared" si="82"/>
        <v>43009</v>
      </c>
      <c r="O635" s="9" t="str">
        <f t="shared" si="91"/>
        <v>105.000,00</v>
      </c>
      <c r="P635" s="8" t="str">
        <f t="shared" si="92"/>
        <v>Ciento Cinco Mil Bolívares con 00/100</v>
      </c>
      <c r="Q635" s="403" t="str">
        <f t="shared" si="85"/>
        <v/>
      </c>
    </row>
    <row r="636" spans="1:17" x14ac:dyDescent="0.25">
      <c r="A636" s="1">
        <f t="shared" si="86"/>
        <v>635</v>
      </c>
      <c r="C636" s="12" t="s">
        <v>17</v>
      </c>
      <c r="D636" s="2">
        <v>43035</v>
      </c>
      <c r="E636" s="3">
        <v>70000</v>
      </c>
      <c r="F636" t="s">
        <v>197</v>
      </c>
      <c r="G636" t="s">
        <v>198</v>
      </c>
      <c r="H636" t="s">
        <v>199</v>
      </c>
      <c r="I636" s="10" t="s">
        <v>554</v>
      </c>
      <c r="J636" s="167" t="s">
        <v>22</v>
      </c>
      <c r="L636" s="9" t="str">
        <f t="shared" si="80"/>
        <v>00635</v>
      </c>
      <c r="M636" s="71" t="str">
        <f t="shared" si="81"/>
        <v>27 de octubre de 2017</v>
      </c>
      <c r="N636" s="39">
        <f t="shared" si="82"/>
        <v>43009</v>
      </c>
      <c r="O636" s="9" t="str">
        <f t="shared" si="91"/>
        <v>70.000,00</v>
      </c>
      <c r="P636" s="8" t="str">
        <f t="shared" si="92"/>
        <v>Setenta Mil Bolívares con 00/100</v>
      </c>
      <c r="Q636" s="403" t="str">
        <f t="shared" si="85"/>
        <v/>
      </c>
    </row>
    <row r="637" spans="1:17" ht="15.75" thickBot="1" x14ac:dyDescent="0.3">
      <c r="A637" s="1">
        <f t="shared" si="86"/>
        <v>636</v>
      </c>
      <c r="C637" s="12" t="s">
        <v>17</v>
      </c>
      <c r="D637" s="2">
        <v>43037</v>
      </c>
      <c r="E637" s="3">
        <v>60000</v>
      </c>
      <c r="F637" t="s">
        <v>413</v>
      </c>
      <c r="G637" t="s">
        <v>414</v>
      </c>
      <c r="H637" t="s">
        <v>415</v>
      </c>
      <c r="I637" s="10" t="s">
        <v>531</v>
      </c>
      <c r="J637" s="167" t="s">
        <v>22</v>
      </c>
      <c r="L637" s="9" t="str">
        <f t="shared" si="80"/>
        <v>00636</v>
      </c>
      <c r="M637" s="71" t="str">
        <f t="shared" si="81"/>
        <v>29 de octubre de 2017</v>
      </c>
      <c r="N637" s="39">
        <f t="shared" si="82"/>
        <v>43009</v>
      </c>
      <c r="O637" s="9" t="str">
        <f t="shared" si="91"/>
        <v>60.000,00</v>
      </c>
      <c r="P637" s="8" t="str">
        <f t="shared" si="92"/>
        <v>Sesenta Mil Bolívares con 00/100</v>
      </c>
      <c r="Q637" s="403" t="str">
        <f t="shared" si="85"/>
        <v/>
      </c>
    </row>
    <row r="638" spans="1:17" ht="15.75" thickBot="1" x14ac:dyDescent="0.3">
      <c r="A638" s="1">
        <f t="shared" si="86"/>
        <v>637</v>
      </c>
      <c r="C638" s="12" t="s">
        <v>17</v>
      </c>
      <c r="D638" s="2">
        <v>43038</v>
      </c>
      <c r="E638" s="3">
        <v>20000</v>
      </c>
      <c r="F638" t="s">
        <v>398</v>
      </c>
      <c r="G638" s="74" t="s">
        <v>29</v>
      </c>
      <c r="H638" t="s">
        <v>399</v>
      </c>
      <c r="I638" s="10" t="s">
        <v>546</v>
      </c>
      <c r="J638" s="167" t="s">
        <v>22</v>
      </c>
      <c r="L638" s="9" t="str">
        <f t="shared" si="80"/>
        <v>00637</v>
      </c>
      <c r="M638" s="71" t="str">
        <f t="shared" si="81"/>
        <v>30 de octubre de 2017</v>
      </c>
      <c r="N638" s="39">
        <f t="shared" si="82"/>
        <v>43009</v>
      </c>
      <c r="O638" s="9" t="str">
        <f t="shared" si="91"/>
        <v>20.000,00</v>
      </c>
      <c r="P638" s="8" t="str">
        <f t="shared" si="92"/>
        <v>Veinte Mil Bolívares con 00/100</v>
      </c>
      <c r="Q638" s="403" t="str">
        <f t="shared" si="85"/>
        <v/>
      </c>
    </row>
    <row r="639" spans="1:17" x14ac:dyDescent="0.25">
      <c r="A639" s="1">
        <f t="shared" si="86"/>
        <v>638</v>
      </c>
      <c r="C639" s="12" t="s">
        <v>17</v>
      </c>
      <c r="D639" s="2">
        <v>43038</v>
      </c>
      <c r="E639" s="3">
        <v>20000</v>
      </c>
      <c r="F639" t="s">
        <v>28</v>
      </c>
      <c r="G639" t="s">
        <v>29</v>
      </c>
      <c r="H639" t="s">
        <v>30</v>
      </c>
      <c r="I639" s="10" t="s">
        <v>546</v>
      </c>
      <c r="J639" s="167" t="s">
        <v>22</v>
      </c>
      <c r="L639" s="9" t="str">
        <f t="shared" si="80"/>
        <v>00638</v>
      </c>
      <c r="M639" s="71" t="str">
        <f t="shared" si="81"/>
        <v>30 de octubre de 2017</v>
      </c>
      <c r="N639" s="39">
        <f t="shared" si="82"/>
        <v>43009</v>
      </c>
      <c r="O639" s="9" t="str">
        <f t="shared" si="91"/>
        <v>20.000,00</v>
      </c>
      <c r="P639" s="8" t="str">
        <f t="shared" si="92"/>
        <v>Veinte Mil Bolívares con 00/100</v>
      </c>
      <c r="Q639" s="403" t="str">
        <f t="shared" si="85"/>
        <v/>
      </c>
    </row>
    <row r="640" spans="1:17" x14ac:dyDescent="0.25">
      <c r="A640" s="1">
        <f t="shared" si="86"/>
        <v>639</v>
      </c>
      <c r="C640" s="12" t="s">
        <v>17</v>
      </c>
      <c r="D640" s="2">
        <v>43039</v>
      </c>
      <c r="E640" s="3">
        <v>35000</v>
      </c>
      <c r="F640" t="s">
        <v>296</v>
      </c>
      <c r="G640" t="s">
        <v>297</v>
      </c>
      <c r="H640" t="s">
        <v>298</v>
      </c>
      <c r="I640" s="10" t="s">
        <v>545</v>
      </c>
      <c r="J640" s="167" t="s">
        <v>22</v>
      </c>
      <c r="L640" s="9" t="str">
        <f t="shared" si="80"/>
        <v>00639</v>
      </c>
      <c r="M640" s="71" t="str">
        <f t="shared" si="81"/>
        <v>31 de octubre de 2017</v>
      </c>
      <c r="N640" s="39">
        <f t="shared" si="82"/>
        <v>43009</v>
      </c>
      <c r="O640" s="9" t="str">
        <f t="shared" si="91"/>
        <v>35.000,00</v>
      </c>
      <c r="P640" s="8" t="str">
        <f t="shared" si="92"/>
        <v>Treinta y Cinco Mil Bolívares con 00/100</v>
      </c>
      <c r="Q640" s="403" t="str">
        <f t="shared" si="85"/>
        <v/>
      </c>
    </row>
    <row r="641" spans="1:17" x14ac:dyDescent="0.25">
      <c r="A641" s="1">
        <f t="shared" si="86"/>
        <v>640</v>
      </c>
      <c r="C641" s="12" t="s">
        <v>17</v>
      </c>
      <c r="D641" s="2">
        <v>43027</v>
      </c>
      <c r="E641" s="3">
        <v>20000</v>
      </c>
      <c r="F641" t="s">
        <v>181</v>
      </c>
      <c r="G641" t="s">
        <v>182</v>
      </c>
      <c r="H641" t="s">
        <v>183</v>
      </c>
      <c r="I641" s="10" t="s">
        <v>546</v>
      </c>
      <c r="J641" s="167" t="s">
        <v>22</v>
      </c>
      <c r="L641" s="9" t="str">
        <f t="shared" si="80"/>
        <v>00640</v>
      </c>
      <c r="M641" s="71" t="str">
        <f t="shared" si="81"/>
        <v>19 de octubre de 2017</v>
      </c>
      <c r="N641" s="39">
        <f t="shared" si="82"/>
        <v>43009</v>
      </c>
      <c r="O641" s="9" t="str">
        <f t="shared" si="91"/>
        <v>20.000,00</v>
      </c>
      <c r="P641" s="8" t="str">
        <f t="shared" si="92"/>
        <v>Veinte Mil Bolívares con 00/100</v>
      </c>
      <c r="Q641" s="403" t="str">
        <f t="shared" si="85"/>
        <v/>
      </c>
    </row>
    <row r="642" spans="1:17" x14ac:dyDescent="0.25">
      <c r="A642" s="1">
        <f t="shared" si="86"/>
        <v>641</v>
      </c>
      <c r="C642" s="12" t="s">
        <v>17</v>
      </c>
      <c r="D642" s="2">
        <v>43040</v>
      </c>
      <c r="E642" s="3">
        <v>35000</v>
      </c>
      <c r="F642" t="s">
        <v>62</v>
      </c>
      <c r="G642" t="s">
        <v>63</v>
      </c>
      <c r="H642" t="s">
        <v>64</v>
      </c>
      <c r="I642" s="10" t="s">
        <v>545</v>
      </c>
      <c r="J642" s="167" t="s">
        <v>22</v>
      </c>
      <c r="L642" s="9" t="str">
        <f t="shared" ref="L642:L705" si="93">IF(ISBLANK(A642),"",TEXT(A642,"00000"))</f>
        <v>00641</v>
      </c>
      <c r="M642" s="71" t="str">
        <f t="shared" ref="M642:M705" si="94">IF(ISBLANK(D642),"",TEXT(D642,"dd")&amp;" de "&amp;TEXT(D642,"mmmm")&amp;" de "&amp;TEXT(YEAR(D642),"0"))</f>
        <v>01 de noviembre de 2017</v>
      </c>
      <c r="N642" s="39">
        <f t="shared" ref="N642:N705" si="95">DATE(YEAR(D642),MONTH(D642),1)</f>
        <v>43040</v>
      </c>
      <c r="O642" s="9" t="str">
        <f t="shared" si="91"/>
        <v>35.000,00</v>
      </c>
      <c r="P642" s="8" t="str">
        <f t="shared" si="92"/>
        <v>Treinta y Cinco Mil Bolívares con 00/100</v>
      </c>
      <c r="Q642" s="403" t="str">
        <f t="shared" si="85"/>
        <v/>
      </c>
    </row>
    <row r="643" spans="1:17" x14ac:dyDescent="0.25">
      <c r="A643" s="1">
        <f t="shared" si="86"/>
        <v>642</v>
      </c>
      <c r="C643" s="12" t="s">
        <v>17</v>
      </c>
      <c r="D643" s="2">
        <v>43040</v>
      </c>
      <c r="E643" s="3">
        <v>35000</v>
      </c>
      <c r="F643" t="s">
        <v>80</v>
      </c>
      <c r="G643" t="s">
        <v>81</v>
      </c>
      <c r="H643" t="s">
        <v>82</v>
      </c>
      <c r="I643" s="10" t="s">
        <v>555</v>
      </c>
      <c r="J643" s="167" t="s">
        <v>22</v>
      </c>
      <c r="L643" s="9" t="str">
        <f t="shared" si="93"/>
        <v>00642</v>
      </c>
      <c r="M643" s="71" t="str">
        <f t="shared" si="94"/>
        <v>01 de noviembre de 2017</v>
      </c>
      <c r="N643" s="39">
        <f t="shared" si="95"/>
        <v>43040</v>
      </c>
      <c r="O643" s="9" t="str">
        <f t="shared" si="91"/>
        <v>35.000,00</v>
      </c>
      <c r="P643" s="8" t="str">
        <f t="shared" si="92"/>
        <v>Treinta y Cinco Mil Bolívares con 00/100</v>
      </c>
      <c r="Q643" s="403" t="str">
        <f t="shared" ref="Q643:Q706" si="96">IF(C643="û","Anulado","")</f>
        <v/>
      </c>
    </row>
    <row r="644" spans="1:17" ht="15.75" thickBot="1" x14ac:dyDescent="0.3">
      <c r="A644" s="1">
        <f t="shared" ref="A644:A707" si="97">A643+1</f>
        <v>643</v>
      </c>
      <c r="C644" s="12" t="s">
        <v>17</v>
      </c>
      <c r="D644" s="2">
        <v>43041</v>
      </c>
      <c r="E644" s="3">
        <v>35000</v>
      </c>
      <c r="F644" t="s">
        <v>44</v>
      </c>
      <c r="G644" t="s">
        <v>45</v>
      </c>
      <c r="H644" t="s">
        <v>46</v>
      </c>
      <c r="I644" s="10" t="s">
        <v>555</v>
      </c>
      <c r="J644" s="167" t="s">
        <v>22</v>
      </c>
      <c r="L644" s="9" t="str">
        <f t="shared" si="93"/>
        <v>00643</v>
      </c>
      <c r="M644" s="71" t="str">
        <f t="shared" si="94"/>
        <v>02 de noviembre de 2017</v>
      </c>
      <c r="N644" s="39">
        <f t="shared" si="95"/>
        <v>43040</v>
      </c>
      <c r="O644" s="9" t="str">
        <f t="shared" si="91"/>
        <v>35.000,00</v>
      </c>
      <c r="P644" s="8" t="str">
        <f t="shared" si="92"/>
        <v>Treinta y Cinco Mil Bolívares con 00/100</v>
      </c>
      <c r="Q644" s="403" t="str">
        <f t="shared" si="96"/>
        <v/>
      </c>
    </row>
    <row r="645" spans="1:17" ht="15.75" thickBot="1" x14ac:dyDescent="0.3">
      <c r="A645" s="1">
        <f t="shared" si="97"/>
        <v>644</v>
      </c>
      <c r="C645" s="12" t="s">
        <v>17</v>
      </c>
      <c r="D645" s="2">
        <v>43040</v>
      </c>
      <c r="E645" s="3">
        <f>33000+35000</f>
        <v>68000</v>
      </c>
      <c r="F645" t="s">
        <v>259</v>
      </c>
      <c r="G645" s="27" t="s">
        <v>58</v>
      </c>
      <c r="H645" t="s">
        <v>261</v>
      </c>
      <c r="I645" s="10" t="s">
        <v>556</v>
      </c>
      <c r="J645" s="167" t="s">
        <v>22</v>
      </c>
      <c r="L645" s="9" t="str">
        <f t="shared" si="93"/>
        <v>00644</v>
      </c>
      <c r="M645" s="71" t="str">
        <f t="shared" si="94"/>
        <v>01 de noviembre de 2017</v>
      </c>
      <c r="N645" s="39">
        <f t="shared" si="95"/>
        <v>43040</v>
      </c>
      <c r="O645" s="9" t="str">
        <f t="shared" si="91"/>
        <v>68.000,00</v>
      </c>
      <c r="P645" s="8" t="str">
        <f t="shared" si="92"/>
        <v>Sesenta y Ocho Mil Bolívares con 00/100</v>
      </c>
      <c r="Q645" s="403" t="str">
        <f t="shared" si="96"/>
        <v/>
      </c>
    </row>
    <row r="646" spans="1:17" x14ac:dyDescent="0.25">
      <c r="A646" s="1">
        <f t="shared" si="97"/>
        <v>645</v>
      </c>
      <c r="C646" s="12" t="s">
        <v>17</v>
      </c>
      <c r="D646" s="2">
        <v>43041</v>
      </c>
      <c r="E646" s="3">
        <v>70000</v>
      </c>
      <c r="F646" t="s">
        <v>162</v>
      </c>
      <c r="G646" t="s">
        <v>163</v>
      </c>
      <c r="H646" t="s">
        <v>164</v>
      </c>
      <c r="I646" s="10" t="s">
        <v>529</v>
      </c>
      <c r="J646" s="167" t="s">
        <v>22</v>
      </c>
      <c r="L646" s="9" t="str">
        <f t="shared" si="93"/>
        <v>00645</v>
      </c>
      <c r="M646" s="71" t="str">
        <f t="shared" si="94"/>
        <v>02 de noviembre de 2017</v>
      </c>
      <c r="N646" s="39">
        <f t="shared" si="95"/>
        <v>43040</v>
      </c>
      <c r="O646" s="9" t="str">
        <f t="shared" si="91"/>
        <v>70.000,00</v>
      </c>
      <c r="P646" s="8" t="str">
        <f t="shared" si="92"/>
        <v>Setenta Mil Bolívares con 00/100</v>
      </c>
      <c r="Q646" s="403" t="str">
        <f t="shared" si="96"/>
        <v/>
      </c>
    </row>
    <row r="647" spans="1:17" x14ac:dyDescent="0.25">
      <c r="A647" s="1">
        <f t="shared" si="97"/>
        <v>646</v>
      </c>
      <c r="C647" s="12" t="s">
        <v>17</v>
      </c>
      <c r="D647" s="2">
        <v>43041</v>
      </c>
      <c r="E647" s="3">
        <v>35000</v>
      </c>
      <c r="F647" t="s">
        <v>40</v>
      </c>
      <c r="G647" t="s">
        <v>41</v>
      </c>
      <c r="H647" t="s">
        <v>42</v>
      </c>
      <c r="I647" s="10" t="s">
        <v>555</v>
      </c>
      <c r="J647" s="167" t="s">
        <v>22</v>
      </c>
      <c r="L647" s="9" t="str">
        <f t="shared" si="93"/>
        <v>00646</v>
      </c>
      <c r="M647" s="71" t="str">
        <f t="shared" si="94"/>
        <v>02 de noviembre de 2017</v>
      </c>
      <c r="N647" s="39">
        <f t="shared" si="95"/>
        <v>43040</v>
      </c>
      <c r="O647" s="9" t="str">
        <f>TEXT(E647,"#.##0,00")</f>
        <v>35.000,00</v>
      </c>
      <c r="P647" s="8" t="str">
        <f>CONVERTIRNUM(E647)</f>
        <v>Treinta y Cinco Mil Bolívares con 00/100</v>
      </c>
      <c r="Q647" s="403" t="str">
        <f t="shared" si="96"/>
        <v/>
      </c>
    </row>
    <row r="648" spans="1:17" x14ac:dyDescent="0.25">
      <c r="A648" s="1">
        <f t="shared" si="97"/>
        <v>647</v>
      </c>
      <c r="C648" s="12" t="s">
        <v>17</v>
      </c>
      <c r="D648" s="2">
        <v>43041</v>
      </c>
      <c r="E648" s="3">
        <v>70000</v>
      </c>
      <c r="F648" t="s">
        <v>280</v>
      </c>
      <c r="G648" t="s">
        <v>281</v>
      </c>
      <c r="H648" t="s">
        <v>282</v>
      </c>
      <c r="I648" s="10" t="s">
        <v>557</v>
      </c>
      <c r="J648" s="167" t="s">
        <v>22</v>
      </c>
      <c r="L648" s="9" t="str">
        <f t="shared" si="93"/>
        <v>00647</v>
      </c>
      <c r="M648" s="71" t="str">
        <f t="shared" si="94"/>
        <v>02 de noviembre de 2017</v>
      </c>
      <c r="N648" s="39">
        <f t="shared" si="95"/>
        <v>43040</v>
      </c>
      <c r="O648" s="9" t="str">
        <f>TEXT(E648,"#.##0,00")</f>
        <v>70.000,00</v>
      </c>
      <c r="P648" s="8" t="str">
        <f>CONVERTIRNUM(E648)</f>
        <v>Setenta Mil Bolívares con 00/100</v>
      </c>
      <c r="Q648" s="403" t="str">
        <f t="shared" si="96"/>
        <v/>
      </c>
    </row>
    <row r="649" spans="1:17" x14ac:dyDescent="0.25">
      <c r="A649" s="1">
        <f t="shared" si="97"/>
        <v>648</v>
      </c>
      <c r="C649" s="12" t="s">
        <v>17</v>
      </c>
      <c r="D649" s="2">
        <v>43041</v>
      </c>
      <c r="E649" s="3">
        <v>50000</v>
      </c>
      <c r="F649" t="s">
        <v>558</v>
      </c>
      <c r="G649" t="s">
        <v>559</v>
      </c>
      <c r="H649" t="s">
        <v>560</v>
      </c>
      <c r="I649" s="10" t="s">
        <v>561</v>
      </c>
      <c r="J649" s="167" t="s">
        <v>22</v>
      </c>
      <c r="L649" s="9" t="str">
        <f t="shared" si="93"/>
        <v>00648</v>
      </c>
      <c r="M649" s="71" t="str">
        <f t="shared" si="94"/>
        <v>02 de noviembre de 2017</v>
      </c>
      <c r="N649" s="39">
        <f t="shared" si="95"/>
        <v>43040</v>
      </c>
      <c r="O649" s="9" t="str">
        <f t="shared" ref="O649:O685" si="98">TEXT(E649,"#.##0,00")</f>
        <v>50.000,00</v>
      </c>
      <c r="P649" s="8" t="str">
        <f t="shared" ref="P649:P685" si="99">CONVERTIRNUM(E649)</f>
        <v>Cincuenta Mil Bolívares con 00/100</v>
      </c>
      <c r="Q649" s="403" t="str">
        <f t="shared" si="96"/>
        <v/>
      </c>
    </row>
    <row r="650" spans="1:17" x14ac:dyDescent="0.25">
      <c r="A650" s="1">
        <f t="shared" si="97"/>
        <v>649</v>
      </c>
      <c r="C650" s="12" t="s">
        <v>17</v>
      </c>
      <c r="D650" s="2">
        <v>43042</v>
      </c>
      <c r="E650" s="3">
        <v>50000</v>
      </c>
      <c r="F650" t="s">
        <v>24</v>
      </c>
      <c r="G650" t="s">
        <v>25</v>
      </c>
      <c r="H650" t="s">
        <v>26</v>
      </c>
      <c r="I650" s="10" t="s">
        <v>561</v>
      </c>
      <c r="J650" s="167" t="s">
        <v>22</v>
      </c>
      <c r="L650" s="9" t="str">
        <f t="shared" si="93"/>
        <v>00649</v>
      </c>
      <c r="M650" s="71" t="str">
        <f t="shared" si="94"/>
        <v>03 de noviembre de 2017</v>
      </c>
      <c r="N650" s="39">
        <f t="shared" si="95"/>
        <v>43040</v>
      </c>
      <c r="O650" s="9" t="str">
        <f t="shared" si="98"/>
        <v>50.000,00</v>
      </c>
      <c r="P650" s="8" t="str">
        <f t="shared" si="99"/>
        <v>Cincuenta Mil Bolívares con 00/100</v>
      </c>
      <c r="Q650" s="403" t="str">
        <f t="shared" si="96"/>
        <v/>
      </c>
    </row>
    <row r="651" spans="1:17" x14ac:dyDescent="0.25">
      <c r="A651" s="1">
        <f t="shared" si="97"/>
        <v>650</v>
      </c>
      <c r="C651" s="12" t="s">
        <v>17</v>
      </c>
      <c r="D651" s="2">
        <v>43043</v>
      </c>
      <c r="E651" s="3">
        <f>35000*3</f>
        <v>105000</v>
      </c>
      <c r="F651" t="s">
        <v>312</v>
      </c>
      <c r="G651" t="s">
        <v>313</v>
      </c>
      <c r="H651" t="s">
        <v>314</v>
      </c>
      <c r="I651" s="10" t="s">
        <v>562</v>
      </c>
      <c r="J651" s="167" t="s">
        <v>22</v>
      </c>
      <c r="L651" s="9" t="str">
        <f t="shared" si="93"/>
        <v>00650</v>
      </c>
      <c r="M651" s="71" t="str">
        <f t="shared" si="94"/>
        <v>04 de noviembre de 2017</v>
      </c>
      <c r="N651" s="39">
        <f t="shared" si="95"/>
        <v>43040</v>
      </c>
      <c r="O651" s="9" t="str">
        <f t="shared" si="98"/>
        <v>105.000,00</v>
      </c>
      <c r="P651" s="8" t="str">
        <f t="shared" si="99"/>
        <v>Ciento Cinco Mil Bolívares con 00/100</v>
      </c>
      <c r="Q651" s="403" t="str">
        <f t="shared" si="96"/>
        <v/>
      </c>
    </row>
    <row r="652" spans="1:17" x14ac:dyDescent="0.25">
      <c r="A652" s="1">
        <f t="shared" si="97"/>
        <v>651</v>
      </c>
      <c r="C652" s="12" t="s">
        <v>17</v>
      </c>
      <c r="D652" s="2">
        <v>43047</v>
      </c>
      <c r="E652" s="3">
        <f>36000+4850-5850</f>
        <v>35000</v>
      </c>
      <c r="F652" t="s">
        <v>324</v>
      </c>
      <c r="G652" t="s">
        <v>325</v>
      </c>
      <c r="H652" t="s">
        <v>326</v>
      </c>
      <c r="I652" s="10" t="s">
        <v>563</v>
      </c>
      <c r="J652" s="167" t="s">
        <v>22</v>
      </c>
      <c r="L652" s="9" t="str">
        <f t="shared" si="93"/>
        <v>00651</v>
      </c>
      <c r="M652" s="71" t="str">
        <f t="shared" si="94"/>
        <v>08 de noviembre de 2017</v>
      </c>
      <c r="N652" s="39">
        <f t="shared" si="95"/>
        <v>43040</v>
      </c>
      <c r="O652" s="9" t="str">
        <f t="shared" si="98"/>
        <v>35.000,00</v>
      </c>
      <c r="P652" s="8" t="str">
        <f t="shared" si="99"/>
        <v>Treinta y Cinco Mil Bolívares con 00/100</v>
      </c>
      <c r="Q652" s="403" t="str">
        <f t="shared" si="96"/>
        <v/>
      </c>
    </row>
    <row r="653" spans="1:17" x14ac:dyDescent="0.25">
      <c r="A653" s="1">
        <f t="shared" si="97"/>
        <v>652</v>
      </c>
      <c r="C653" s="12" t="s">
        <v>17</v>
      </c>
      <c r="D653" s="2">
        <v>43046</v>
      </c>
      <c r="E653" s="3">
        <v>50000</v>
      </c>
      <c r="F653" t="s">
        <v>18</v>
      </c>
      <c r="G653" t="s">
        <v>19</v>
      </c>
      <c r="H653" t="s">
        <v>20</v>
      </c>
      <c r="I653" s="10" t="s">
        <v>564</v>
      </c>
      <c r="J653" s="167" t="s">
        <v>22</v>
      </c>
      <c r="L653" s="9" t="str">
        <f t="shared" si="93"/>
        <v>00652</v>
      </c>
      <c r="M653" s="71" t="str">
        <f t="shared" si="94"/>
        <v>07 de noviembre de 2017</v>
      </c>
      <c r="N653" s="39">
        <f t="shared" si="95"/>
        <v>43040</v>
      </c>
      <c r="O653" s="9" t="str">
        <f t="shared" si="98"/>
        <v>50.000,00</v>
      </c>
      <c r="P653" s="8" t="str">
        <f t="shared" si="99"/>
        <v>Cincuenta Mil Bolívares con 00/100</v>
      </c>
      <c r="Q653" s="403" t="str">
        <f t="shared" si="96"/>
        <v/>
      </c>
    </row>
    <row r="654" spans="1:17" x14ac:dyDescent="0.25">
      <c r="A654" s="390">
        <f t="shared" si="97"/>
        <v>653</v>
      </c>
      <c r="C654" s="12" t="s">
        <v>17</v>
      </c>
      <c r="D654" s="2">
        <v>43046</v>
      </c>
      <c r="E654" s="3">
        <v>50000</v>
      </c>
      <c r="F654" t="s">
        <v>439</v>
      </c>
      <c r="G654" t="s">
        <v>440</v>
      </c>
      <c r="H654" t="s">
        <v>441</v>
      </c>
      <c r="I654" s="10" t="s">
        <v>565</v>
      </c>
      <c r="J654" s="167" t="s">
        <v>22</v>
      </c>
      <c r="L654" s="9" t="str">
        <f t="shared" si="93"/>
        <v>00653</v>
      </c>
      <c r="M654" s="71" t="str">
        <f t="shared" si="94"/>
        <v>07 de noviembre de 2017</v>
      </c>
      <c r="N654" s="39">
        <f t="shared" si="95"/>
        <v>43040</v>
      </c>
      <c r="O654" s="9" t="str">
        <f t="shared" si="98"/>
        <v>50.000,00</v>
      </c>
      <c r="P654" s="8" t="str">
        <f t="shared" si="99"/>
        <v>Cincuenta Mil Bolívares con 00/100</v>
      </c>
      <c r="Q654" s="403" t="str">
        <f t="shared" si="96"/>
        <v/>
      </c>
    </row>
    <row r="655" spans="1:17" x14ac:dyDescent="0.25">
      <c r="A655" s="1">
        <f t="shared" si="97"/>
        <v>654</v>
      </c>
      <c r="C655" s="12" t="s">
        <v>17</v>
      </c>
      <c r="D655" s="2">
        <v>43047</v>
      </c>
      <c r="E655" s="3">
        <v>50000</v>
      </c>
      <c r="F655" t="s">
        <v>70</v>
      </c>
      <c r="G655" t="s">
        <v>71</v>
      </c>
      <c r="H655" t="s">
        <v>72</v>
      </c>
      <c r="I655" s="10" t="s">
        <v>561</v>
      </c>
      <c r="J655" s="167" t="s">
        <v>22</v>
      </c>
      <c r="L655" s="9" t="str">
        <f t="shared" si="93"/>
        <v>00654</v>
      </c>
      <c r="M655" s="71" t="str">
        <f t="shared" si="94"/>
        <v>08 de noviembre de 2017</v>
      </c>
      <c r="N655" s="39">
        <f t="shared" si="95"/>
        <v>43040</v>
      </c>
      <c r="O655" s="9" t="str">
        <f t="shared" si="98"/>
        <v>50.000,00</v>
      </c>
      <c r="P655" s="8" t="str">
        <f t="shared" si="99"/>
        <v>Cincuenta Mil Bolívares con 00/100</v>
      </c>
      <c r="Q655" s="403" t="str">
        <f t="shared" si="96"/>
        <v/>
      </c>
    </row>
    <row r="656" spans="1:17" x14ac:dyDescent="0.25">
      <c r="A656" s="1">
        <f t="shared" si="97"/>
        <v>655</v>
      </c>
      <c r="C656" s="12" t="s">
        <v>17</v>
      </c>
      <c r="D656" s="2">
        <v>43049</v>
      </c>
      <c r="E656" s="3">
        <v>30000</v>
      </c>
      <c r="F656" t="s">
        <v>84</v>
      </c>
      <c r="G656" t="s">
        <v>85</v>
      </c>
      <c r="H656" t="s">
        <v>86</v>
      </c>
      <c r="I656" s="10" t="s">
        <v>566</v>
      </c>
      <c r="J656" s="167" t="s">
        <v>22</v>
      </c>
      <c r="L656" s="9" t="str">
        <f t="shared" si="93"/>
        <v>00655</v>
      </c>
      <c r="M656" s="71" t="str">
        <f t="shared" si="94"/>
        <v>10 de noviembre de 2017</v>
      </c>
      <c r="N656" s="39">
        <f t="shared" si="95"/>
        <v>43040</v>
      </c>
      <c r="O656" s="9" t="str">
        <f t="shared" si="98"/>
        <v>30.000,00</v>
      </c>
      <c r="P656" s="8" t="str">
        <f t="shared" si="99"/>
        <v>Treinta Mil Bolívares con 00/100</v>
      </c>
      <c r="Q656" s="403" t="str">
        <f t="shared" si="96"/>
        <v/>
      </c>
    </row>
    <row r="657" spans="1:17" x14ac:dyDescent="0.25">
      <c r="A657" s="1">
        <f t="shared" si="97"/>
        <v>656</v>
      </c>
      <c r="C657" s="12" t="s">
        <v>17</v>
      </c>
      <c r="D657" s="2">
        <v>43048</v>
      </c>
      <c r="E657" s="3">
        <v>50000</v>
      </c>
      <c r="F657" t="s">
        <v>185</v>
      </c>
      <c r="G657" t="s">
        <v>186</v>
      </c>
      <c r="H657" t="s">
        <v>187</v>
      </c>
      <c r="I657" s="10" t="s">
        <v>561</v>
      </c>
      <c r="J657" s="167" t="s">
        <v>22</v>
      </c>
      <c r="L657" s="9" t="str">
        <f t="shared" si="93"/>
        <v>00656</v>
      </c>
      <c r="M657" s="71" t="str">
        <f t="shared" si="94"/>
        <v>09 de noviembre de 2017</v>
      </c>
      <c r="N657" s="39">
        <f t="shared" si="95"/>
        <v>43040</v>
      </c>
      <c r="O657" s="9" t="str">
        <f t="shared" si="98"/>
        <v>50.000,00</v>
      </c>
      <c r="P657" s="8" t="str">
        <f t="shared" si="99"/>
        <v>Cincuenta Mil Bolívares con 00/100</v>
      </c>
      <c r="Q657" s="403" t="str">
        <f t="shared" si="96"/>
        <v/>
      </c>
    </row>
    <row r="658" spans="1:17" x14ac:dyDescent="0.25">
      <c r="A658" s="1">
        <f t="shared" si="97"/>
        <v>657</v>
      </c>
      <c r="C658" s="12" t="s">
        <v>17</v>
      </c>
      <c r="D658" s="2">
        <v>43048</v>
      </c>
      <c r="E658" s="3">
        <f>35000+50000</f>
        <v>85000</v>
      </c>
      <c r="F658" t="s">
        <v>162</v>
      </c>
      <c r="G658" t="s">
        <v>163</v>
      </c>
      <c r="H658" t="s">
        <v>164</v>
      </c>
      <c r="I658" s="10" t="s">
        <v>567</v>
      </c>
      <c r="J658" s="167" t="s">
        <v>22</v>
      </c>
      <c r="L658" s="9" t="str">
        <f t="shared" si="93"/>
        <v>00657</v>
      </c>
      <c r="M658" s="71" t="str">
        <f t="shared" si="94"/>
        <v>09 de noviembre de 2017</v>
      </c>
      <c r="N658" s="39">
        <f t="shared" si="95"/>
        <v>43040</v>
      </c>
      <c r="O658" s="9" t="str">
        <f t="shared" si="98"/>
        <v>85.000,00</v>
      </c>
      <c r="P658" s="8" t="str">
        <f t="shared" si="99"/>
        <v>Ochenta y Cinco Mil Bolívares con 00/100</v>
      </c>
      <c r="Q658" s="403" t="str">
        <f t="shared" si="96"/>
        <v/>
      </c>
    </row>
    <row r="659" spans="1:17" x14ac:dyDescent="0.25">
      <c r="A659" s="1">
        <f t="shared" si="97"/>
        <v>658</v>
      </c>
      <c r="C659" s="12" t="s">
        <v>17</v>
      </c>
      <c r="D659" s="2">
        <v>43049</v>
      </c>
      <c r="E659" s="3">
        <f>35000+50000+50000</f>
        <v>135000</v>
      </c>
      <c r="F659" t="s">
        <v>90</v>
      </c>
      <c r="G659" t="s">
        <v>91</v>
      </c>
      <c r="H659" t="s">
        <v>92</v>
      </c>
      <c r="I659" s="10" t="s">
        <v>568</v>
      </c>
      <c r="J659" s="167" t="s">
        <v>22</v>
      </c>
      <c r="L659" s="9" t="str">
        <f t="shared" si="93"/>
        <v>00658</v>
      </c>
      <c r="M659" s="71" t="str">
        <f t="shared" si="94"/>
        <v>10 de noviembre de 2017</v>
      </c>
      <c r="N659" s="39">
        <f t="shared" si="95"/>
        <v>43040</v>
      </c>
      <c r="O659" s="9" t="str">
        <f t="shared" si="98"/>
        <v>135.000,00</v>
      </c>
      <c r="P659" s="8" t="str">
        <f t="shared" si="99"/>
        <v>Ciento Treinta y Cinco Mil Bolívares con 00/100</v>
      </c>
      <c r="Q659" s="403" t="str">
        <f t="shared" si="96"/>
        <v/>
      </c>
    </row>
    <row r="660" spans="1:17" x14ac:dyDescent="0.25">
      <c r="A660" s="1">
        <f t="shared" si="97"/>
        <v>659</v>
      </c>
      <c r="C660" s="12" t="s">
        <v>17</v>
      </c>
      <c r="D660" s="2">
        <v>43049</v>
      </c>
      <c r="E660" s="3">
        <v>35000</v>
      </c>
      <c r="F660" t="s">
        <v>48</v>
      </c>
      <c r="G660" t="s">
        <v>49</v>
      </c>
      <c r="H660" t="s">
        <v>50</v>
      </c>
      <c r="I660" s="10" t="s">
        <v>566</v>
      </c>
      <c r="J660" s="167" t="s">
        <v>22</v>
      </c>
      <c r="L660" s="9" t="str">
        <f t="shared" si="93"/>
        <v>00659</v>
      </c>
      <c r="M660" s="71" t="str">
        <f t="shared" si="94"/>
        <v>10 de noviembre de 2017</v>
      </c>
      <c r="N660" s="39">
        <f t="shared" si="95"/>
        <v>43040</v>
      </c>
      <c r="O660" s="9" t="str">
        <f t="shared" si="98"/>
        <v>35.000,00</v>
      </c>
      <c r="P660" s="8" t="str">
        <f t="shared" si="99"/>
        <v>Treinta y Cinco Mil Bolívares con 00/100</v>
      </c>
      <c r="Q660" s="403" t="str">
        <f t="shared" si="96"/>
        <v/>
      </c>
    </row>
    <row r="661" spans="1:17" x14ac:dyDescent="0.25">
      <c r="A661" s="1">
        <f t="shared" si="97"/>
        <v>660</v>
      </c>
      <c r="C661" s="12" t="s">
        <v>17</v>
      </c>
      <c r="D661" s="2">
        <v>43050</v>
      </c>
      <c r="E661" s="3">
        <f>2*35000+50000</f>
        <v>120000</v>
      </c>
      <c r="F661" t="s">
        <v>287</v>
      </c>
      <c r="G661" t="s">
        <v>288</v>
      </c>
      <c r="H661" t="s">
        <v>289</v>
      </c>
      <c r="I661" s="10" t="s">
        <v>569</v>
      </c>
      <c r="J661" s="167" t="s">
        <v>22</v>
      </c>
      <c r="L661" s="9" t="str">
        <f t="shared" si="93"/>
        <v>00660</v>
      </c>
      <c r="M661" s="71" t="str">
        <f t="shared" si="94"/>
        <v>11 de noviembre de 2017</v>
      </c>
      <c r="N661" s="39">
        <f t="shared" si="95"/>
        <v>43040</v>
      </c>
      <c r="O661" s="9" t="str">
        <f t="shared" si="98"/>
        <v>120.000,00</v>
      </c>
      <c r="P661" s="8" t="str">
        <f t="shared" si="99"/>
        <v>Ciento Veinte Mil Bolívares con 00/100</v>
      </c>
      <c r="Q661" s="403" t="str">
        <f t="shared" si="96"/>
        <v/>
      </c>
    </row>
    <row r="662" spans="1:17" x14ac:dyDescent="0.25">
      <c r="A662" s="1">
        <f t="shared" si="97"/>
        <v>661</v>
      </c>
      <c r="C662" s="12" t="s">
        <v>17</v>
      </c>
      <c r="D662" s="2">
        <v>43050</v>
      </c>
      <c r="E662" s="3">
        <v>50000</v>
      </c>
      <c r="F662" t="s">
        <v>36</v>
      </c>
      <c r="G662" t="s">
        <v>37</v>
      </c>
      <c r="H662" t="s">
        <v>38</v>
      </c>
      <c r="I662" s="10" t="s">
        <v>561</v>
      </c>
      <c r="J662" s="167" t="s">
        <v>22</v>
      </c>
      <c r="L662" s="9" t="str">
        <f t="shared" si="93"/>
        <v>00661</v>
      </c>
      <c r="M662" s="71" t="str">
        <f t="shared" si="94"/>
        <v>11 de noviembre de 2017</v>
      </c>
      <c r="N662" s="39">
        <f t="shared" si="95"/>
        <v>43040</v>
      </c>
      <c r="O662" s="9" t="str">
        <f t="shared" si="98"/>
        <v>50.000,00</v>
      </c>
      <c r="P662" s="8" t="str">
        <f t="shared" si="99"/>
        <v>Cincuenta Mil Bolívares con 00/100</v>
      </c>
      <c r="Q662" s="403" t="str">
        <f t="shared" si="96"/>
        <v/>
      </c>
    </row>
    <row r="663" spans="1:17" x14ac:dyDescent="0.25">
      <c r="A663" s="1">
        <f t="shared" si="97"/>
        <v>662</v>
      </c>
      <c r="C663" s="12" t="s">
        <v>17</v>
      </c>
      <c r="D663" s="2">
        <v>43051</v>
      </c>
      <c r="E663" s="3">
        <f>35000+50000</f>
        <v>85000</v>
      </c>
      <c r="F663" t="s">
        <v>219</v>
      </c>
      <c r="G663" t="s">
        <v>220</v>
      </c>
      <c r="H663" t="s">
        <v>221</v>
      </c>
      <c r="I663" s="10" t="s">
        <v>567</v>
      </c>
      <c r="J663" s="167" t="s">
        <v>22</v>
      </c>
      <c r="L663" s="9" t="str">
        <f t="shared" si="93"/>
        <v>00662</v>
      </c>
      <c r="M663" s="71" t="str">
        <f t="shared" si="94"/>
        <v>12 de noviembre de 2017</v>
      </c>
      <c r="N663" s="39">
        <f t="shared" si="95"/>
        <v>43040</v>
      </c>
      <c r="O663" s="9" t="str">
        <f t="shared" si="98"/>
        <v>85.000,00</v>
      </c>
      <c r="P663" s="8" t="str">
        <f t="shared" si="99"/>
        <v>Ochenta y Cinco Mil Bolívares con 00/100</v>
      </c>
      <c r="Q663" s="403" t="str">
        <f t="shared" si="96"/>
        <v/>
      </c>
    </row>
    <row r="664" spans="1:17" x14ac:dyDescent="0.25">
      <c r="A664" s="1">
        <f t="shared" si="97"/>
        <v>663</v>
      </c>
      <c r="C664" s="12" t="s">
        <v>17</v>
      </c>
      <c r="D664" s="2">
        <v>43051</v>
      </c>
      <c r="E664" s="3">
        <v>10000</v>
      </c>
      <c r="F664" t="s">
        <v>144</v>
      </c>
      <c r="G664" t="s">
        <v>145</v>
      </c>
      <c r="H664" t="s">
        <v>146</v>
      </c>
      <c r="I664" s="10" t="s">
        <v>566</v>
      </c>
      <c r="J664" s="167" t="s">
        <v>22</v>
      </c>
      <c r="L664" s="9" t="str">
        <f t="shared" si="93"/>
        <v>00663</v>
      </c>
      <c r="M664" s="71" t="str">
        <f t="shared" si="94"/>
        <v>12 de noviembre de 2017</v>
      </c>
      <c r="N664" s="39">
        <f t="shared" si="95"/>
        <v>43040</v>
      </c>
      <c r="O664" s="9" t="str">
        <f t="shared" si="98"/>
        <v>10.000,00</v>
      </c>
      <c r="P664" s="8" t="str">
        <f t="shared" si="99"/>
        <v>Diez Mil Bolívares con 00/100</v>
      </c>
      <c r="Q664" s="403" t="str">
        <f t="shared" si="96"/>
        <v/>
      </c>
    </row>
    <row r="665" spans="1:17" x14ac:dyDescent="0.25">
      <c r="A665" s="1">
        <f t="shared" si="97"/>
        <v>664</v>
      </c>
      <c r="C665" s="12" t="s">
        <v>17</v>
      </c>
      <c r="D665" s="2">
        <v>43053</v>
      </c>
      <c r="E665" s="3">
        <v>50000</v>
      </c>
      <c r="F665" t="s">
        <v>107</v>
      </c>
      <c r="G665" t="s">
        <v>108</v>
      </c>
      <c r="H665" t="s">
        <v>109</v>
      </c>
      <c r="I665" s="10" t="s">
        <v>561</v>
      </c>
      <c r="J665" s="167" t="s">
        <v>22</v>
      </c>
      <c r="L665" s="9" t="str">
        <f t="shared" si="93"/>
        <v>00664</v>
      </c>
      <c r="M665" s="71" t="str">
        <f t="shared" si="94"/>
        <v>14 de noviembre de 2017</v>
      </c>
      <c r="N665" s="39">
        <f t="shared" si="95"/>
        <v>43040</v>
      </c>
      <c r="O665" s="9" t="str">
        <f t="shared" si="98"/>
        <v>50.000,00</v>
      </c>
      <c r="P665" s="8" t="str">
        <f t="shared" si="99"/>
        <v>Cincuenta Mil Bolívares con 00/100</v>
      </c>
      <c r="Q665" s="403" t="str">
        <f t="shared" si="96"/>
        <v/>
      </c>
    </row>
    <row r="666" spans="1:17" ht="15.75" thickBot="1" x14ac:dyDescent="0.3">
      <c r="A666" s="1">
        <f t="shared" si="97"/>
        <v>665</v>
      </c>
      <c r="C666" s="12" t="s">
        <v>17</v>
      </c>
      <c r="D666" s="2">
        <v>43052</v>
      </c>
      <c r="E666" s="3">
        <v>20000</v>
      </c>
      <c r="F666" t="s">
        <v>118</v>
      </c>
      <c r="G666" t="s">
        <v>119</v>
      </c>
      <c r="H666" t="s">
        <v>120</v>
      </c>
      <c r="I666" s="10" t="s">
        <v>546</v>
      </c>
      <c r="J666" s="167" t="s">
        <v>22</v>
      </c>
      <c r="L666" s="9" t="str">
        <f t="shared" si="93"/>
        <v>00665</v>
      </c>
      <c r="M666" s="71" t="str">
        <f t="shared" si="94"/>
        <v>13 de noviembre de 2017</v>
      </c>
      <c r="N666" s="39">
        <f t="shared" si="95"/>
        <v>43040</v>
      </c>
      <c r="O666" s="9" t="str">
        <f t="shared" si="98"/>
        <v>20.000,00</v>
      </c>
      <c r="P666" s="8" t="str">
        <f t="shared" si="99"/>
        <v>Veinte Mil Bolívares con 00/100</v>
      </c>
      <c r="Q666" s="403" t="str">
        <f t="shared" si="96"/>
        <v/>
      </c>
    </row>
    <row r="667" spans="1:17" ht="15.75" thickBot="1" x14ac:dyDescent="0.3">
      <c r="A667" s="1">
        <f t="shared" si="97"/>
        <v>666</v>
      </c>
      <c r="C667" s="12" t="s">
        <v>17</v>
      </c>
      <c r="D667" s="2">
        <v>43048</v>
      </c>
      <c r="E667" s="3">
        <v>35000</v>
      </c>
      <c r="F667" t="s">
        <v>319</v>
      </c>
      <c r="G667" s="27" t="s">
        <v>58</v>
      </c>
      <c r="H667" t="s">
        <v>320</v>
      </c>
      <c r="I667" s="10" t="s">
        <v>545</v>
      </c>
      <c r="J667" s="167" t="s">
        <v>22</v>
      </c>
      <c r="L667" s="9" t="str">
        <f t="shared" si="93"/>
        <v>00666</v>
      </c>
      <c r="M667" s="71" t="str">
        <f t="shared" si="94"/>
        <v>09 de noviembre de 2017</v>
      </c>
      <c r="N667" s="39">
        <f t="shared" si="95"/>
        <v>43040</v>
      </c>
      <c r="O667" s="9" t="str">
        <f t="shared" si="98"/>
        <v>35.000,00</v>
      </c>
      <c r="P667" s="8" t="str">
        <f t="shared" si="99"/>
        <v>Treinta y Cinco Mil Bolívares con 00/100</v>
      </c>
      <c r="Q667" s="403" t="str">
        <f t="shared" si="96"/>
        <v/>
      </c>
    </row>
    <row r="668" spans="1:17" x14ac:dyDescent="0.25">
      <c r="A668" s="1">
        <f t="shared" si="97"/>
        <v>667</v>
      </c>
      <c r="C668" s="12" t="s">
        <v>17</v>
      </c>
      <c r="D668" s="2">
        <v>43053</v>
      </c>
      <c r="E668" s="3">
        <f>35000+50000</f>
        <v>85000</v>
      </c>
      <c r="F668" t="s">
        <v>264</v>
      </c>
      <c r="G668" t="s">
        <v>265</v>
      </c>
      <c r="H668" t="s">
        <v>266</v>
      </c>
      <c r="I668" s="10" t="s">
        <v>567</v>
      </c>
      <c r="J668" s="167" t="s">
        <v>22</v>
      </c>
      <c r="L668" s="9" t="str">
        <f t="shared" si="93"/>
        <v>00667</v>
      </c>
      <c r="M668" s="71" t="str">
        <f t="shared" si="94"/>
        <v>14 de noviembre de 2017</v>
      </c>
      <c r="N668" s="39">
        <f t="shared" si="95"/>
        <v>43040</v>
      </c>
      <c r="O668" s="9" t="str">
        <f t="shared" si="98"/>
        <v>85.000,00</v>
      </c>
      <c r="P668" s="8" t="str">
        <f t="shared" si="99"/>
        <v>Ochenta y Cinco Mil Bolívares con 00/100</v>
      </c>
      <c r="Q668" s="403" t="str">
        <f t="shared" si="96"/>
        <v/>
      </c>
    </row>
    <row r="669" spans="1:17" x14ac:dyDescent="0.25">
      <c r="A669" s="1">
        <f t="shared" si="97"/>
        <v>668</v>
      </c>
      <c r="C669" s="12" t="s">
        <v>17</v>
      </c>
      <c r="D669" s="2">
        <v>43053</v>
      </c>
      <c r="E669" s="3">
        <v>35000</v>
      </c>
      <c r="F669" t="s">
        <v>201</v>
      </c>
      <c r="G669" t="s">
        <v>202</v>
      </c>
      <c r="H669" t="s">
        <v>203</v>
      </c>
      <c r="I669" s="10" t="s">
        <v>545</v>
      </c>
      <c r="J669" s="167" t="s">
        <v>22</v>
      </c>
      <c r="L669" s="9" t="str">
        <f t="shared" si="93"/>
        <v>00668</v>
      </c>
      <c r="M669" s="71" t="str">
        <f t="shared" si="94"/>
        <v>14 de noviembre de 2017</v>
      </c>
      <c r="N669" s="39">
        <f t="shared" si="95"/>
        <v>43040</v>
      </c>
      <c r="O669" s="9" t="str">
        <f t="shared" si="98"/>
        <v>35.000,00</v>
      </c>
      <c r="P669" s="8" t="str">
        <f t="shared" si="99"/>
        <v>Treinta y Cinco Mil Bolívares con 00/100</v>
      </c>
      <c r="Q669" s="403" t="str">
        <f t="shared" si="96"/>
        <v/>
      </c>
    </row>
    <row r="670" spans="1:17" x14ac:dyDescent="0.25">
      <c r="A670" s="1">
        <f t="shared" si="97"/>
        <v>669</v>
      </c>
      <c r="C670" s="12" t="s">
        <v>17</v>
      </c>
      <c r="D670" s="2">
        <v>43053</v>
      </c>
      <c r="E670" s="3">
        <f>2*50000</f>
        <v>100000</v>
      </c>
      <c r="F670" t="s">
        <v>66</v>
      </c>
      <c r="G670" t="s">
        <v>67</v>
      </c>
      <c r="H670" t="s">
        <v>68</v>
      </c>
      <c r="I670" s="10" t="s">
        <v>570</v>
      </c>
      <c r="J670" s="167" t="s">
        <v>22</v>
      </c>
      <c r="L670" s="9" t="str">
        <f t="shared" si="93"/>
        <v>00669</v>
      </c>
      <c r="M670" s="71" t="str">
        <f t="shared" si="94"/>
        <v>14 de noviembre de 2017</v>
      </c>
      <c r="N670" s="39">
        <f t="shared" si="95"/>
        <v>43040</v>
      </c>
      <c r="O670" s="9" t="str">
        <f t="shared" si="98"/>
        <v>100.000,00</v>
      </c>
      <c r="P670" s="8" t="str">
        <f t="shared" si="99"/>
        <v>Cien Mil Bolívares con 00/100</v>
      </c>
      <c r="Q670" s="403" t="str">
        <f t="shared" si="96"/>
        <v/>
      </c>
    </row>
    <row r="671" spans="1:17" x14ac:dyDescent="0.25">
      <c r="A671" s="1">
        <f t="shared" si="97"/>
        <v>670</v>
      </c>
      <c r="C671" s="12" t="s">
        <v>17</v>
      </c>
      <c r="D671" s="2">
        <v>43054</v>
      </c>
      <c r="E671" s="3">
        <v>15000</v>
      </c>
      <c r="F671" t="s">
        <v>80</v>
      </c>
      <c r="G671" t="s">
        <v>81</v>
      </c>
      <c r="H671" t="s">
        <v>82</v>
      </c>
      <c r="I671" s="10" t="s">
        <v>571</v>
      </c>
      <c r="J671" s="167" t="s">
        <v>22</v>
      </c>
      <c r="L671" s="9" t="str">
        <f t="shared" si="93"/>
        <v>00670</v>
      </c>
      <c r="M671" s="71" t="str">
        <f t="shared" si="94"/>
        <v>15 de noviembre de 2017</v>
      </c>
      <c r="N671" s="39">
        <f t="shared" si="95"/>
        <v>43040</v>
      </c>
      <c r="O671" s="9" t="str">
        <f t="shared" si="98"/>
        <v>15.000,00</v>
      </c>
      <c r="P671" s="8" t="str">
        <f t="shared" si="99"/>
        <v>Quince Mil Bolívares con 00/100</v>
      </c>
      <c r="Q671" s="403" t="str">
        <f t="shared" si="96"/>
        <v/>
      </c>
    </row>
    <row r="672" spans="1:17" x14ac:dyDescent="0.25">
      <c r="A672" s="1">
        <f t="shared" si="97"/>
        <v>671</v>
      </c>
      <c r="C672" s="12" t="s">
        <v>17</v>
      </c>
      <c r="D672" s="2">
        <v>43054</v>
      </c>
      <c r="E672" s="3">
        <f>35000+50000+50000+50000</f>
        <v>185000</v>
      </c>
      <c r="F672" t="s">
        <v>408</v>
      </c>
      <c r="G672" t="s">
        <v>409</v>
      </c>
      <c r="H672" t="s">
        <v>410</v>
      </c>
      <c r="I672" s="10" t="s">
        <v>572</v>
      </c>
      <c r="J672" s="167" t="s">
        <v>22</v>
      </c>
      <c r="L672" s="9" t="str">
        <f t="shared" si="93"/>
        <v>00671</v>
      </c>
      <c r="M672" s="71" t="str">
        <f t="shared" si="94"/>
        <v>15 de noviembre de 2017</v>
      </c>
      <c r="N672" s="39">
        <f t="shared" si="95"/>
        <v>43040</v>
      </c>
      <c r="O672" s="9" t="str">
        <f t="shared" si="98"/>
        <v>185.000,00</v>
      </c>
      <c r="P672" s="8" t="str">
        <f t="shared" si="99"/>
        <v>Ciento Ochenta y Cinco Mil Bolívares con 00/100</v>
      </c>
      <c r="Q672" s="403" t="str">
        <f t="shared" si="96"/>
        <v/>
      </c>
    </row>
    <row r="673" spans="1:17" x14ac:dyDescent="0.25">
      <c r="A673" s="1">
        <f t="shared" si="97"/>
        <v>672</v>
      </c>
      <c r="C673" s="12" t="s">
        <v>17</v>
      </c>
      <c r="D673" s="2">
        <v>43054</v>
      </c>
      <c r="E673" s="3">
        <v>15000</v>
      </c>
      <c r="F673" t="s">
        <v>402</v>
      </c>
      <c r="G673" t="s">
        <v>403</v>
      </c>
      <c r="H673" t="s">
        <v>404</v>
      </c>
      <c r="I673" s="10" t="s">
        <v>566</v>
      </c>
      <c r="J673" s="167" t="s">
        <v>22</v>
      </c>
      <c r="L673" s="9" t="str">
        <f t="shared" si="93"/>
        <v>00672</v>
      </c>
      <c r="M673" s="71" t="str">
        <f t="shared" si="94"/>
        <v>15 de noviembre de 2017</v>
      </c>
      <c r="N673" s="39">
        <f t="shared" si="95"/>
        <v>43040</v>
      </c>
      <c r="O673" s="9" t="str">
        <f t="shared" si="98"/>
        <v>15.000,00</v>
      </c>
      <c r="P673" s="8" t="str">
        <f t="shared" si="99"/>
        <v>Quince Mil Bolívares con 00/100</v>
      </c>
      <c r="Q673" s="403" t="str">
        <f t="shared" si="96"/>
        <v/>
      </c>
    </row>
    <row r="674" spans="1:17" x14ac:dyDescent="0.25">
      <c r="A674" s="1">
        <f t="shared" si="97"/>
        <v>673</v>
      </c>
      <c r="C674" s="12" t="s">
        <v>17</v>
      </c>
      <c r="D674" s="2">
        <v>43049</v>
      </c>
      <c r="E674" s="3">
        <v>15000</v>
      </c>
      <c r="F674" t="s">
        <v>44</v>
      </c>
      <c r="G674" t="s">
        <v>45</v>
      </c>
      <c r="H674" t="s">
        <v>46</v>
      </c>
      <c r="I674" s="10" t="s">
        <v>571</v>
      </c>
      <c r="J674" s="167" t="s">
        <v>22</v>
      </c>
      <c r="L674" s="9" t="str">
        <f t="shared" si="93"/>
        <v>00673</v>
      </c>
      <c r="M674" s="71" t="str">
        <f t="shared" si="94"/>
        <v>10 de noviembre de 2017</v>
      </c>
      <c r="N674" s="39">
        <f t="shared" si="95"/>
        <v>43040</v>
      </c>
      <c r="O674" s="9" t="str">
        <f t="shared" si="98"/>
        <v>15.000,00</v>
      </c>
      <c r="P674" s="8" t="str">
        <f t="shared" si="99"/>
        <v>Quince Mil Bolívares con 00/100</v>
      </c>
      <c r="Q674" s="403" t="str">
        <f t="shared" si="96"/>
        <v/>
      </c>
    </row>
    <row r="675" spans="1:17" ht="15.75" thickBot="1" x14ac:dyDescent="0.3">
      <c r="A675" s="1">
        <f t="shared" si="97"/>
        <v>674</v>
      </c>
      <c r="C675" s="12" t="s">
        <v>17</v>
      </c>
      <c r="D675" s="2">
        <v>43054</v>
      </c>
      <c r="E675" s="3">
        <f>35000+50000</f>
        <v>85000</v>
      </c>
      <c r="F675" t="s">
        <v>484</v>
      </c>
      <c r="G675" t="s">
        <v>485</v>
      </c>
      <c r="H675" t="s">
        <v>486</v>
      </c>
      <c r="I675" s="10" t="s">
        <v>567</v>
      </c>
      <c r="J675" s="167" t="s">
        <v>22</v>
      </c>
      <c r="L675" s="9" t="str">
        <f t="shared" si="93"/>
        <v>00674</v>
      </c>
      <c r="M675" s="71" t="str">
        <f t="shared" si="94"/>
        <v>15 de noviembre de 2017</v>
      </c>
      <c r="N675" s="39">
        <f t="shared" si="95"/>
        <v>43040</v>
      </c>
      <c r="O675" s="9" t="str">
        <f t="shared" si="98"/>
        <v>85.000,00</v>
      </c>
      <c r="P675" s="8" t="str">
        <f t="shared" si="99"/>
        <v>Ochenta y Cinco Mil Bolívares con 00/100</v>
      </c>
      <c r="Q675" s="403" t="str">
        <f t="shared" si="96"/>
        <v/>
      </c>
    </row>
    <row r="676" spans="1:17" ht="15.75" thickBot="1" x14ac:dyDescent="0.3">
      <c r="A676" s="1">
        <f t="shared" si="97"/>
        <v>675</v>
      </c>
      <c r="C676" s="12" t="s">
        <v>17</v>
      </c>
      <c r="D676" s="2">
        <v>43054</v>
      </c>
      <c r="E676" s="3">
        <f>35000+50000</f>
        <v>85000</v>
      </c>
      <c r="F676" t="s">
        <v>239</v>
      </c>
      <c r="G676" s="225" t="s">
        <v>240</v>
      </c>
      <c r="H676" t="s">
        <v>241</v>
      </c>
      <c r="I676" s="10" t="s">
        <v>567</v>
      </c>
      <c r="J676" s="167" t="s">
        <v>22</v>
      </c>
      <c r="L676" s="9" t="str">
        <f t="shared" si="93"/>
        <v>00675</v>
      </c>
      <c r="M676" s="71" t="str">
        <f t="shared" si="94"/>
        <v>15 de noviembre de 2017</v>
      </c>
      <c r="N676" s="39">
        <f t="shared" si="95"/>
        <v>43040</v>
      </c>
      <c r="O676" s="9" t="str">
        <f t="shared" si="98"/>
        <v>85.000,00</v>
      </c>
      <c r="P676" s="8" t="str">
        <f t="shared" si="99"/>
        <v>Ochenta y Cinco Mil Bolívares con 00/100</v>
      </c>
      <c r="Q676" s="403" t="str">
        <f t="shared" si="96"/>
        <v/>
      </c>
    </row>
    <row r="677" spans="1:17" ht="15.75" thickBot="1" x14ac:dyDescent="0.3">
      <c r="A677" s="1">
        <f t="shared" si="97"/>
        <v>676</v>
      </c>
      <c r="C677" s="12" t="s">
        <v>17</v>
      </c>
      <c r="D677" s="2">
        <v>43054</v>
      </c>
      <c r="E677" s="3">
        <v>50000</v>
      </c>
      <c r="F677" t="s">
        <v>100</v>
      </c>
      <c r="G677" t="s">
        <v>95</v>
      </c>
      <c r="H677" t="s">
        <v>101</v>
      </c>
      <c r="I677" s="10" t="s">
        <v>561</v>
      </c>
      <c r="J677" s="167" t="s">
        <v>22</v>
      </c>
      <c r="L677" s="9" t="str">
        <f t="shared" si="93"/>
        <v>00676</v>
      </c>
      <c r="M677" s="71" t="str">
        <f t="shared" si="94"/>
        <v>15 de noviembre de 2017</v>
      </c>
      <c r="N677" s="39">
        <f t="shared" si="95"/>
        <v>43040</v>
      </c>
      <c r="O677" s="9" t="str">
        <f t="shared" si="98"/>
        <v>50.000,00</v>
      </c>
      <c r="P677" s="8" t="str">
        <f t="shared" si="99"/>
        <v>Cincuenta Mil Bolívares con 00/100</v>
      </c>
      <c r="Q677" s="403" t="str">
        <f t="shared" si="96"/>
        <v/>
      </c>
    </row>
    <row r="678" spans="1:17" ht="15.75" thickBot="1" x14ac:dyDescent="0.3">
      <c r="A678" s="1">
        <f t="shared" si="97"/>
        <v>677</v>
      </c>
      <c r="C678" s="12" t="s">
        <v>17</v>
      </c>
      <c r="D678" s="2">
        <v>43055</v>
      </c>
      <c r="E678" s="3">
        <v>54000</v>
      </c>
      <c r="F678" s="31" t="s">
        <v>57</v>
      </c>
      <c r="G678" s="27" t="s">
        <v>58</v>
      </c>
      <c r="H678" s="32" t="s">
        <v>59</v>
      </c>
      <c r="I678" s="10" t="s">
        <v>561</v>
      </c>
      <c r="J678" s="167" t="s">
        <v>22</v>
      </c>
      <c r="K678" s="33"/>
      <c r="L678" s="9" t="str">
        <f t="shared" si="93"/>
        <v>00677</v>
      </c>
      <c r="M678" s="71" t="str">
        <f t="shared" si="94"/>
        <v>16 de noviembre de 2017</v>
      </c>
      <c r="N678" s="39">
        <f t="shared" si="95"/>
        <v>43040</v>
      </c>
      <c r="O678" s="9" t="str">
        <f t="shared" si="98"/>
        <v>54.000,00</v>
      </c>
      <c r="P678" s="8" t="str">
        <f t="shared" si="99"/>
        <v>Cincuenta y Cuatro Mil Bolívares con 00/100</v>
      </c>
      <c r="Q678" s="403" t="str">
        <f t="shared" si="96"/>
        <v/>
      </c>
    </row>
    <row r="679" spans="1:17" x14ac:dyDescent="0.25">
      <c r="A679" s="1">
        <f t="shared" si="97"/>
        <v>678</v>
      </c>
      <c r="C679" s="12" t="s">
        <v>17</v>
      </c>
      <c r="D679" s="2">
        <v>43055</v>
      </c>
      <c r="E679" s="3">
        <v>35000</v>
      </c>
      <c r="F679" t="s">
        <v>537</v>
      </c>
      <c r="G679" t="s">
        <v>538</v>
      </c>
      <c r="H679" t="s">
        <v>539</v>
      </c>
      <c r="I679" s="10" t="s">
        <v>545</v>
      </c>
      <c r="J679" s="167" t="s">
        <v>22</v>
      </c>
      <c r="L679" s="9" t="str">
        <f t="shared" si="93"/>
        <v>00678</v>
      </c>
      <c r="M679" s="71" t="str">
        <f t="shared" si="94"/>
        <v>16 de noviembre de 2017</v>
      </c>
      <c r="N679" s="39">
        <f t="shared" si="95"/>
        <v>43040</v>
      </c>
      <c r="O679" s="9" t="str">
        <f t="shared" si="98"/>
        <v>35.000,00</v>
      </c>
      <c r="P679" s="8" t="str">
        <f t="shared" si="99"/>
        <v>Treinta y Cinco Mil Bolívares con 00/100</v>
      </c>
      <c r="Q679" s="403" t="str">
        <f t="shared" si="96"/>
        <v/>
      </c>
    </row>
    <row r="680" spans="1:17" x14ac:dyDescent="0.25">
      <c r="A680" s="1">
        <f t="shared" si="97"/>
        <v>679</v>
      </c>
      <c r="C680" s="12" t="s">
        <v>17</v>
      </c>
      <c r="D680" s="2">
        <v>43056</v>
      </c>
      <c r="E680" s="3">
        <v>50000</v>
      </c>
      <c r="F680" t="s">
        <v>122</v>
      </c>
      <c r="G680" t="s">
        <v>123</v>
      </c>
      <c r="H680" t="s">
        <v>124</v>
      </c>
      <c r="I680" s="10" t="s">
        <v>561</v>
      </c>
      <c r="J680" s="167" t="s">
        <v>22</v>
      </c>
      <c r="L680" s="9" t="str">
        <f t="shared" si="93"/>
        <v>00679</v>
      </c>
      <c r="M680" s="71" t="str">
        <f t="shared" si="94"/>
        <v>17 de noviembre de 2017</v>
      </c>
      <c r="N680" s="39">
        <f t="shared" si="95"/>
        <v>43040</v>
      </c>
      <c r="O680" s="9" t="str">
        <f t="shared" si="98"/>
        <v>50.000,00</v>
      </c>
      <c r="P680" s="8" t="str">
        <f t="shared" si="99"/>
        <v>Cincuenta Mil Bolívares con 00/100</v>
      </c>
      <c r="Q680" s="403" t="str">
        <f t="shared" si="96"/>
        <v/>
      </c>
    </row>
    <row r="681" spans="1:17" x14ac:dyDescent="0.25">
      <c r="A681" s="1">
        <f t="shared" si="97"/>
        <v>680</v>
      </c>
      <c r="C681" s="12" t="s">
        <v>17</v>
      </c>
      <c r="D681" s="2">
        <v>43056</v>
      </c>
      <c r="E681" s="3">
        <f>35600+14400</f>
        <v>50000</v>
      </c>
      <c r="F681" t="s">
        <v>152</v>
      </c>
      <c r="G681" t="s">
        <v>153</v>
      </c>
      <c r="H681" t="s">
        <v>154</v>
      </c>
      <c r="I681" s="10" t="s">
        <v>573</v>
      </c>
      <c r="J681" s="167" t="s">
        <v>22</v>
      </c>
      <c r="L681" s="9" t="str">
        <f t="shared" si="93"/>
        <v>00680</v>
      </c>
      <c r="M681" s="71" t="str">
        <f t="shared" si="94"/>
        <v>17 de noviembre de 2017</v>
      </c>
      <c r="N681" s="39">
        <f t="shared" si="95"/>
        <v>43040</v>
      </c>
      <c r="O681" s="9" t="str">
        <f t="shared" si="98"/>
        <v>50.000,00</v>
      </c>
      <c r="P681" s="8" t="str">
        <f t="shared" si="99"/>
        <v>Cincuenta Mil Bolívares con 00/100</v>
      </c>
      <c r="Q681" s="403" t="str">
        <f t="shared" si="96"/>
        <v/>
      </c>
    </row>
    <row r="682" spans="1:17" ht="15.75" thickBot="1" x14ac:dyDescent="0.3">
      <c r="A682" s="1">
        <f t="shared" si="97"/>
        <v>681</v>
      </c>
      <c r="C682" s="12" t="s">
        <v>17</v>
      </c>
      <c r="D682" s="2">
        <v>43056</v>
      </c>
      <c r="E682" s="3">
        <v>50000</v>
      </c>
      <c r="F682" t="s">
        <v>134</v>
      </c>
      <c r="G682" t="s">
        <v>135</v>
      </c>
      <c r="H682" t="s">
        <v>136</v>
      </c>
      <c r="I682" s="10" t="s">
        <v>561</v>
      </c>
      <c r="J682" s="167" t="s">
        <v>22</v>
      </c>
      <c r="L682" s="9" t="str">
        <f t="shared" si="93"/>
        <v>00681</v>
      </c>
      <c r="M682" s="71" t="str">
        <f t="shared" si="94"/>
        <v>17 de noviembre de 2017</v>
      </c>
      <c r="N682" s="39">
        <f t="shared" si="95"/>
        <v>43040</v>
      </c>
      <c r="O682" s="9" t="str">
        <f t="shared" si="98"/>
        <v>50.000,00</v>
      </c>
      <c r="P682" s="8" t="str">
        <f t="shared" si="99"/>
        <v>Cincuenta Mil Bolívares con 00/100</v>
      </c>
      <c r="Q682" s="403" t="str">
        <f t="shared" si="96"/>
        <v/>
      </c>
    </row>
    <row r="683" spans="1:17" ht="15.75" thickBot="1" x14ac:dyDescent="0.3">
      <c r="A683" s="1">
        <f t="shared" si="97"/>
        <v>682</v>
      </c>
      <c r="C683" s="12" t="s">
        <v>17</v>
      </c>
      <c r="D683" s="2">
        <v>43056</v>
      </c>
      <c r="E683" s="3">
        <v>100000</v>
      </c>
      <c r="F683" t="s">
        <v>177</v>
      </c>
      <c r="G683" s="27" t="s">
        <v>58</v>
      </c>
      <c r="H683" t="s">
        <v>179</v>
      </c>
      <c r="I683" s="10" t="s">
        <v>574</v>
      </c>
      <c r="J683" s="167" t="s">
        <v>22</v>
      </c>
      <c r="L683" s="9" t="str">
        <f t="shared" si="93"/>
        <v>00682</v>
      </c>
      <c r="M683" s="71" t="str">
        <f t="shared" si="94"/>
        <v>17 de noviembre de 2017</v>
      </c>
      <c r="N683" s="39">
        <f t="shared" si="95"/>
        <v>43040</v>
      </c>
      <c r="O683" s="9" t="str">
        <f t="shared" si="98"/>
        <v>100.000,00</v>
      </c>
      <c r="P683" s="8" t="str">
        <f t="shared" si="99"/>
        <v>Cien Mil Bolívares con 00/100</v>
      </c>
      <c r="Q683" s="403" t="str">
        <f t="shared" si="96"/>
        <v/>
      </c>
    </row>
    <row r="684" spans="1:17" x14ac:dyDescent="0.25">
      <c r="A684" s="1">
        <f t="shared" si="97"/>
        <v>683</v>
      </c>
      <c r="C684" s="12" t="s">
        <v>17</v>
      </c>
      <c r="D684" s="2">
        <v>43056</v>
      </c>
      <c r="E684" s="3">
        <v>40000</v>
      </c>
      <c r="F684" t="s">
        <v>181</v>
      </c>
      <c r="G684" t="s">
        <v>182</v>
      </c>
      <c r="H684" t="s">
        <v>183</v>
      </c>
      <c r="I684" s="10" t="s">
        <v>566</v>
      </c>
      <c r="J684" s="167" t="s">
        <v>22</v>
      </c>
      <c r="L684" s="9" t="str">
        <f t="shared" si="93"/>
        <v>00683</v>
      </c>
      <c r="M684" s="71" t="str">
        <f t="shared" si="94"/>
        <v>17 de noviembre de 2017</v>
      </c>
      <c r="N684" s="39">
        <f t="shared" si="95"/>
        <v>43040</v>
      </c>
      <c r="O684" s="9" t="str">
        <f t="shared" si="98"/>
        <v>40.000,00</v>
      </c>
      <c r="P684" s="8" t="str">
        <f t="shared" si="99"/>
        <v>Cuarenta Mil Bolívares con 00/100</v>
      </c>
      <c r="Q684" s="403" t="str">
        <f t="shared" si="96"/>
        <v/>
      </c>
    </row>
    <row r="685" spans="1:17" ht="15.75" thickBot="1" x14ac:dyDescent="0.3">
      <c r="A685" s="1">
        <f t="shared" si="97"/>
        <v>684</v>
      </c>
      <c r="C685" s="12" t="s">
        <v>17</v>
      </c>
      <c r="D685" s="2">
        <v>43058</v>
      </c>
      <c r="E685" s="3">
        <v>35000</v>
      </c>
      <c r="F685" t="s">
        <v>230</v>
      </c>
      <c r="G685" t="s">
        <v>231</v>
      </c>
      <c r="H685" t="s">
        <v>232</v>
      </c>
      <c r="I685" s="10" t="s">
        <v>545</v>
      </c>
      <c r="J685" s="167" t="s">
        <v>22</v>
      </c>
      <c r="L685" s="9" t="str">
        <f t="shared" si="93"/>
        <v>00684</v>
      </c>
      <c r="M685" s="71" t="str">
        <f t="shared" si="94"/>
        <v>19 de noviembre de 2017</v>
      </c>
      <c r="N685" s="39">
        <f t="shared" si="95"/>
        <v>43040</v>
      </c>
      <c r="O685" s="9" t="str">
        <f t="shared" si="98"/>
        <v>35.000,00</v>
      </c>
      <c r="P685" s="8" t="str">
        <f t="shared" si="99"/>
        <v>Treinta y Cinco Mil Bolívares con 00/100</v>
      </c>
      <c r="Q685" s="403" t="str">
        <f t="shared" si="96"/>
        <v/>
      </c>
    </row>
    <row r="686" spans="1:17" ht="15.75" thickBot="1" x14ac:dyDescent="0.3">
      <c r="A686" s="1">
        <f t="shared" si="97"/>
        <v>685</v>
      </c>
      <c r="C686" s="12" t="s">
        <v>17</v>
      </c>
      <c r="D686" s="2">
        <v>43058</v>
      </c>
      <c r="E686" s="3">
        <v>50000</v>
      </c>
      <c r="F686" t="s">
        <v>319</v>
      </c>
      <c r="G686" s="27" t="s">
        <v>58</v>
      </c>
      <c r="H686" t="s">
        <v>320</v>
      </c>
      <c r="I686" s="10" t="s">
        <v>561</v>
      </c>
      <c r="J686" s="167" t="s">
        <v>22</v>
      </c>
      <c r="L686" s="9" t="str">
        <f t="shared" si="93"/>
        <v>00685</v>
      </c>
      <c r="M686" s="71" t="str">
        <f t="shared" si="94"/>
        <v>19 de noviembre de 2017</v>
      </c>
      <c r="N686" s="39">
        <f t="shared" si="95"/>
        <v>43040</v>
      </c>
      <c r="O686" s="9" t="str">
        <f>TEXT(E686,"#.##0,00")</f>
        <v>50.000,00</v>
      </c>
      <c r="P686" s="8" t="str">
        <f>CONVERTIRNUM(E686)</f>
        <v>Cincuenta Mil Bolívares con 00/100</v>
      </c>
      <c r="Q686" s="403" t="str">
        <f t="shared" si="96"/>
        <v/>
      </c>
    </row>
    <row r="687" spans="1:17" ht="15.75" thickBot="1" x14ac:dyDescent="0.3">
      <c r="A687" s="1">
        <f t="shared" si="97"/>
        <v>686</v>
      </c>
      <c r="C687" s="12" t="s">
        <v>17</v>
      </c>
      <c r="D687" s="2">
        <v>43059</v>
      </c>
      <c r="E687" s="3">
        <v>50000</v>
      </c>
      <c r="F687" t="s">
        <v>558</v>
      </c>
      <c r="G687" t="s">
        <v>559</v>
      </c>
      <c r="H687" t="s">
        <v>560</v>
      </c>
      <c r="I687" s="10" t="s">
        <v>575</v>
      </c>
      <c r="J687" s="167" t="s">
        <v>22</v>
      </c>
      <c r="L687" s="9" t="str">
        <f t="shared" si="93"/>
        <v>00686</v>
      </c>
      <c r="M687" s="71" t="str">
        <f t="shared" si="94"/>
        <v>20 de noviembre de 2017</v>
      </c>
      <c r="N687" s="39">
        <f t="shared" si="95"/>
        <v>43040</v>
      </c>
      <c r="O687" s="9" t="str">
        <f>TEXT(E687,"#.##0,00")</f>
        <v>50.000,00</v>
      </c>
      <c r="P687" s="8" t="str">
        <f>CONVERTIRNUM(E687)</f>
        <v>Cincuenta Mil Bolívares con 00/100</v>
      </c>
      <c r="Q687" s="403" t="str">
        <f t="shared" si="96"/>
        <v/>
      </c>
    </row>
    <row r="688" spans="1:17" ht="15.75" thickBot="1" x14ac:dyDescent="0.3">
      <c r="A688" s="1">
        <f t="shared" si="97"/>
        <v>687</v>
      </c>
      <c r="C688" s="12" t="s">
        <v>17</v>
      </c>
      <c r="D688" s="2">
        <v>43059</v>
      </c>
      <c r="E688" s="3">
        <f>20000*2</f>
        <v>40000</v>
      </c>
      <c r="F688" t="s">
        <v>303</v>
      </c>
      <c r="G688" s="27" t="s">
        <v>58</v>
      </c>
      <c r="H688" t="s">
        <v>304</v>
      </c>
      <c r="I688" s="10" t="s">
        <v>576</v>
      </c>
      <c r="J688" s="167" t="s">
        <v>22</v>
      </c>
      <c r="L688" s="9" t="str">
        <f t="shared" si="93"/>
        <v>00687</v>
      </c>
      <c r="M688" s="71" t="str">
        <f t="shared" si="94"/>
        <v>20 de noviembre de 2017</v>
      </c>
      <c r="N688" s="39">
        <f t="shared" si="95"/>
        <v>43040</v>
      </c>
      <c r="O688" s="9" t="str">
        <f>TEXT(E688,"#.##0,00")</f>
        <v>40.000,00</v>
      </c>
      <c r="P688" s="8" t="str">
        <f>CONVERTIRNUM(E688)</f>
        <v>Cuarenta Mil Bolívares con 00/100</v>
      </c>
      <c r="Q688" s="403" t="str">
        <f t="shared" si="96"/>
        <v/>
      </c>
    </row>
    <row r="689" spans="1:17" x14ac:dyDescent="0.25">
      <c r="A689" s="1">
        <f t="shared" si="97"/>
        <v>688</v>
      </c>
      <c r="C689" s="12" t="s">
        <v>17</v>
      </c>
      <c r="D689" s="2">
        <v>43060</v>
      </c>
      <c r="E689" s="3">
        <f>35000*2+50000*2</f>
        <v>170000</v>
      </c>
      <c r="F689" t="s">
        <v>354</v>
      </c>
      <c r="G689" t="s">
        <v>355</v>
      </c>
      <c r="H689" t="s">
        <v>356</v>
      </c>
      <c r="I689" s="10" t="s">
        <v>577</v>
      </c>
      <c r="J689" s="167" t="s">
        <v>22</v>
      </c>
      <c r="L689" s="9" t="str">
        <f t="shared" si="93"/>
        <v>00688</v>
      </c>
      <c r="M689" s="71" t="str">
        <f t="shared" si="94"/>
        <v>21 de noviembre de 2017</v>
      </c>
      <c r="N689" s="39">
        <f t="shared" si="95"/>
        <v>43040</v>
      </c>
      <c r="O689" s="9" t="str">
        <f>TEXT(E689,"#.##0,00")</f>
        <v>170.000,00</v>
      </c>
      <c r="P689" s="8" t="str">
        <f>CONVERTIRNUM(E689)</f>
        <v>Ciento Setenta Mil Bolívares con 00/100</v>
      </c>
      <c r="Q689" s="403" t="str">
        <f t="shared" si="96"/>
        <v/>
      </c>
    </row>
    <row r="690" spans="1:17" x14ac:dyDescent="0.25">
      <c r="A690" s="1">
        <f t="shared" si="97"/>
        <v>689</v>
      </c>
      <c r="C690" s="12" t="s">
        <v>17</v>
      </c>
      <c r="D690" s="2">
        <v>43061</v>
      </c>
      <c r="E690" s="3">
        <v>30000</v>
      </c>
      <c r="F690" t="s">
        <v>578</v>
      </c>
      <c r="G690" t="s">
        <v>579</v>
      </c>
      <c r="H690" t="s">
        <v>580</v>
      </c>
      <c r="I690" s="10" t="s">
        <v>566</v>
      </c>
      <c r="J690" s="167" t="s">
        <v>22</v>
      </c>
      <c r="L690" s="9" t="str">
        <f t="shared" si="93"/>
        <v>00689</v>
      </c>
      <c r="M690" s="71" t="str">
        <f t="shared" si="94"/>
        <v>22 de noviembre de 2017</v>
      </c>
      <c r="N690" s="39">
        <f t="shared" si="95"/>
        <v>43040</v>
      </c>
      <c r="O690" s="9" t="str">
        <f t="shared" ref="O690:O698" si="100">TEXT(E690,"#.##0,00")</f>
        <v>30.000,00</v>
      </c>
      <c r="P690" s="8" t="str">
        <f t="shared" ref="P690:P698" si="101">CONVERTIRNUM(E690)</f>
        <v>Treinta Mil Bolívares con 00/100</v>
      </c>
      <c r="Q690" s="403" t="str">
        <f t="shared" si="96"/>
        <v/>
      </c>
    </row>
    <row r="691" spans="1:17" x14ac:dyDescent="0.25">
      <c r="A691" s="1">
        <f t="shared" si="97"/>
        <v>690</v>
      </c>
      <c r="C691" s="12" t="s">
        <v>17</v>
      </c>
      <c r="D691" s="2">
        <v>43061</v>
      </c>
      <c r="E691" s="3">
        <v>50000</v>
      </c>
      <c r="F691" t="s">
        <v>103</v>
      </c>
      <c r="G691" t="s">
        <v>104</v>
      </c>
      <c r="H691" t="s">
        <v>105</v>
      </c>
      <c r="I691" s="10" t="s">
        <v>561</v>
      </c>
      <c r="J691" s="167" t="s">
        <v>22</v>
      </c>
      <c r="L691" s="9" t="str">
        <f t="shared" si="93"/>
        <v>00690</v>
      </c>
      <c r="M691" s="71" t="str">
        <f t="shared" si="94"/>
        <v>22 de noviembre de 2017</v>
      </c>
      <c r="N691" s="39">
        <f t="shared" si="95"/>
        <v>43040</v>
      </c>
      <c r="O691" s="9" t="str">
        <f t="shared" si="100"/>
        <v>50.000,00</v>
      </c>
      <c r="P691" s="8" t="str">
        <f t="shared" si="101"/>
        <v>Cincuenta Mil Bolívares con 00/100</v>
      </c>
      <c r="Q691" s="403" t="str">
        <f t="shared" si="96"/>
        <v/>
      </c>
    </row>
    <row r="692" spans="1:17" x14ac:dyDescent="0.25">
      <c r="A692" s="1">
        <f t="shared" si="97"/>
        <v>691</v>
      </c>
      <c r="C692" s="12" t="s">
        <v>17</v>
      </c>
      <c r="D692" s="2">
        <v>43062</v>
      </c>
      <c r="E692" s="3">
        <v>50000</v>
      </c>
      <c r="F692" t="s">
        <v>444</v>
      </c>
      <c r="G692" t="s">
        <v>445</v>
      </c>
      <c r="H692" t="s">
        <v>75</v>
      </c>
      <c r="I692" s="10" t="s">
        <v>561</v>
      </c>
      <c r="J692" s="167" t="s">
        <v>22</v>
      </c>
      <c r="L692" s="9" t="str">
        <f t="shared" si="93"/>
        <v>00691</v>
      </c>
      <c r="M692" s="71" t="str">
        <f t="shared" si="94"/>
        <v>23 de noviembre de 2017</v>
      </c>
      <c r="N692" s="39">
        <f t="shared" si="95"/>
        <v>43040</v>
      </c>
      <c r="O692" s="9" t="str">
        <f t="shared" si="100"/>
        <v>50.000,00</v>
      </c>
      <c r="P692" s="8" t="str">
        <f t="shared" si="101"/>
        <v>Cincuenta Mil Bolívares con 00/100</v>
      </c>
      <c r="Q692" s="403" t="str">
        <f t="shared" si="96"/>
        <v/>
      </c>
    </row>
    <row r="693" spans="1:17" x14ac:dyDescent="0.25">
      <c r="A693" s="1">
        <f t="shared" si="97"/>
        <v>692</v>
      </c>
      <c r="C693" s="12" t="s">
        <v>17</v>
      </c>
      <c r="D693" s="2">
        <v>43067</v>
      </c>
      <c r="E693" s="3">
        <f>15000+50000</f>
        <v>65000</v>
      </c>
      <c r="F693" t="s">
        <v>243</v>
      </c>
      <c r="G693" t="s">
        <v>244</v>
      </c>
      <c r="H693" t="s">
        <v>245</v>
      </c>
      <c r="I693" s="10" t="s">
        <v>581</v>
      </c>
      <c r="J693" s="167" t="s">
        <v>22</v>
      </c>
      <c r="L693" s="9" t="str">
        <f t="shared" si="93"/>
        <v>00692</v>
      </c>
      <c r="M693" s="71" t="str">
        <f t="shared" si="94"/>
        <v>28 de noviembre de 2017</v>
      </c>
      <c r="N693" s="39">
        <f t="shared" si="95"/>
        <v>43040</v>
      </c>
      <c r="O693" s="9" t="str">
        <f t="shared" si="100"/>
        <v>65.000,00</v>
      </c>
      <c r="P693" s="8" t="str">
        <f t="shared" si="101"/>
        <v>Sesenta y Cinco Mil Bolívares con 00/100</v>
      </c>
      <c r="Q693" s="403" t="str">
        <f t="shared" si="96"/>
        <v/>
      </c>
    </row>
    <row r="694" spans="1:17" x14ac:dyDescent="0.25">
      <c r="A694" s="1">
        <f t="shared" si="97"/>
        <v>693</v>
      </c>
      <c r="C694" s="12" t="s">
        <v>17</v>
      </c>
      <c r="D694" s="2">
        <v>43067</v>
      </c>
      <c r="E694" s="3">
        <f>2*50000</f>
        <v>100000</v>
      </c>
      <c r="F694" t="s">
        <v>296</v>
      </c>
      <c r="G694" t="s">
        <v>297</v>
      </c>
      <c r="H694" t="s">
        <v>298</v>
      </c>
      <c r="I694" s="10" t="s">
        <v>570</v>
      </c>
      <c r="J694" s="167" t="s">
        <v>22</v>
      </c>
      <c r="L694" s="9" t="str">
        <f t="shared" si="93"/>
        <v>00693</v>
      </c>
      <c r="M694" s="71" t="str">
        <f t="shared" si="94"/>
        <v>28 de noviembre de 2017</v>
      </c>
      <c r="N694" s="39">
        <f t="shared" si="95"/>
        <v>43040</v>
      </c>
      <c r="O694" s="9" t="str">
        <f t="shared" si="100"/>
        <v>100.000,00</v>
      </c>
      <c r="P694" s="8" t="str">
        <f t="shared" si="101"/>
        <v>Cien Mil Bolívares con 00/100</v>
      </c>
      <c r="Q694" s="403" t="str">
        <f t="shared" si="96"/>
        <v/>
      </c>
    </row>
    <row r="695" spans="1:17" x14ac:dyDescent="0.25">
      <c r="A695" s="1">
        <f t="shared" si="97"/>
        <v>694</v>
      </c>
      <c r="C695" s="12" t="s">
        <v>17</v>
      </c>
      <c r="D695" s="2">
        <v>43067</v>
      </c>
      <c r="E695" s="3">
        <f>2*50000</f>
        <v>100000</v>
      </c>
      <c r="F695" t="s">
        <v>324</v>
      </c>
      <c r="G695" t="s">
        <v>325</v>
      </c>
      <c r="H695" t="s">
        <v>326</v>
      </c>
      <c r="I695" s="10" t="s">
        <v>582</v>
      </c>
      <c r="J695" s="167" t="s">
        <v>22</v>
      </c>
      <c r="L695" s="9" t="str">
        <f t="shared" si="93"/>
        <v>00694</v>
      </c>
      <c r="M695" s="71" t="str">
        <f t="shared" si="94"/>
        <v>28 de noviembre de 2017</v>
      </c>
      <c r="N695" s="39">
        <f t="shared" si="95"/>
        <v>43040</v>
      </c>
      <c r="O695" s="9" t="str">
        <f t="shared" si="100"/>
        <v>100.000,00</v>
      </c>
      <c r="P695" s="8" t="str">
        <f t="shared" si="101"/>
        <v>Cien Mil Bolívares con 00/100</v>
      </c>
      <c r="Q695" s="403" t="str">
        <f t="shared" si="96"/>
        <v/>
      </c>
    </row>
    <row r="696" spans="1:17" x14ac:dyDescent="0.25">
      <c r="A696" s="1">
        <f t="shared" si="97"/>
        <v>695</v>
      </c>
      <c r="C696" s="12" t="s">
        <v>17</v>
      </c>
      <c r="D696" s="2">
        <v>43068</v>
      </c>
      <c r="E696" s="3">
        <v>50000</v>
      </c>
      <c r="F696" t="s">
        <v>363</v>
      </c>
      <c r="G696" t="s">
        <v>364</v>
      </c>
      <c r="H696" t="s">
        <v>365</v>
      </c>
      <c r="I696" s="10" t="s">
        <v>561</v>
      </c>
      <c r="J696" s="167" t="s">
        <v>22</v>
      </c>
      <c r="L696" s="9" t="str">
        <f t="shared" si="93"/>
        <v>00695</v>
      </c>
      <c r="M696" s="71" t="str">
        <f t="shared" si="94"/>
        <v>29 de noviembre de 2017</v>
      </c>
      <c r="N696" s="39">
        <f t="shared" si="95"/>
        <v>43040</v>
      </c>
      <c r="O696" s="9" t="str">
        <f t="shared" si="100"/>
        <v>50.000,00</v>
      </c>
      <c r="P696" s="8" t="str">
        <f t="shared" si="101"/>
        <v>Cincuenta Mil Bolívares con 00/100</v>
      </c>
      <c r="Q696" s="403" t="str">
        <f t="shared" si="96"/>
        <v/>
      </c>
    </row>
    <row r="697" spans="1:17" ht="15.75" thickBot="1" x14ac:dyDescent="0.3">
      <c r="A697" s="1">
        <f t="shared" si="97"/>
        <v>696</v>
      </c>
      <c r="C697" s="12" t="s">
        <v>17</v>
      </c>
      <c r="D697" s="2">
        <v>43072</v>
      </c>
      <c r="E697" s="3">
        <f>2*50000</f>
        <v>100000</v>
      </c>
      <c r="F697" t="s">
        <v>80</v>
      </c>
      <c r="G697" t="s">
        <v>81</v>
      </c>
      <c r="H697" t="s">
        <v>82</v>
      </c>
      <c r="I697" s="10" t="s">
        <v>583</v>
      </c>
      <c r="J697" s="167" t="s">
        <v>22</v>
      </c>
      <c r="L697" s="9" t="str">
        <f t="shared" si="93"/>
        <v>00696</v>
      </c>
      <c r="M697" s="71" t="str">
        <f t="shared" si="94"/>
        <v>03 de diciembre de 2017</v>
      </c>
      <c r="N697" s="39">
        <f t="shared" si="95"/>
        <v>43070</v>
      </c>
      <c r="O697" s="9" t="str">
        <f t="shared" si="100"/>
        <v>100.000,00</v>
      </c>
      <c r="P697" s="8" t="str">
        <f t="shared" si="101"/>
        <v>Cien Mil Bolívares con 00/100</v>
      </c>
      <c r="Q697" s="403" t="str">
        <f t="shared" si="96"/>
        <v/>
      </c>
    </row>
    <row r="698" spans="1:17" ht="15.75" thickBot="1" x14ac:dyDescent="0.3">
      <c r="A698" s="1">
        <f t="shared" si="97"/>
        <v>697</v>
      </c>
      <c r="C698" s="12" t="s">
        <v>17</v>
      </c>
      <c r="D698" s="2">
        <v>43060</v>
      </c>
      <c r="E698" s="3">
        <v>71000</v>
      </c>
      <c r="F698" s="36" t="s">
        <v>423</v>
      </c>
      <c r="G698" s="27" t="s">
        <v>58</v>
      </c>
      <c r="H698" t="s">
        <v>424</v>
      </c>
      <c r="I698" s="10" t="s">
        <v>561</v>
      </c>
      <c r="J698" s="167" t="s">
        <v>22</v>
      </c>
      <c r="L698" s="9" t="str">
        <f t="shared" si="93"/>
        <v>00697</v>
      </c>
      <c r="M698" s="71" t="str">
        <f t="shared" si="94"/>
        <v>21 de noviembre de 2017</v>
      </c>
      <c r="N698" s="39">
        <f t="shared" si="95"/>
        <v>43040</v>
      </c>
      <c r="O698" s="9" t="str">
        <f t="shared" si="100"/>
        <v>71.000,00</v>
      </c>
      <c r="P698" s="8" t="str">
        <f t="shared" si="101"/>
        <v>Setenta y Un Mil Bolívares con 00/100</v>
      </c>
      <c r="Q698" s="403" t="str">
        <f t="shared" si="96"/>
        <v/>
      </c>
    </row>
    <row r="699" spans="1:17" x14ac:dyDescent="0.25">
      <c r="A699" s="1">
        <f t="shared" si="97"/>
        <v>698</v>
      </c>
      <c r="C699" s="12" t="s">
        <v>17</v>
      </c>
      <c r="D699" s="2">
        <v>43073</v>
      </c>
      <c r="E699" s="3">
        <v>50000</v>
      </c>
      <c r="F699" t="s">
        <v>126</v>
      </c>
      <c r="G699" t="s">
        <v>127</v>
      </c>
      <c r="H699" t="s">
        <v>128</v>
      </c>
      <c r="I699" s="10" t="s">
        <v>561</v>
      </c>
      <c r="J699" s="167" t="s">
        <v>22</v>
      </c>
      <c r="L699" s="9" t="str">
        <f t="shared" si="93"/>
        <v>00698</v>
      </c>
      <c r="M699" s="71" t="str">
        <f t="shared" si="94"/>
        <v>04 de diciembre de 2017</v>
      </c>
      <c r="N699" s="39">
        <f t="shared" si="95"/>
        <v>43070</v>
      </c>
      <c r="O699" s="9" t="str">
        <f t="shared" ref="O699:O724" si="102">TEXT(E699,"#.##0,00")</f>
        <v>50.000,00</v>
      </c>
      <c r="P699" s="8" t="str">
        <f t="shared" ref="P699:P724" si="103">CONVERTIRNUM(E699)</f>
        <v>Cincuenta Mil Bolívares con 00/100</v>
      </c>
      <c r="Q699" s="403" t="str">
        <f t="shared" si="96"/>
        <v/>
      </c>
    </row>
    <row r="700" spans="1:17" ht="15.75" thickBot="1" x14ac:dyDescent="0.3">
      <c r="A700" s="1">
        <f t="shared" si="97"/>
        <v>699</v>
      </c>
      <c r="C700" s="12" t="s">
        <v>17</v>
      </c>
      <c r="D700" s="2">
        <v>43073</v>
      </c>
      <c r="E700" s="3">
        <v>32000</v>
      </c>
      <c r="F700" t="s">
        <v>28</v>
      </c>
      <c r="G700" t="s">
        <v>29</v>
      </c>
      <c r="H700" t="s">
        <v>30</v>
      </c>
      <c r="I700" s="10" t="s">
        <v>566</v>
      </c>
      <c r="J700" s="167" t="s">
        <v>22</v>
      </c>
      <c r="L700" s="9" t="str">
        <f t="shared" si="93"/>
        <v>00699</v>
      </c>
      <c r="M700" s="71" t="str">
        <f t="shared" si="94"/>
        <v>04 de diciembre de 2017</v>
      </c>
      <c r="N700" s="39">
        <f t="shared" si="95"/>
        <v>43070</v>
      </c>
      <c r="O700" s="9" t="str">
        <f t="shared" si="102"/>
        <v>32.000,00</v>
      </c>
      <c r="P700" s="8" t="str">
        <f t="shared" si="103"/>
        <v>Treinta y Dos Mil Bolívares con 00/100</v>
      </c>
      <c r="Q700" s="403" t="str">
        <f t="shared" si="96"/>
        <v/>
      </c>
    </row>
    <row r="701" spans="1:17" ht="15.75" thickBot="1" x14ac:dyDescent="0.3">
      <c r="A701" s="1">
        <f t="shared" si="97"/>
        <v>700</v>
      </c>
      <c r="C701" s="12" t="s">
        <v>17</v>
      </c>
      <c r="D701" s="2">
        <v>43073</v>
      </c>
      <c r="E701" s="3">
        <v>18000</v>
      </c>
      <c r="F701" t="s">
        <v>398</v>
      </c>
      <c r="G701" s="74" t="s">
        <v>29</v>
      </c>
      <c r="H701" t="s">
        <v>399</v>
      </c>
      <c r="I701" s="10" t="s">
        <v>566</v>
      </c>
      <c r="J701" s="167" t="s">
        <v>22</v>
      </c>
      <c r="L701" s="9" t="str">
        <f t="shared" si="93"/>
        <v>00700</v>
      </c>
      <c r="M701" s="71" t="str">
        <f t="shared" si="94"/>
        <v>04 de diciembre de 2017</v>
      </c>
      <c r="N701" s="39">
        <f t="shared" si="95"/>
        <v>43070</v>
      </c>
      <c r="O701" s="9" t="str">
        <f t="shared" si="102"/>
        <v>18.000,00</v>
      </c>
      <c r="P701" s="8" t="str">
        <f t="shared" si="103"/>
        <v>Dieciocho Mil Bolívares con 00/100</v>
      </c>
      <c r="Q701" s="403" t="str">
        <f t="shared" si="96"/>
        <v/>
      </c>
    </row>
    <row r="702" spans="1:17" x14ac:dyDescent="0.25">
      <c r="A702" s="1">
        <f t="shared" si="97"/>
        <v>701</v>
      </c>
      <c r="C702" s="12" t="s">
        <v>17</v>
      </c>
      <c r="D702" s="2">
        <v>43073</v>
      </c>
      <c r="E702" s="3">
        <v>25000</v>
      </c>
      <c r="F702" t="s">
        <v>167</v>
      </c>
      <c r="G702" t="s">
        <v>168</v>
      </c>
      <c r="H702" t="s">
        <v>169</v>
      </c>
      <c r="I702" s="10" t="s">
        <v>546</v>
      </c>
      <c r="J702" s="167" t="s">
        <v>22</v>
      </c>
      <c r="L702" s="9" t="str">
        <f t="shared" si="93"/>
        <v>00701</v>
      </c>
      <c r="M702" s="71" t="str">
        <f t="shared" si="94"/>
        <v>04 de diciembre de 2017</v>
      </c>
      <c r="N702" s="39">
        <f t="shared" si="95"/>
        <v>43070</v>
      </c>
      <c r="O702" s="9" t="str">
        <f t="shared" si="102"/>
        <v>25.000,00</v>
      </c>
      <c r="P702" s="8" t="str">
        <f t="shared" si="103"/>
        <v>Veinticinco Mil Bolívares con 00/100</v>
      </c>
      <c r="Q702" s="403" t="str">
        <f t="shared" si="96"/>
        <v/>
      </c>
    </row>
    <row r="703" spans="1:17" x14ac:dyDescent="0.25">
      <c r="A703" s="1">
        <f t="shared" si="97"/>
        <v>702</v>
      </c>
      <c r="C703" s="12" t="s">
        <v>17</v>
      </c>
      <c r="D703" s="2">
        <v>43073</v>
      </c>
      <c r="E703" s="3">
        <v>100000</v>
      </c>
      <c r="F703" t="s">
        <v>53</v>
      </c>
      <c r="G703" t="s">
        <v>54</v>
      </c>
      <c r="H703" t="s">
        <v>55</v>
      </c>
      <c r="I703" s="10" t="s">
        <v>570</v>
      </c>
      <c r="J703" s="167" t="s">
        <v>22</v>
      </c>
      <c r="L703" s="9" t="str">
        <f t="shared" si="93"/>
        <v>00702</v>
      </c>
      <c r="M703" s="71" t="str">
        <f t="shared" si="94"/>
        <v>04 de diciembre de 2017</v>
      </c>
      <c r="N703" s="39">
        <f t="shared" si="95"/>
        <v>43070</v>
      </c>
      <c r="O703" s="9" t="str">
        <f t="shared" si="102"/>
        <v>100.000,00</v>
      </c>
      <c r="P703" s="8" t="str">
        <f t="shared" si="103"/>
        <v>Cien Mil Bolívares con 00/100</v>
      </c>
      <c r="Q703" s="403" t="str">
        <f t="shared" si="96"/>
        <v/>
      </c>
    </row>
    <row r="704" spans="1:17" x14ac:dyDescent="0.25">
      <c r="A704" s="1">
        <f t="shared" si="97"/>
        <v>703</v>
      </c>
      <c r="C704" s="12" t="s">
        <v>17</v>
      </c>
      <c r="D704" s="2">
        <v>43073</v>
      </c>
      <c r="E704" s="3">
        <v>40000</v>
      </c>
      <c r="F704" t="s">
        <v>280</v>
      </c>
      <c r="G704" t="s">
        <v>281</v>
      </c>
      <c r="H704" t="s">
        <v>282</v>
      </c>
      <c r="I704" s="10" t="s">
        <v>584</v>
      </c>
      <c r="J704" s="167" t="s">
        <v>22</v>
      </c>
      <c r="L704" s="9" t="str">
        <f t="shared" si="93"/>
        <v>00703</v>
      </c>
      <c r="M704" s="71" t="str">
        <f t="shared" si="94"/>
        <v>04 de diciembre de 2017</v>
      </c>
      <c r="N704" s="39">
        <f t="shared" si="95"/>
        <v>43070</v>
      </c>
      <c r="O704" s="9" t="str">
        <f t="shared" si="102"/>
        <v>40.000,00</v>
      </c>
      <c r="P704" s="8" t="str">
        <f t="shared" si="103"/>
        <v>Cuarenta Mil Bolívares con 00/100</v>
      </c>
      <c r="Q704" s="403" t="str">
        <f t="shared" si="96"/>
        <v/>
      </c>
    </row>
    <row r="705" spans="1:17" x14ac:dyDescent="0.25">
      <c r="A705" s="1">
        <f t="shared" si="97"/>
        <v>704</v>
      </c>
      <c r="C705" s="12" t="s">
        <v>17</v>
      </c>
      <c r="D705" s="2">
        <v>43073</v>
      </c>
      <c r="E705" s="3">
        <v>50000</v>
      </c>
      <c r="F705" t="s">
        <v>211</v>
      </c>
      <c r="G705" t="s">
        <v>212</v>
      </c>
      <c r="H705" t="s">
        <v>213</v>
      </c>
      <c r="I705" s="10" t="s">
        <v>561</v>
      </c>
      <c r="J705" s="167" t="s">
        <v>22</v>
      </c>
      <c r="L705" s="9" t="str">
        <f t="shared" si="93"/>
        <v>00704</v>
      </c>
      <c r="M705" s="71" t="str">
        <f t="shared" si="94"/>
        <v>04 de diciembre de 2017</v>
      </c>
      <c r="N705" s="39">
        <f t="shared" si="95"/>
        <v>43070</v>
      </c>
      <c r="O705" s="9" t="str">
        <f t="shared" si="102"/>
        <v>50.000,00</v>
      </c>
      <c r="P705" s="8" t="str">
        <f t="shared" si="103"/>
        <v>Cincuenta Mil Bolívares con 00/100</v>
      </c>
      <c r="Q705" s="403" t="str">
        <f t="shared" si="96"/>
        <v/>
      </c>
    </row>
    <row r="706" spans="1:17" x14ac:dyDescent="0.25">
      <c r="A706" s="1">
        <f t="shared" si="97"/>
        <v>705</v>
      </c>
      <c r="C706" s="12" t="s">
        <v>17</v>
      </c>
      <c r="D706" s="2">
        <v>43074</v>
      </c>
      <c r="E706" s="3">
        <v>50000</v>
      </c>
      <c r="F706" t="s">
        <v>484</v>
      </c>
      <c r="G706" t="s">
        <v>485</v>
      </c>
      <c r="H706" t="s">
        <v>486</v>
      </c>
      <c r="I706" s="10" t="s">
        <v>575</v>
      </c>
      <c r="J706" s="167" t="s">
        <v>22</v>
      </c>
      <c r="L706" s="9" t="str">
        <f t="shared" ref="L706:L769" si="104">IF(ISBLANK(A706),"",TEXT(A706,"00000"))</f>
        <v>00705</v>
      </c>
      <c r="M706" s="71" t="str">
        <f t="shared" ref="M706:M769" si="105">IF(ISBLANK(D706),"",TEXT(D706,"dd")&amp;" de "&amp;TEXT(D706,"mmmm")&amp;" de "&amp;TEXT(YEAR(D706),"0"))</f>
        <v>05 de diciembre de 2017</v>
      </c>
      <c r="N706" s="39">
        <f t="shared" ref="N706:N769" si="106">DATE(YEAR(D706),MONTH(D706),1)</f>
        <v>43070</v>
      </c>
      <c r="O706" s="9" t="str">
        <f t="shared" si="102"/>
        <v>50.000,00</v>
      </c>
      <c r="P706" s="8" t="str">
        <f t="shared" si="103"/>
        <v>Cincuenta Mil Bolívares con 00/100</v>
      </c>
      <c r="Q706" s="403" t="str">
        <f t="shared" si="96"/>
        <v/>
      </c>
    </row>
    <row r="707" spans="1:17" x14ac:dyDescent="0.25">
      <c r="A707" s="1">
        <f t="shared" si="97"/>
        <v>706</v>
      </c>
      <c r="C707" s="12" t="s">
        <v>17</v>
      </c>
      <c r="D707" s="2">
        <v>43074</v>
      </c>
      <c r="E707" s="3">
        <v>50000</v>
      </c>
      <c r="F707" t="s">
        <v>18</v>
      </c>
      <c r="G707" t="s">
        <v>19</v>
      </c>
      <c r="H707" t="s">
        <v>20</v>
      </c>
      <c r="I707" s="10" t="s">
        <v>585</v>
      </c>
      <c r="J707" s="167" t="s">
        <v>22</v>
      </c>
      <c r="L707" s="9" t="str">
        <f t="shared" si="104"/>
        <v>00706</v>
      </c>
      <c r="M707" s="71" t="str">
        <f t="shared" si="105"/>
        <v>05 de diciembre de 2017</v>
      </c>
      <c r="N707" s="39">
        <f t="shared" si="106"/>
        <v>43070</v>
      </c>
      <c r="O707" s="9" t="str">
        <f t="shared" si="102"/>
        <v>50.000,00</v>
      </c>
      <c r="P707" s="8" t="str">
        <f t="shared" si="103"/>
        <v>Cincuenta Mil Bolívares con 00/100</v>
      </c>
      <c r="Q707" s="403" t="str">
        <f t="shared" ref="Q707:Q770" si="107">IF(C707="û","Anulado","")</f>
        <v/>
      </c>
    </row>
    <row r="708" spans="1:17" x14ac:dyDescent="0.25">
      <c r="A708" s="390">
        <f t="shared" ref="A708:A771" si="108">A707+1</f>
        <v>707</v>
      </c>
      <c r="C708" s="12" t="s">
        <v>17</v>
      </c>
      <c r="D708" s="2">
        <v>43074</v>
      </c>
      <c r="E708" s="3">
        <v>50000</v>
      </c>
      <c r="F708" t="s">
        <v>439</v>
      </c>
      <c r="G708" t="s">
        <v>440</v>
      </c>
      <c r="H708" t="s">
        <v>441</v>
      </c>
      <c r="I708" s="10" t="s">
        <v>586</v>
      </c>
      <c r="J708" s="167" t="s">
        <v>22</v>
      </c>
      <c r="L708" s="9" t="str">
        <f t="shared" si="104"/>
        <v>00707</v>
      </c>
      <c r="M708" s="71" t="str">
        <f t="shared" si="105"/>
        <v>05 de diciembre de 2017</v>
      </c>
      <c r="N708" s="39">
        <f t="shared" si="106"/>
        <v>43070</v>
      </c>
      <c r="O708" s="9" t="str">
        <f t="shared" si="102"/>
        <v>50.000,00</v>
      </c>
      <c r="P708" s="8" t="str">
        <f t="shared" si="103"/>
        <v>Cincuenta Mil Bolívares con 00/100</v>
      </c>
      <c r="Q708" s="403" t="str">
        <f t="shared" si="107"/>
        <v/>
      </c>
    </row>
    <row r="709" spans="1:17" x14ac:dyDescent="0.25">
      <c r="A709" s="1">
        <f t="shared" si="108"/>
        <v>708</v>
      </c>
      <c r="C709" s="12" t="s">
        <v>17</v>
      </c>
      <c r="D709" s="2">
        <v>43074</v>
      </c>
      <c r="E709" s="3">
        <v>35000</v>
      </c>
      <c r="F709" t="s">
        <v>48</v>
      </c>
      <c r="G709" t="s">
        <v>49</v>
      </c>
      <c r="H709" t="s">
        <v>50</v>
      </c>
      <c r="I709" s="10" t="s">
        <v>587</v>
      </c>
      <c r="J709" s="167" t="s">
        <v>22</v>
      </c>
      <c r="L709" s="9" t="str">
        <f t="shared" si="104"/>
        <v>00708</v>
      </c>
      <c r="M709" s="71" t="str">
        <f t="shared" si="105"/>
        <v>05 de diciembre de 2017</v>
      </c>
      <c r="N709" s="39">
        <f t="shared" si="106"/>
        <v>43070</v>
      </c>
      <c r="O709" s="9" t="str">
        <f t="shared" si="102"/>
        <v>35.000,00</v>
      </c>
      <c r="P709" s="8" t="str">
        <f t="shared" si="103"/>
        <v>Treinta y Cinco Mil Bolívares con 00/100</v>
      </c>
      <c r="Q709" s="403" t="str">
        <f t="shared" si="107"/>
        <v/>
      </c>
    </row>
    <row r="710" spans="1:17" x14ac:dyDescent="0.25">
      <c r="A710" s="1">
        <f t="shared" si="108"/>
        <v>709</v>
      </c>
      <c r="C710" s="12" t="s">
        <v>17</v>
      </c>
      <c r="D710" s="2">
        <v>43074</v>
      </c>
      <c r="E710" s="3">
        <v>50000</v>
      </c>
      <c r="F710" t="s">
        <v>70</v>
      </c>
      <c r="G710" t="s">
        <v>71</v>
      </c>
      <c r="H710" t="s">
        <v>72</v>
      </c>
      <c r="I710" s="10" t="s">
        <v>575</v>
      </c>
      <c r="J710" s="167" t="s">
        <v>22</v>
      </c>
      <c r="L710" s="9" t="str">
        <f t="shared" si="104"/>
        <v>00709</v>
      </c>
      <c r="M710" s="71" t="str">
        <f t="shared" si="105"/>
        <v>05 de diciembre de 2017</v>
      </c>
      <c r="N710" s="39">
        <f t="shared" si="106"/>
        <v>43070</v>
      </c>
      <c r="O710" s="9" t="str">
        <f t="shared" si="102"/>
        <v>50.000,00</v>
      </c>
      <c r="P710" s="8" t="str">
        <f t="shared" si="103"/>
        <v>Cincuenta Mil Bolívares con 00/100</v>
      </c>
      <c r="Q710" s="403" t="str">
        <f t="shared" si="107"/>
        <v/>
      </c>
    </row>
    <row r="711" spans="1:17" x14ac:dyDescent="0.25">
      <c r="A711" s="1">
        <f t="shared" si="108"/>
        <v>710</v>
      </c>
      <c r="C711" s="12" t="s">
        <v>17</v>
      </c>
      <c r="D711" s="2">
        <v>43074</v>
      </c>
      <c r="E711" s="3">
        <v>50000</v>
      </c>
      <c r="F711" t="s">
        <v>44</v>
      </c>
      <c r="G711" t="s">
        <v>45</v>
      </c>
      <c r="H711" t="s">
        <v>46</v>
      </c>
      <c r="I711" s="10" t="s">
        <v>575</v>
      </c>
      <c r="J711" s="167" t="s">
        <v>22</v>
      </c>
      <c r="L711" s="9" t="str">
        <f t="shared" si="104"/>
        <v>00710</v>
      </c>
      <c r="M711" s="71" t="str">
        <f t="shared" si="105"/>
        <v>05 de diciembre de 2017</v>
      </c>
      <c r="N711" s="39">
        <f t="shared" si="106"/>
        <v>43070</v>
      </c>
      <c r="O711" s="9" t="str">
        <f t="shared" si="102"/>
        <v>50.000,00</v>
      </c>
      <c r="P711" s="8" t="str">
        <f t="shared" si="103"/>
        <v>Cincuenta Mil Bolívares con 00/100</v>
      </c>
      <c r="Q711" s="403" t="str">
        <f t="shared" si="107"/>
        <v/>
      </c>
    </row>
    <row r="712" spans="1:17" x14ac:dyDescent="0.25">
      <c r="A712" s="1">
        <f t="shared" si="108"/>
        <v>711</v>
      </c>
      <c r="C712" s="12" t="s">
        <v>17</v>
      </c>
      <c r="D712" s="2">
        <v>43074</v>
      </c>
      <c r="E712" s="3">
        <v>30000</v>
      </c>
      <c r="F712" t="s">
        <v>84</v>
      </c>
      <c r="G712" t="s">
        <v>85</v>
      </c>
      <c r="H712" t="s">
        <v>86</v>
      </c>
      <c r="I712" s="10" t="s">
        <v>587</v>
      </c>
      <c r="J712" s="167" t="s">
        <v>22</v>
      </c>
      <c r="L712" s="9" t="str">
        <f t="shared" si="104"/>
        <v>00711</v>
      </c>
      <c r="M712" s="71" t="str">
        <f t="shared" si="105"/>
        <v>05 de diciembre de 2017</v>
      </c>
      <c r="N712" s="39">
        <f t="shared" si="106"/>
        <v>43070</v>
      </c>
      <c r="O712" s="9" t="str">
        <f t="shared" si="102"/>
        <v>30.000,00</v>
      </c>
      <c r="P712" s="8" t="str">
        <f t="shared" si="103"/>
        <v>Treinta Mil Bolívares con 00/100</v>
      </c>
      <c r="Q712" s="403" t="str">
        <f t="shared" si="107"/>
        <v/>
      </c>
    </row>
    <row r="713" spans="1:17" x14ac:dyDescent="0.25">
      <c r="A713" s="1">
        <f t="shared" si="108"/>
        <v>712</v>
      </c>
      <c r="C713" s="12" t="s">
        <v>17</v>
      </c>
      <c r="D713" s="2">
        <v>43074</v>
      </c>
      <c r="E713" s="3">
        <f>34000+50000</f>
        <v>84000</v>
      </c>
      <c r="F713" t="s">
        <v>148</v>
      </c>
      <c r="G713" t="s">
        <v>149</v>
      </c>
      <c r="H713" t="s">
        <v>150</v>
      </c>
      <c r="I713" s="10" t="s">
        <v>588</v>
      </c>
      <c r="J713" s="167" t="s">
        <v>22</v>
      </c>
      <c r="L713" s="9" t="str">
        <f t="shared" si="104"/>
        <v>00712</v>
      </c>
      <c r="M713" s="71" t="str">
        <f t="shared" si="105"/>
        <v>05 de diciembre de 2017</v>
      </c>
      <c r="N713" s="39">
        <f t="shared" si="106"/>
        <v>43070</v>
      </c>
      <c r="O713" s="9" t="str">
        <f t="shared" si="102"/>
        <v>84.000,00</v>
      </c>
      <c r="P713" s="8" t="str">
        <f t="shared" si="103"/>
        <v>Ochenta y Cuatro Mil Bolívares con 00/100</v>
      </c>
      <c r="Q713" s="403" t="str">
        <f t="shared" si="107"/>
        <v/>
      </c>
    </row>
    <row r="714" spans="1:17" x14ac:dyDescent="0.25">
      <c r="A714" s="1">
        <f t="shared" si="108"/>
        <v>713</v>
      </c>
      <c r="C714" s="12" t="s">
        <v>17</v>
      </c>
      <c r="D714" s="2">
        <v>43075</v>
      </c>
      <c r="E714" s="3">
        <f>2*50000</f>
        <v>100000</v>
      </c>
      <c r="F714" t="s">
        <v>138</v>
      </c>
      <c r="G714" t="s">
        <v>139</v>
      </c>
      <c r="H714" t="s">
        <v>140</v>
      </c>
      <c r="I714" s="10" t="s">
        <v>570</v>
      </c>
      <c r="J714" s="167" t="s">
        <v>22</v>
      </c>
      <c r="L714" s="9" t="str">
        <f t="shared" si="104"/>
        <v>00713</v>
      </c>
      <c r="M714" s="71" t="str">
        <f t="shared" si="105"/>
        <v>06 de diciembre de 2017</v>
      </c>
      <c r="N714" s="39">
        <f t="shared" si="106"/>
        <v>43070</v>
      </c>
      <c r="O714" s="9" t="str">
        <f t="shared" si="102"/>
        <v>100.000,00</v>
      </c>
      <c r="P714" s="8" t="str">
        <f t="shared" si="103"/>
        <v>Cien Mil Bolívares con 00/100</v>
      </c>
      <c r="Q714" s="403" t="str">
        <f t="shared" si="107"/>
        <v/>
      </c>
    </row>
    <row r="715" spans="1:17" x14ac:dyDescent="0.25">
      <c r="A715" s="1">
        <f t="shared" si="108"/>
        <v>714</v>
      </c>
      <c r="C715" s="12" t="s">
        <v>17</v>
      </c>
      <c r="D715" s="2">
        <v>43075</v>
      </c>
      <c r="E715" s="3">
        <f>34800+15200</f>
        <v>50000</v>
      </c>
      <c r="F715" t="s">
        <v>152</v>
      </c>
      <c r="G715" t="s">
        <v>153</v>
      </c>
      <c r="H715" t="s">
        <v>154</v>
      </c>
      <c r="I715" s="10" t="s">
        <v>589</v>
      </c>
      <c r="J715" s="167" t="s">
        <v>22</v>
      </c>
      <c r="L715" s="9" t="str">
        <f t="shared" si="104"/>
        <v>00714</v>
      </c>
      <c r="M715" s="71" t="str">
        <f t="shared" si="105"/>
        <v>06 de diciembre de 2017</v>
      </c>
      <c r="N715" s="39">
        <f t="shared" si="106"/>
        <v>43070</v>
      </c>
      <c r="O715" s="9" t="str">
        <f t="shared" si="102"/>
        <v>50.000,00</v>
      </c>
      <c r="P715" s="8" t="str">
        <f t="shared" si="103"/>
        <v>Cincuenta Mil Bolívares con 00/100</v>
      </c>
      <c r="Q715" s="403" t="str">
        <f t="shared" si="107"/>
        <v/>
      </c>
    </row>
    <row r="716" spans="1:17" x14ac:dyDescent="0.25">
      <c r="A716" s="1">
        <f t="shared" si="108"/>
        <v>715</v>
      </c>
      <c r="C716" s="12" t="s">
        <v>17</v>
      </c>
      <c r="D716" s="2">
        <v>43075</v>
      </c>
      <c r="E716" s="3">
        <v>30000</v>
      </c>
      <c r="F716" t="s">
        <v>130</v>
      </c>
      <c r="G716" t="s">
        <v>131</v>
      </c>
      <c r="H716" t="s">
        <v>132</v>
      </c>
      <c r="I716" s="10" t="s">
        <v>566</v>
      </c>
      <c r="J716" s="167" t="s">
        <v>22</v>
      </c>
      <c r="L716" s="9" t="str">
        <f t="shared" si="104"/>
        <v>00715</v>
      </c>
      <c r="M716" s="71" t="str">
        <f t="shared" si="105"/>
        <v>06 de diciembre de 2017</v>
      </c>
      <c r="N716" s="39">
        <f t="shared" si="106"/>
        <v>43070</v>
      </c>
      <c r="O716" s="9" t="str">
        <f t="shared" si="102"/>
        <v>30.000,00</v>
      </c>
      <c r="P716" s="8" t="str">
        <f t="shared" si="103"/>
        <v>Treinta Mil Bolívares con 00/100</v>
      </c>
      <c r="Q716" s="403" t="str">
        <f t="shared" si="107"/>
        <v/>
      </c>
    </row>
    <row r="717" spans="1:17" x14ac:dyDescent="0.25">
      <c r="A717" s="1">
        <f t="shared" si="108"/>
        <v>716</v>
      </c>
      <c r="C717" s="12" t="s">
        <v>17</v>
      </c>
      <c r="D717" s="2">
        <v>43076</v>
      </c>
      <c r="E717" s="3">
        <v>35000</v>
      </c>
      <c r="F717" t="s">
        <v>32</v>
      </c>
      <c r="G717" t="s">
        <v>33</v>
      </c>
      <c r="H717" t="s">
        <v>34</v>
      </c>
      <c r="I717" s="10" t="s">
        <v>514</v>
      </c>
      <c r="J717" s="167" t="s">
        <v>22</v>
      </c>
      <c r="L717" s="9" t="str">
        <f t="shared" si="104"/>
        <v>00716</v>
      </c>
      <c r="M717" s="71" t="str">
        <f t="shared" si="105"/>
        <v>07 de diciembre de 2017</v>
      </c>
      <c r="N717" s="39">
        <f t="shared" si="106"/>
        <v>43070</v>
      </c>
      <c r="O717" s="9" t="str">
        <f t="shared" si="102"/>
        <v>35.000,00</v>
      </c>
      <c r="P717" s="8" t="str">
        <f t="shared" si="103"/>
        <v>Treinta y Cinco Mil Bolívares con 00/100</v>
      </c>
      <c r="Q717" s="403" t="str">
        <f t="shared" si="107"/>
        <v/>
      </c>
    </row>
    <row r="718" spans="1:17" x14ac:dyDescent="0.25">
      <c r="A718" s="1">
        <f t="shared" si="108"/>
        <v>717</v>
      </c>
      <c r="C718" s="12" t="s">
        <v>17</v>
      </c>
      <c r="D718" s="2">
        <v>43075</v>
      </c>
      <c r="E718" s="3">
        <f>3*40000</f>
        <v>120000</v>
      </c>
      <c r="F718" t="s">
        <v>252</v>
      </c>
      <c r="G718" t="s">
        <v>253</v>
      </c>
      <c r="H718" t="s">
        <v>254</v>
      </c>
      <c r="I718" s="10" t="s">
        <v>590</v>
      </c>
      <c r="J718" s="167" t="s">
        <v>22</v>
      </c>
      <c r="L718" s="9" t="str">
        <f t="shared" si="104"/>
        <v>00717</v>
      </c>
      <c r="M718" s="71" t="str">
        <f t="shared" si="105"/>
        <v>06 de diciembre de 2017</v>
      </c>
      <c r="N718" s="39">
        <f t="shared" si="106"/>
        <v>43070</v>
      </c>
      <c r="O718" s="9" t="str">
        <f t="shared" si="102"/>
        <v>120.000,00</v>
      </c>
      <c r="P718" s="8" t="str">
        <f t="shared" si="103"/>
        <v>Ciento Veinte Mil Bolívares con 00/100</v>
      </c>
      <c r="Q718" s="403" t="str">
        <f t="shared" si="107"/>
        <v/>
      </c>
    </row>
    <row r="719" spans="1:17" x14ac:dyDescent="0.25">
      <c r="A719" s="1">
        <f t="shared" si="108"/>
        <v>718</v>
      </c>
      <c r="C719" s="12" t="s">
        <v>17</v>
      </c>
      <c r="D719" s="2">
        <v>43075</v>
      </c>
      <c r="E719" s="3">
        <f>4*25000</f>
        <v>100000</v>
      </c>
      <c r="F719" t="s">
        <v>334</v>
      </c>
      <c r="G719" t="s">
        <v>85</v>
      </c>
      <c r="H719" t="s">
        <v>335</v>
      </c>
      <c r="I719" s="10" t="s">
        <v>591</v>
      </c>
      <c r="J719" s="167" t="s">
        <v>22</v>
      </c>
      <c r="L719" s="9" t="str">
        <f t="shared" si="104"/>
        <v>00718</v>
      </c>
      <c r="M719" s="71" t="str">
        <f t="shared" si="105"/>
        <v>06 de diciembre de 2017</v>
      </c>
      <c r="N719" s="39">
        <f t="shared" si="106"/>
        <v>43070</v>
      </c>
      <c r="O719" s="9" t="str">
        <f t="shared" si="102"/>
        <v>100.000,00</v>
      </c>
      <c r="P719" s="8" t="str">
        <f t="shared" si="103"/>
        <v>Cien Mil Bolívares con 00/100</v>
      </c>
      <c r="Q719" s="403" t="str">
        <f t="shared" si="107"/>
        <v/>
      </c>
    </row>
    <row r="720" spans="1:17" x14ac:dyDescent="0.25">
      <c r="A720" s="1">
        <f t="shared" si="108"/>
        <v>719</v>
      </c>
      <c r="C720" s="12" t="s">
        <v>17</v>
      </c>
      <c r="D720" s="2">
        <v>43076</v>
      </c>
      <c r="E720" s="3">
        <f>15000+2*50000</f>
        <v>115000</v>
      </c>
      <c r="F720" t="s">
        <v>40</v>
      </c>
      <c r="G720" t="s">
        <v>41</v>
      </c>
      <c r="H720" t="s">
        <v>42</v>
      </c>
      <c r="I720" s="10" t="s">
        <v>592</v>
      </c>
      <c r="J720" s="167" t="s">
        <v>22</v>
      </c>
      <c r="L720" s="9" t="str">
        <f t="shared" si="104"/>
        <v>00719</v>
      </c>
      <c r="M720" s="71" t="str">
        <f t="shared" si="105"/>
        <v>07 de diciembre de 2017</v>
      </c>
      <c r="N720" s="39">
        <f t="shared" si="106"/>
        <v>43070</v>
      </c>
      <c r="O720" s="9" t="str">
        <f t="shared" si="102"/>
        <v>115.000,00</v>
      </c>
      <c r="P720" s="8" t="str">
        <f t="shared" si="103"/>
        <v>Ciento Quince Mil Bolívares con 00/100</v>
      </c>
      <c r="Q720" s="403" t="str">
        <f t="shared" si="107"/>
        <v/>
      </c>
    </row>
    <row r="721" spans="1:17" x14ac:dyDescent="0.25">
      <c r="A721" s="1">
        <f t="shared" si="108"/>
        <v>720</v>
      </c>
      <c r="C721" s="12" t="s">
        <v>17</v>
      </c>
      <c r="D721" s="2">
        <v>43076</v>
      </c>
      <c r="E721" s="3">
        <v>50000</v>
      </c>
      <c r="F721" t="s">
        <v>62</v>
      </c>
      <c r="G721" t="s">
        <v>63</v>
      </c>
      <c r="H721" t="s">
        <v>64</v>
      </c>
      <c r="I721" s="10" t="s">
        <v>561</v>
      </c>
      <c r="J721" s="167" t="s">
        <v>22</v>
      </c>
      <c r="L721" s="9" t="str">
        <f t="shared" si="104"/>
        <v>00720</v>
      </c>
      <c r="M721" s="71" t="str">
        <f t="shared" si="105"/>
        <v>07 de diciembre de 2017</v>
      </c>
      <c r="N721" s="39">
        <f t="shared" si="106"/>
        <v>43070</v>
      </c>
      <c r="O721" s="9" t="str">
        <f t="shared" si="102"/>
        <v>50.000,00</v>
      </c>
      <c r="P721" s="8" t="str">
        <f t="shared" si="103"/>
        <v>Cincuenta Mil Bolívares con 00/100</v>
      </c>
      <c r="Q721" s="403" t="str">
        <f t="shared" si="107"/>
        <v/>
      </c>
    </row>
    <row r="722" spans="1:17" ht="15.75" thickBot="1" x14ac:dyDescent="0.3">
      <c r="A722" s="1">
        <f t="shared" si="108"/>
        <v>721</v>
      </c>
      <c r="C722" s="12" t="s">
        <v>17</v>
      </c>
      <c r="D722" s="2">
        <v>43076</v>
      </c>
      <c r="E722" s="3">
        <v>50000</v>
      </c>
      <c r="F722" t="s">
        <v>24</v>
      </c>
      <c r="G722" t="s">
        <v>25</v>
      </c>
      <c r="H722" t="s">
        <v>26</v>
      </c>
      <c r="I722" s="10" t="s">
        <v>575</v>
      </c>
      <c r="J722" s="167" t="s">
        <v>22</v>
      </c>
      <c r="L722" s="9" t="str">
        <f t="shared" si="104"/>
        <v>00721</v>
      </c>
      <c r="M722" s="71" t="str">
        <f t="shared" si="105"/>
        <v>07 de diciembre de 2017</v>
      </c>
      <c r="N722" s="39">
        <f t="shared" si="106"/>
        <v>43070</v>
      </c>
      <c r="O722" s="9" t="str">
        <f t="shared" si="102"/>
        <v>50.000,00</v>
      </c>
      <c r="P722" s="8" t="str">
        <f t="shared" si="103"/>
        <v>Cincuenta Mil Bolívares con 00/100</v>
      </c>
      <c r="Q722" s="403" t="str">
        <f t="shared" si="107"/>
        <v/>
      </c>
    </row>
    <row r="723" spans="1:17" ht="15.75" thickBot="1" x14ac:dyDescent="0.3">
      <c r="A723" s="1">
        <f t="shared" si="108"/>
        <v>722</v>
      </c>
      <c r="C723" s="12" t="s">
        <v>17</v>
      </c>
      <c r="D723" s="2">
        <v>43077</v>
      </c>
      <c r="E723" s="3">
        <v>54000</v>
      </c>
      <c r="F723" s="31" t="s">
        <v>57</v>
      </c>
      <c r="G723" s="27" t="s">
        <v>58</v>
      </c>
      <c r="H723" s="32" t="s">
        <v>59</v>
      </c>
      <c r="I723" s="10" t="s">
        <v>575</v>
      </c>
      <c r="J723" s="167" t="s">
        <v>22</v>
      </c>
      <c r="K723" s="33"/>
      <c r="L723" s="9" t="str">
        <f t="shared" si="104"/>
        <v>00722</v>
      </c>
      <c r="M723" s="71" t="str">
        <f t="shared" si="105"/>
        <v>08 de diciembre de 2017</v>
      </c>
      <c r="N723" s="39">
        <f t="shared" si="106"/>
        <v>43070</v>
      </c>
      <c r="O723" s="9" t="str">
        <f t="shared" si="102"/>
        <v>54.000,00</v>
      </c>
      <c r="P723" s="8" t="str">
        <f t="shared" si="103"/>
        <v>Cincuenta y Cuatro Mil Bolívares con 00/100</v>
      </c>
      <c r="Q723" s="403" t="str">
        <f t="shared" si="107"/>
        <v/>
      </c>
    </row>
    <row r="724" spans="1:17" ht="15.75" thickBot="1" x14ac:dyDescent="0.3">
      <c r="A724" s="1">
        <f t="shared" si="108"/>
        <v>723</v>
      </c>
      <c r="C724" s="12" t="s">
        <v>17</v>
      </c>
      <c r="D724" s="2">
        <v>43077</v>
      </c>
      <c r="E724" s="3">
        <v>50000</v>
      </c>
      <c r="F724" t="s">
        <v>107</v>
      </c>
      <c r="G724" t="s">
        <v>108</v>
      </c>
      <c r="H724" t="s">
        <v>109</v>
      </c>
      <c r="I724" s="10" t="s">
        <v>575</v>
      </c>
      <c r="J724" s="167" t="s">
        <v>22</v>
      </c>
      <c r="L724" s="9" t="str">
        <f t="shared" si="104"/>
        <v>00723</v>
      </c>
      <c r="M724" s="71" t="str">
        <f t="shared" si="105"/>
        <v>08 de diciembre de 2017</v>
      </c>
      <c r="N724" s="39">
        <f t="shared" si="106"/>
        <v>43070</v>
      </c>
      <c r="O724" s="9" t="str">
        <f t="shared" si="102"/>
        <v>50.000,00</v>
      </c>
      <c r="P724" s="8" t="str">
        <f t="shared" si="103"/>
        <v>Cincuenta Mil Bolívares con 00/100</v>
      </c>
      <c r="Q724" s="403" t="str">
        <f t="shared" si="107"/>
        <v/>
      </c>
    </row>
    <row r="725" spans="1:17" ht="15.75" thickBot="1" x14ac:dyDescent="0.3">
      <c r="A725" s="1">
        <f t="shared" si="108"/>
        <v>724</v>
      </c>
      <c r="C725" s="12" t="s">
        <v>17</v>
      </c>
      <c r="D725" s="2">
        <v>43077</v>
      </c>
      <c r="E725" s="3">
        <v>20000</v>
      </c>
      <c r="F725" t="s">
        <v>398</v>
      </c>
      <c r="G725" s="74" t="s">
        <v>29</v>
      </c>
      <c r="H725" t="s">
        <v>399</v>
      </c>
      <c r="I725" s="10" t="s">
        <v>587</v>
      </c>
      <c r="J725" s="167" t="s">
        <v>22</v>
      </c>
      <c r="L725" s="9" t="str">
        <f t="shared" si="104"/>
        <v>00724</v>
      </c>
      <c r="M725" s="71" t="str">
        <f t="shared" si="105"/>
        <v>08 de diciembre de 2017</v>
      </c>
      <c r="N725" s="39">
        <f t="shared" si="106"/>
        <v>43070</v>
      </c>
      <c r="O725" s="9" t="str">
        <f t="shared" ref="O725:O730" si="109">TEXT(E725,"#.##0,00")</f>
        <v>20.000,00</v>
      </c>
      <c r="P725" s="8" t="str">
        <f t="shared" ref="P725:P730" si="110">CONVERTIRNUM(E725)</f>
        <v>Veinte Mil Bolívares con 00/100</v>
      </c>
      <c r="Q725" s="403" t="str">
        <f t="shared" si="107"/>
        <v/>
      </c>
    </row>
    <row r="726" spans="1:17" ht="15.75" thickBot="1" x14ac:dyDescent="0.3">
      <c r="A726" s="1">
        <f t="shared" si="108"/>
        <v>725</v>
      </c>
      <c r="C726" s="12" t="s">
        <v>17</v>
      </c>
      <c r="D726" s="2">
        <v>43081</v>
      </c>
      <c r="E726" s="3">
        <v>71000</v>
      </c>
      <c r="F726" s="36" t="s">
        <v>423</v>
      </c>
      <c r="G726" s="27" t="s">
        <v>58</v>
      </c>
      <c r="H726" t="s">
        <v>424</v>
      </c>
      <c r="I726" s="10" t="s">
        <v>575</v>
      </c>
      <c r="J726" s="167" t="s">
        <v>22</v>
      </c>
      <c r="L726" s="9" t="str">
        <f t="shared" si="104"/>
        <v>00725</v>
      </c>
      <c r="M726" s="71" t="str">
        <f t="shared" si="105"/>
        <v>12 de diciembre de 2017</v>
      </c>
      <c r="N726" s="39">
        <f t="shared" si="106"/>
        <v>43070</v>
      </c>
      <c r="O726" s="9" t="str">
        <f t="shared" si="109"/>
        <v>71.000,00</v>
      </c>
      <c r="P726" s="8" t="str">
        <f t="shared" si="110"/>
        <v>Setenta y Un Mil Bolívares con 00/100</v>
      </c>
      <c r="Q726" s="403" t="str">
        <f t="shared" si="107"/>
        <v/>
      </c>
    </row>
    <row r="727" spans="1:17" x14ac:dyDescent="0.25">
      <c r="A727" s="1">
        <f t="shared" si="108"/>
        <v>726</v>
      </c>
      <c r="C727" s="12" t="s">
        <v>17</v>
      </c>
      <c r="D727" s="2">
        <v>43081</v>
      </c>
      <c r="E727" s="3">
        <v>50000</v>
      </c>
      <c r="F727" t="s">
        <v>100</v>
      </c>
      <c r="G727" t="s">
        <v>95</v>
      </c>
      <c r="H727" t="s">
        <v>101</v>
      </c>
      <c r="I727" s="10" t="s">
        <v>575</v>
      </c>
      <c r="J727" s="167" t="s">
        <v>22</v>
      </c>
      <c r="L727" s="9" t="str">
        <f t="shared" si="104"/>
        <v>00726</v>
      </c>
      <c r="M727" s="71" t="str">
        <f t="shared" si="105"/>
        <v>12 de diciembre de 2017</v>
      </c>
      <c r="N727" s="39">
        <f t="shared" si="106"/>
        <v>43070</v>
      </c>
      <c r="O727" s="9" t="str">
        <f t="shared" si="109"/>
        <v>50.000,00</v>
      </c>
      <c r="P727" s="8" t="str">
        <f t="shared" si="110"/>
        <v>Cincuenta Mil Bolívares con 00/100</v>
      </c>
      <c r="Q727" s="403" t="str">
        <f t="shared" si="107"/>
        <v/>
      </c>
    </row>
    <row r="728" spans="1:17" x14ac:dyDescent="0.25">
      <c r="A728" s="1">
        <f t="shared" si="108"/>
        <v>727</v>
      </c>
      <c r="C728" s="12" t="s">
        <v>17</v>
      </c>
      <c r="D728" s="2">
        <v>43081</v>
      </c>
      <c r="E728" s="3">
        <v>40000</v>
      </c>
      <c r="F728" t="s">
        <v>181</v>
      </c>
      <c r="G728" t="s">
        <v>182</v>
      </c>
      <c r="H728" t="s">
        <v>183</v>
      </c>
      <c r="I728" s="10" t="s">
        <v>587</v>
      </c>
      <c r="J728" s="167" t="s">
        <v>22</v>
      </c>
      <c r="L728" s="9" t="str">
        <f t="shared" si="104"/>
        <v>00727</v>
      </c>
      <c r="M728" s="71" t="str">
        <f t="shared" si="105"/>
        <v>12 de diciembre de 2017</v>
      </c>
      <c r="N728" s="39">
        <f t="shared" si="106"/>
        <v>43070</v>
      </c>
      <c r="O728" s="9" t="str">
        <f t="shared" si="109"/>
        <v>40.000,00</v>
      </c>
      <c r="P728" s="8" t="str">
        <f t="shared" si="110"/>
        <v>Cuarenta Mil Bolívares con 00/100</v>
      </c>
      <c r="Q728" s="403" t="str">
        <f t="shared" si="107"/>
        <v/>
      </c>
    </row>
    <row r="729" spans="1:17" x14ac:dyDescent="0.25">
      <c r="A729" s="1">
        <f t="shared" si="108"/>
        <v>728</v>
      </c>
      <c r="C729" s="12" t="s">
        <v>17</v>
      </c>
      <c r="D729" s="2">
        <v>43082</v>
      </c>
      <c r="E729" s="3">
        <v>50000</v>
      </c>
      <c r="F729" t="s">
        <v>36</v>
      </c>
      <c r="G729" t="s">
        <v>37</v>
      </c>
      <c r="H729" t="s">
        <v>38</v>
      </c>
      <c r="I729" s="10" t="s">
        <v>575</v>
      </c>
      <c r="J729" s="167" t="s">
        <v>22</v>
      </c>
      <c r="L729" s="9" t="str">
        <f t="shared" si="104"/>
        <v>00728</v>
      </c>
      <c r="M729" s="71" t="str">
        <f t="shared" si="105"/>
        <v>13 de diciembre de 2017</v>
      </c>
      <c r="N729" s="39">
        <f t="shared" si="106"/>
        <v>43070</v>
      </c>
      <c r="O729" s="9" t="str">
        <f t="shared" si="109"/>
        <v>50.000,00</v>
      </c>
      <c r="P729" s="8" t="str">
        <f t="shared" si="110"/>
        <v>Cincuenta Mil Bolívares con 00/100</v>
      </c>
      <c r="Q729" s="403" t="str">
        <f t="shared" si="107"/>
        <v/>
      </c>
    </row>
    <row r="730" spans="1:17" x14ac:dyDescent="0.25">
      <c r="A730" s="1">
        <f t="shared" si="108"/>
        <v>729</v>
      </c>
      <c r="C730" s="12" t="s">
        <v>17</v>
      </c>
      <c r="D730" s="2">
        <v>43080</v>
      </c>
      <c r="E730" s="3">
        <v>30000</v>
      </c>
      <c r="F730" t="s">
        <v>342</v>
      </c>
      <c r="G730" t="s">
        <v>343</v>
      </c>
      <c r="H730" t="s">
        <v>344</v>
      </c>
      <c r="I730" s="10" t="s">
        <v>546</v>
      </c>
      <c r="J730" s="167" t="s">
        <v>22</v>
      </c>
      <c r="L730" s="9" t="str">
        <f t="shared" si="104"/>
        <v>00729</v>
      </c>
      <c r="M730" s="71" t="str">
        <f t="shared" si="105"/>
        <v>11 de diciembre de 2017</v>
      </c>
      <c r="N730" s="39">
        <f t="shared" si="106"/>
        <v>43070</v>
      </c>
      <c r="O730" s="9" t="str">
        <f t="shared" si="109"/>
        <v>30.000,00</v>
      </c>
      <c r="P730" s="8" t="str">
        <f t="shared" si="110"/>
        <v>Treinta Mil Bolívares con 00/100</v>
      </c>
      <c r="Q730" s="403" t="str">
        <f t="shared" si="107"/>
        <v/>
      </c>
    </row>
    <row r="731" spans="1:17" x14ac:dyDescent="0.25">
      <c r="A731" s="1">
        <f t="shared" si="108"/>
        <v>730</v>
      </c>
      <c r="C731" s="12" t="s">
        <v>17</v>
      </c>
      <c r="D731" s="2">
        <v>43080</v>
      </c>
      <c r="E731" s="3">
        <v>40000</v>
      </c>
      <c r="F731" t="s">
        <v>342</v>
      </c>
      <c r="G731" t="s">
        <v>343</v>
      </c>
      <c r="H731" t="s">
        <v>344</v>
      </c>
      <c r="I731" s="10" t="s">
        <v>566</v>
      </c>
      <c r="J731" s="167" t="s">
        <v>22</v>
      </c>
      <c r="L731" s="9" t="str">
        <f t="shared" si="104"/>
        <v>00730</v>
      </c>
      <c r="M731" s="71" t="str">
        <f t="shared" si="105"/>
        <v>11 de diciembre de 2017</v>
      </c>
      <c r="N731" s="39">
        <f t="shared" si="106"/>
        <v>43070</v>
      </c>
      <c r="O731" s="9" t="str">
        <f t="shared" ref="O731:O737" si="111">TEXT(E731,"#.##0,00")</f>
        <v>40.000,00</v>
      </c>
      <c r="P731" s="8" t="str">
        <f t="shared" ref="P731:P737" si="112">CONVERTIRNUM(E731)</f>
        <v>Cuarenta Mil Bolívares con 00/100</v>
      </c>
      <c r="Q731" s="403" t="str">
        <f t="shared" si="107"/>
        <v/>
      </c>
    </row>
    <row r="732" spans="1:17" x14ac:dyDescent="0.25">
      <c r="A732" s="1">
        <f t="shared" si="108"/>
        <v>731</v>
      </c>
      <c r="C732" s="12" t="s">
        <v>17</v>
      </c>
      <c r="D732" s="2">
        <v>43079</v>
      </c>
      <c r="E732" s="3">
        <f>35000+50000</f>
        <v>85000</v>
      </c>
      <c r="F732" t="s">
        <v>185</v>
      </c>
      <c r="G732" t="s">
        <v>186</v>
      </c>
      <c r="H732" t="s">
        <v>187</v>
      </c>
      <c r="I732" s="10" t="s">
        <v>593</v>
      </c>
      <c r="J732" s="167" t="s">
        <v>22</v>
      </c>
      <c r="L732" s="9" t="str">
        <f t="shared" si="104"/>
        <v>00731</v>
      </c>
      <c r="M732" s="71" t="str">
        <f t="shared" si="105"/>
        <v>10 de diciembre de 2017</v>
      </c>
      <c r="N732" s="39">
        <f t="shared" si="106"/>
        <v>43070</v>
      </c>
      <c r="O732" s="9" t="str">
        <f t="shared" si="111"/>
        <v>85.000,00</v>
      </c>
      <c r="P732" s="8" t="str">
        <f t="shared" si="112"/>
        <v>Ochenta y Cinco Mil Bolívares con 00/100</v>
      </c>
      <c r="Q732" s="403" t="str">
        <f t="shared" si="107"/>
        <v/>
      </c>
    </row>
    <row r="733" spans="1:17" x14ac:dyDescent="0.25">
      <c r="A733" s="1">
        <f t="shared" si="108"/>
        <v>732</v>
      </c>
      <c r="C733" s="12" t="s">
        <v>17</v>
      </c>
      <c r="D733" s="2">
        <v>43082</v>
      </c>
      <c r="E733" s="3">
        <v>50000</v>
      </c>
      <c r="F733" t="s">
        <v>126</v>
      </c>
      <c r="G733" t="s">
        <v>127</v>
      </c>
      <c r="H733" t="s">
        <v>128</v>
      </c>
      <c r="I733" s="10" t="s">
        <v>575</v>
      </c>
      <c r="J733" s="167" t="s">
        <v>22</v>
      </c>
      <c r="L733" s="9" t="str">
        <f t="shared" si="104"/>
        <v>00732</v>
      </c>
      <c r="M733" s="71" t="str">
        <f t="shared" si="105"/>
        <v>13 de diciembre de 2017</v>
      </c>
      <c r="N733" s="39">
        <f t="shared" si="106"/>
        <v>43070</v>
      </c>
      <c r="O733" s="9" t="str">
        <f t="shared" si="111"/>
        <v>50.000,00</v>
      </c>
      <c r="P733" s="8" t="str">
        <f t="shared" si="112"/>
        <v>Cincuenta Mil Bolívares con 00/100</v>
      </c>
      <c r="Q733" s="403" t="str">
        <f t="shared" si="107"/>
        <v/>
      </c>
    </row>
    <row r="734" spans="1:17" x14ac:dyDescent="0.25">
      <c r="A734" s="1">
        <f t="shared" si="108"/>
        <v>733</v>
      </c>
      <c r="C734" s="12" t="s">
        <v>17</v>
      </c>
      <c r="D734" s="2">
        <v>43084</v>
      </c>
      <c r="E734" s="3">
        <f>2*50000</f>
        <v>100000</v>
      </c>
      <c r="F734" t="s">
        <v>201</v>
      </c>
      <c r="G734" t="s">
        <v>202</v>
      </c>
      <c r="H734" t="s">
        <v>203</v>
      </c>
      <c r="I734" s="10" t="s">
        <v>570</v>
      </c>
      <c r="J734" s="167" t="s">
        <v>22</v>
      </c>
      <c r="L734" s="9" t="str">
        <f t="shared" si="104"/>
        <v>00733</v>
      </c>
      <c r="M734" s="71" t="str">
        <f t="shared" si="105"/>
        <v>15 de diciembre de 2017</v>
      </c>
      <c r="N734" s="39">
        <f t="shared" si="106"/>
        <v>43070</v>
      </c>
      <c r="O734" s="9" t="str">
        <f t="shared" si="111"/>
        <v>100.000,00</v>
      </c>
      <c r="P734" s="8" t="str">
        <f t="shared" si="112"/>
        <v>Cien Mil Bolívares con 00/100</v>
      </c>
      <c r="Q734" s="403" t="str">
        <f t="shared" si="107"/>
        <v/>
      </c>
    </row>
    <row r="735" spans="1:17" x14ac:dyDescent="0.25">
      <c r="A735" s="1">
        <f t="shared" si="108"/>
        <v>734</v>
      </c>
      <c r="C735" s="12" t="s">
        <v>17</v>
      </c>
      <c r="D735" s="2">
        <v>43019</v>
      </c>
      <c r="E735" s="3">
        <v>35000</v>
      </c>
      <c r="F735" t="s">
        <v>206</v>
      </c>
      <c r="G735" t="s">
        <v>207</v>
      </c>
      <c r="H735" t="s">
        <v>208</v>
      </c>
      <c r="I735" s="10" t="s">
        <v>514</v>
      </c>
      <c r="J735" s="167" t="s">
        <v>22</v>
      </c>
      <c r="L735" s="9" t="str">
        <f t="shared" si="104"/>
        <v>00734</v>
      </c>
      <c r="M735" s="71" t="str">
        <f t="shared" si="105"/>
        <v>11 de octubre de 2017</v>
      </c>
      <c r="N735" s="39">
        <f t="shared" si="106"/>
        <v>43009</v>
      </c>
      <c r="O735" s="9" t="str">
        <f t="shared" si="111"/>
        <v>35.000,00</v>
      </c>
      <c r="P735" s="8" t="str">
        <f t="shared" si="112"/>
        <v>Treinta y Cinco Mil Bolívares con 00/100</v>
      </c>
      <c r="Q735" s="403" t="str">
        <f t="shared" si="107"/>
        <v/>
      </c>
    </row>
    <row r="736" spans="1:17" x14ac:dyDescent="0.25">
      <c r="A736" s="1">
        <f t="shared" si="108"/>
        <v>735</v>
      </c>
      <c r="C736" s="12" t="s">
        <v>17</v>
      </c>
      <c r="D736" s="2">
        <v>42923</v>
      </c>
      <c r="E736" s="3">
        <v>3000</v>
      </c>
      <c r="F736" t="s">
        <v>144</v>
      </c>
      <c r="G736" t="s">
        <v>145</v>
      </c>
      <c r="H736" t="s">
        <v>146</v>
      </c>
      <c r="I736" s="10" t="s">
        <v>447</v>
      </c>
      <c r="J736" s="167" t="s">
        <v>22</v>
      </c>
      <c r="L736" s="9" t="str">
        <f t="shared" si="104"/>
        <v>00735</v>
      </c>
      <c r="M736" s="71" t="str">
        <f t="shared" si="105"/>
        <v>07 de julio de 2017</v>
      </c>
      <c r="N736" s="39">
        <f t="shared" si="106"/>
        <v>42917</v>
      </c>
      <c r="O736" s="9" t="str">
        <f t="shared" si="111"/>
        <v>3.000,00</v>
      </c>
      <c r="P736" s="8" t="str">
        <f t="shared" si="112"/>
        <v>Tres Mil Bolívares con 00/100</v>
      </c>
      <c r="Q736" s="403" t="str">
        <f t="shared" si="107"/>
        <v/>
      </c>
    </row>
    <row r="737" spans="1:17" x14ac:dyDescent="0.25">
      <c r="A737" s="1">
        <f t="shared" si="108"/>
        <v>736</v>
      </c>
      <c r="C737" s="12" t="s">
        <v>17</v>
      </c>
      <c r="D737" s="2">
        <v>43086</v>
      </c>
      <c r="E737" s="3">
        <v>50000</v>
      </c>
      <c r="F737" t="s">
        <v>122</v>
      </c>
      <c r="G737" t="s">
        <v>123</v>
      </c>
      <c r="H737" t="s">
        <v>124</v>
      </c>
      <c r="I737" s="10" t="s">
        <v>575</v>
      </c>
      <c r="J737" s="167" t="s">
        <v>22</v>
      </c>
      <c r="L737" s="9" t="str">
        <f t="shared" si="104"/>
        <v>00736</v>
      </c>
      <c r="M737" s="71" t="str">
        <f t="shared" si="105"/>
        <v>17 de diciembre de 2017</v>
      </c>
      <c r="N737" s="39">
        <f t="shared" si="106"/>
        <v>43070</v>
      </c>
      <c r="O737" s="9" t="str">
        <f t="shared" si="111"/>
        <v>50.000,00</v>
      </c>
      <c r="P737" s="8" t="str">
        <f t="shared" si="112"/>
        <v>Cincuenta Mil Bolívares con 00/100</v>
      </c>
      <c r="Q737" s="403" t="str">
        <f t="shared" si="107"/>
        <v/>
      </c>
    </row>
    <row r="738" spans="1:17" x14ac:dyDescent="0.25">
      <c r="A738" s="1">
        <f t="shared" si="108"/>
        <v>737</v>
      </c>
      <c r="C738" s="12" t="s">
        <v>17</v>
      </c>
      <c r="D738" s="2">
        <v>43087</v>
      </c>
      <c r="E738" s="3">
        <v>50000</v>
      </c>
      <c r="F738" t="s">
        <v>594</v>
      </c>
      <c r="G738" t="s">
        <v>595</v>
      </c>
      <c r="H738" t="s">
        <v>596</v>
      </c>
      <c r="I738" s="10" t="s">
        <v>575</v>
      </c>
      <c r="J738" s="167" t="s">
        <v>22</v>
      </c>
      <c r="L738" s="9" t="str">
        <f t="shared" si="104"/>
        <v>00737</v>
      </c>
      <c r="M738" s="71" t="str">
        <f t="shared" si="105"/>
        <v>18 de diciembre de 2017</v>
      </c>
      <c r="N738" s="39">
        <f t="shared" si="106"/>
        <v>43070</v>
      </c>
      <c r="O738" s="9" t="str">
        <f t="shared" ref="O738:O754" si="113">TEXT(E738,"#.##0,00")</f>
        <v>50.000,00</v>
      </c>
      <c r="P738" s="8" t="str">
        <f t="shared" ref="P738:P754" si="114">CONVERTIRNUM(E738)</f>
        <v>Cincuenta Mil Bolívares con 00/100</v>
      </c>
      <c r="Q738" s="403" t="str">
        <f t="shared" si="107"/>
        <v/>
      </c>
    </row>
    <row r="739" spans="1:17" x14ac:dyDescent="0.25">
      <c r="A739" s="1">
        <f t="shared" si="108"/>
        <v>738</v>
      </c>
      <c r="C739" s="12" t="s">
        <v>17</v>
      </c>
      <c r="D739" s="2">
        <v>43088</v>
      </c>
      <c r="E739" s="3">
        <v>60000</v>
      </c>
      <c r="F739" t="s">
        <v>413</v>
      </c>
      <c r="G739" t="s">
        <v>414</v>
      </c>
      <c r="H739" t="s">
        <v>415</v>
      </c>
      <c r="I739" s="10" t="s">
        <v>590</v>
      </c>
      <c r="J739" s="167" t="s">
        <v>22</v>
      </c>
      <c r="L739" s="9" t="str">
        <f t="shared" si="104"/>
        <v>00738</v>
      </c>
      <c r="M739" s="71" t="str">
        <f t="shared" si="105"/>
        <v>19 de diciembre de 2017</v>
      </c>
      <c r="N739" s="39">
        <f t="shared" si="106"/>
        <v>43070</v>
      </c>
      <c r="O739" s="9" t="str">
        <f t="shared" si="113"/>
        <v>60.000,00</v>
      </c>
      <c r="P739" s="8" t="str">
        <f t="shared" si="114"/>
        <v>Sesenta Mil Bolívares con 00/100</v>
      </c>
      <c r="Q739" s="403" t="str">
        <f t="shared" si="107"/>
        <v/>
      </c>
    </row>
    <row r="740" spans="1:17" x14ac:dyDescent="0.25">
      <c r="A740" s="1">
        <f t="shared" si="108"/>
        <v>739</v>
      </c>
      <c r="C740" s="12" t="s">
        <v>17</v>
      </c>
      <c r="D740" s="2">
        <v>43089</v>
      </c>
      <c r="E740" s="3">
        <f>35000+50000*2</f>
        <v>135000</v>
      </c>
      <c r="F740" t="s">
        <v>114</v>
      </c>
      <c r="G740" t="s">
        <v>115</v>
      </c>
      <c r="H740" t="s">
        <v>116</v>
      </c>
      <c r="I740" s="10" t="s">
        <v>568</v>
      </c>
      <c r="J740" s="167" t="s">
        <v>22</v>
      </c>
      <c r="L740" s="9" t="str">
        <f t="shared" si="104"/>
        <v>00739</v>
      </c>
      <c r="M740" s="71" t="str">
        <f t="shared" si="105"/>
        <v>20 de diciembre de 2017</v>
      </c>
      <c r="N740" s="39">
        <f t="shared" si="106"/>
        <v>43070</v>
      </c>
      <c r="O740" s="9" t="str">
        <f t="shared" si="113"/>
        <v>135.000,00</v>
      </c>
      <c r="P740" s="8" t="str">
        <f t="shared" si="114"/>
        <v>Ciento Treinta y Cinco Mil Bolívares con 00/100</v>
      </c>
      <c r="Q740" s="403" t="str">
        <f t="shared" si="107"/>
        <v/>
      </c>
    </row>
    <row r="741" spans="1:17" x14ac:dyDescent="0.25">
      <c r="A741" s="1">
        <f t="shared" si="108"/>
        <v>740</v>
      </c>
      <c r="C741" s="12" t="s">
        <v>17</v>
      </c>
      <c r="D741" s="2">
        <v>43089</v>
      </c>
      <c r="E741" s="3">
        <v>40000</v>
      </c>
      <c r="F741" t="s">
        <v>342</v>
      </c>
      <c r="G741" t="s">
        <v>343</v>
      </c>
      <c r="H741" t="s">
        <v>344</v>
      </c>
      <c r="I741" s="10" t="s">
        <v>587</v>
      </c>
      <c r="J741" s="167" t="s">
        <v>22</v>
      </c>
      <c r="L741" s="9" t="str">
        <f t="shared" si="104"/>
        <v>00740</v>
      </c>
      <c r="M741" s="71" t="str">
        <f t="shared" si="105"/>
        <v>20 de diciembre de 2017</v>
      </c>
      <c r="N741" s="39">
        <f t="shared" si="106"/>
        <v>43070</v>
      </c>
      <c r="O741" s="9" t="str">
        <f t="shared" si="113"/>
        <v>40.000,00</v>
      </c>
      <c r="P741" s="8" t="str">
        <f t="shared" si="114"/>
        <v>Cuarenta Mil Bolívares con 00/100</v>
      </c>
      <c r="Q741" s="403" t="str">
        <f t="shared" si="107"/>
        <v/>
      </c>
    </row>
    <row r="742" spans="1:17" x14ac:dyDescent="0.25">
      <c r="A742" s="1">
        <f t="shared" si="108"/>
        <v>741</v>
      </c>
      <c r="C742" s="12" t="s">
        <v>17</v>
      </c>
      <c r="D742" s="2">
        <v>43089</v>
      </c>
      <c r="E742" s="3">
        <v>25000</v>
      </c>
      <c r="F742" t="s">
        <v>280</v>
      </c>
      <c r="G742" t="s">
        <v>281</v>
      </c>
      <c r="H742" t="s">
        <v>282</v>
      </c>
      <c r="I742" s="10" t="s">
        <v>597</v>
      </c>
      <c r="J742" s="167" t="s">
        <v>22</v>
      </c>
      <c r="L742" s="9" t="str">
        <f t="shared" si="104"/>
        <v>00741</v>
      </c>
      <c r="M742" s="71" t="str">
        <f t="shared" si="105"/>
        <v>20 de diciembre de 2017</v>
      </c>
      <c r="N742" s="39">
        <f t="shared" si="106"/>
        <v>43070</v>
      </c>
      <c r="O742" s="9" t="str">
        <f t="shared" si="113"/>
        <v>25.000,00</v>
      </c>
      <c r="P742" s="8" t="str">
        <f t="shared" si="114"/>
        <v>Veinticinco Mil Bolívares con 00/100</v>
      </c>
      <c r="Q742" s="403" t="str">
        <f t="shared" si="107"/>
        <v/>
      </c>
    </row>
    <row r="743" spans="1:17" x14ac:dyDescent="0.25">
      <c r="A743" s="1">
        <f t="shared" si="108"/>
        <v>742</v>
      </c>
      <c r="C743" s="12" t="s">
        <v>17</v>
      </c>
      <c r="D743" s="2">
        <v>43091</v>
      </c>
      <c r="E743" s="3">
        <v>17000</v>
      </c>
      <c r="F743" t="s">
        <v>402</v>
      </c>
      <c r="G743" t="s">
        <v>403</v>
      </c>
      <c r="H743" t="s">
        <v>404</v>
      </c>
      <c r="I743" s="10" t="s">
        <v>587</v>
      </c>
      <c r="J743" s="167" t="s">
        <v>22</v>
      </c>
      <c r="L743" s="9" t="str">
        <f t="shared" si="104"/>
        <v>00742</v>
      </c>
      <c r="M743" s="71" t="str">
        <f t="shared" si="105"/>
        <v>22 de diciembre de 2017</v>
      </c>
      <c r="N743" s="39">
        <f t="shared" si="106"/>
        <v>43070</v>
      </c>
      <c r="O743" s="9" t="str">
        <f t="shared" si="113"/>
        <v>17.000,00</v>
      </c>
      <c r="P743" s="8" t="str">
        <f t="shared" si="114"/>
        <v>Diecisiete Mil Bolívares con 00/100</v>
      </c>
      <c r="Q743" s="403" t="str">
        <f t="shared" si="107"/>
        <v/>
      </c>
    </row>
    <row r="744" spans="1:17" x14ac:dyDescent="0.25">
      <c r="A744" s="1">
        <f t="shared" si="108"/>
        <v>743</v>
      </c>
      <c r="C744" s="12" t="s">
        <v>17</v>
      </c>
      <c r="D744" s="2">
        <v>43091</v>
      </c>
      <c r="E744" s="3">
        <v>15000</v>
      </c>
      <c r="F744" t="s">
        <v>118</v>
      </c>
      <c r="G744" t="s">
        <v>119</v>
      </c>
      <c r="H744" t="s">
        <v>120</v>
      </c>
      <c r="I744" s="10" t="s">
        <v>566</v>
      </c>
      <c r="J744" s="167" t="s">
        <v>22</v>
      </c>
      <c r="L744" s="9" t="str">
        <f t="shared" si="104"/>
        <v>00743</v>
      </c>
      <c r="M744" s="71" t="str">
        <f t="shared" si="105"/>
        <v>22 de diciembre de 2017</v>
      </c>
      <c r="N744" s="39">
        <f t="shared" si="106"/>
        <v>43070</v>
      </c>
      <c r="O744" s="9" t="str">
        <f t="shared" si="113"/>
        <v>15.000,00</v>
      </c>
      <c r="P744" s="8" t="str">
        <f t="shared" si="114"/>
        <v>Quince Mil Bolívares con 00/100</v>
      </c>
      <c r="Q744" s="403" t="str">
        <f t="shared" si="107"/>
        <v/>
      </c>
    </row>
    <row r="745" spans="1:17" ht="15.75" thickBot="1" x14ac:dyDescent="0.3">
      <c r="A745" s="1">
        <f t="shared" si="108"/>
        <v>744</v>
      </c>
      <c r="C745" s="12" t="s">
        <v>17</v>
      </c>
      <c r="D745" s="2">
        <v>43092</v>
      </c>
      <c r="E745" s="3">
        <v>100000</v>
      </c>
      <c r="F745" t="s">
        <v>287</v>
      </c>
      <c r="G745" t="s">
        <v>288</v>
      </c>
      <c r="H745" t="s">
        <v>289</v>
      </c>
      <c r="I745" s="10" t="s">
        <v>583</v>
      </c>
      <c r="J745" s="167" t="s">
        <v>22</v>
      </c>
      <c r="L745" s="9" t="str">
        <f t="shared" si="104"/>
        <v>00744</v>
      </c>
      <c r="M745" s="71" t="str">
        <f t="shared" si="105"/>
        <v>23 de diciembre de 2017</v>
      </c>
      <c r="N745" s="39">
        <f t="shared" si="106"/>
        <v>43070</v>
      </c>
      <c r="O745" s="9" t="str">
        <f t="shared" si="113"/>
        <v>100.000,00</v>
      </c>
      <c r="P745" s="8" t="str">
        <f t="shared" si="114"/>
        <v>Cien Mil Bolívares con 00/100</v>
      </c>
      <c r="Q745" s="403" t="str">
        <f t="shared" si="107"/>
        <v/>
      </c>
    </row>
    <row r="746" spans="1:17" ht="15.75" thickBot="1" x14ac:dyDescent="0.3">
      <c r="A746" s="1">
        <f t="shared" si="108"/>
        <v>745</v>
      </c>
      <c r="C746" s="12" t="s">
        <v>17</v>
      </c>
      <c r="D746" s="2">
        <v>43095</v>
      </c>
      <c r="E746" s="3">
        <v>100000</v>
      </c>
      <c r="F746" t="s">
        <v>177</v>
      </c>
      <c r="G746" s="27" t="s">
        <v>58</v>
      </c>
      <c r="H746" t="s">
        <v>179</v>
      </c>
      <c r="I746" s="10" t="s">
        <v>598</v>
      </c>
      <c r="J746" s="167" t="s">
        <v>22</v>
      </c>
      <c r="L746" s="9" t="str">
        <f t="shared" si="104"/>
        <v>00745</v>
      </c>
      <c r="M746" s="71" t="str">
        <f t="shared" si="105"/>
        <v>26 de diciembre de 2017</v>
      </c>
      <c r="N746" s="39">
        <f t="shared" si="106"/>
        <v>43070</v>
      </c>
      <c r="O746" s="9" t="str">
        <f t="shared" si="113"/>
        <v>100.000,00</v>
      </c>
      <c r="P746" s="8" t="str">
        <f t="shared" si="114"/>
        <v>Cien Mil Bolívares con 00/100</v>
      </c>
      <c r="Q746" s="403" t="str">
        <f t="shared" si="107"/>
        <v/>
      </c>
    </row>
    <row r="747" spans="1:17" x14ac:dyDescent="0.25">
      <c r="A747" s="1">
        <f t="shared" si="108"/>
        <v>746</v>
      </c>
      <c r="C747" s="12" t="s">
        <v>17</v>
      </c>
      <c r="D747" s="2">
        <v>43095</v>
      </c>
      <c r="E747" s="3">
        <v>50000</v>
      </c>
      <c r="F747" t="s">
        <v>103</v>
      </c>
      <c r="G747" t="s">
        <v>104</v>
      </c>
      <c r="H747" t="s">
        <v>105</v>
      </c>
      <c r="I747" s="10" t="s">
        <v>575</v>
      </c>
      <c r="J747" s="167" t="s">
        <v>22</v>
      </c>
      <c r="L747" s="9" t="str">
        <f t="shared" si="104"/>
        <v>00746</v>
      </c>
      <c r="M747" s="71" t="str">
        <f t="shared" si="105"/>
        <v>26 de diciembre de 2017</v>
      </c>
      <c r="N747" s="39">
        <f t="shared" si="106"/>
        <v>43070</v>
      </c>
      <c r="O747" s="9" t="str">
        <f t="shared" si="113"/>
        <v>50.000,00</v>
      </c>
      <c r="P747" s="8" t="str">
        <f t="shared" si="114"/>
        <v>Cincuenta Mil Bolívares con 00/100</v>
      </c>
      <c r="Q747" s="403" t="str">
        <f t="shared" si="107"/>
        <v/>
      </c>
    </row>
    <row r="748" spans="1:17" x14ac:dyDescent="0.25">
      <c r="A748" s="1">
        <f t="shared" si="108"/>
        <v>747</v>
      </c>
      <c r="C748" s="12" t="s">
        <v>17</v>
      </c>
      <c r="D748" s="2">
        <v>43092</v>
      </c>
      <c r="E748" s="3">
        <v>50000</v>
      </c>
      <c r="F748" t="s">
        <v>211</v>
      </c>
      <c r="G748" t="s">
        <v>212</v>
      </c>
      <c r="H748" t="s">
        <v>213</v>
      </c>
      <c r="I748" s="10" t="s">
        <v>575</v>
      </c>
      <c r="J748" s="167" t="s">
        <v>22</v>
      </c>
      <c r="L748" s="9" t="str">
        <f t="shared" si="104"/>
        <v>00747</v>
      </c>
      <c r="M748" s="71" t="str">
        <f t="shared" si="105"/>
        <v>23 de diciembre de 2017</v>
      </c>
      <c r="N748" s="39">
        <f t="shared" si="106"/>
        <v>43070</v>
      </c>
      <c r="O748" s="9" t="str">
        <f t="shared" si="113"/>
        <v>50.000,00</v>
      </c>
      <c r="P748" s="8" t="str">
        <f t="shared" si="114"/>
        <v>Cincuenta Mil Bolívares con 00/100</v>
      </c>
      <c r="Q748" s="403" t="str">
        <f t="shared" si="107"/>
        <v/>
      </c>
    </row>
    <row r="749" spans="1:17" x14ac:dyDescent="0.25">
      <c r="A749" s="1">
        <f t="shared" si="108"/>
        <v>748</v>
      </c>
      <c r="C749" s="12" t="s">
        <v>17</v>
      </c>
      <c r="D749" s="2">
        <v>43095</v>
      </c>
      <c r="E749" s="3">
        <v>20000</v>
      </c>
      <c r="F749" t="s">
        <v>434</v>
      </c>
      <c r="G749" t="s">
        <v>435</v>
      </c>
      <c r="H749" t="s">
        <v>436</v>
      </c>
      <c r="I749" s="10" t="s">
        <v>599</v>
      </c>
      <c r="J749" s="167" t="s">
        <v>22</v>
      </c>
      <c r="L749" s="9" t="str">
        <f t="shared" si="104"/>
        <v>00748</v>
      </c>
      <c r="M749" s="71" t="str">
        <f t="shared" si="105"/>
        <v>26 de diciembre de 2017</v>
      </c>
      <c r="N749" s="39">
        <f t="shared" si="106"/>
        <v>43070</v>
      </c>
      <c r="O749" s="9" t="str">
        <f t="shared" si="113"/>
        <v>20.000,00</v>
      </c>
      <c r="P749" s="8" t="str">
        <f t="shared" si="114"/>
        <v>Veinte Mil Bolívares con 00/100</v>
      </c>
      <c r="Q749" s="403" t="str">
        <f t="shared" si="107"/>
        <v/>
      </c>
    </row>
    <row r="750" spans="1:17" ht="15.75" thickBot="1" x14ac:dyDescent="0.3">
      <c r="A750" s="1">
        <f t="shared" si="108"/>
        <v>749</v>
      </c>
      <c r="C750" s="12" t="s">
        <v>17</v>
      </c>
      <c r="D750" s="2">
        <v>43095</v>
      </c>
      <c r="E750" s="3">
        <v>50000</v>
      </c>
      <c r="F750" t="s">
        <v>558</v>
      </c>
      <c r="G750" t="s">
        <v>559</v>
      </c>
      <c r="H750" t="s">
        <v>560</v>
      </c>
      <c r="I750" s="10" t="s">
        <v>600</v>
      </c>
      <c r="J750" s="167" t="s">
        <v>22</v>
      </c>
      <c r="L750" s="9" t="str">
        <f t="shared" si="104"/>
        <v>00749</v>
      </c>
      <c r="M750" s="71" t="str">
        <f t="shared" si="105"/>
        <v>26 de diciembre de 2017</v>
      </c>
      <c r="N750" s="39">
        <f t="shared" si="106"/>
        <v>43070</v>
      </c>
      <c r="O750" s="9" t="str">
        <f t="shared" si="113"/>
        <v>50.000,00</v>
      </c>
      <c r="P750" s="8" t="str">
        <f t="shared" si="114"/>
        <v>Cincuenta Mil Bolívares con 00/100</v>
      </c>
      <c r="Q750" s="403" t="str">
        <f t="shared" si="107"/>
        <v/>
      </c>
    </row>
    <row r="751" spans="1:17" ht="15.75" thickBot="1" x14ac:dyDescent="0.3">
      <c r="A751" s="1">
        <f t="shared" si="108"/>
        <v>750</v>
      </c>
      <c r="C751" s="12" t="s">
        <v>17</v>
      </c>
      <c r="D751" s="2">
        <v>43096</v>
      </c>
      <c r="E751" s="3">
        <v>25000</v>
      </c>
      <c r="F751" t="s">
        <v>303</v>
      </c>
      <c r="G751" s="27" t="s">
        <v>58</v>
      </c>
      <c r="H751" t="s">
        <v>304</v>
      </c>
      <c r="I751" s="10" t="s">
        <v>566</v>
      </c>
      <c r="J751" s="167" t="s">
        <v>22</v>
      </c>
      <c r="L751" s="9" t="str">
        <f t="shared" si="104"/>
        <v>00750</v>
      </c>
      <c r="M751" s="71" t="str">
        <f t="shared" si="105"/>
        <v>27 de diciembre de 2017</v>
      </c>
      <c r="N751" s="39">
        <f t="shared" si="106"/>
        <v>43070</v>
      </c>
      <c r="O751" s="9" t="str">
        <f t="shared" si="113"/>
        <v>25.000,00</v>
      </c>
      <c r="P751" s="8" t="str">
        <f t="shared" si="114"/>
        <v>Veinticinco Mil Bolívares con 00/100</v>
      </c>
      <c r="Q751" s="403" t="str">
        <f t="shared" si="107"/>
        <v/>
      </c>
    </row>
    <row r="752" spans="1:17" x14ac:dyDescent="0.25">
      <c r="A752" s="1">
        <f t="shared" si="108"/>
        <v>751</v>
      </c>
      <c r="C752" s="12" t="s">
        <v>17</v>
      </c>
      <c r="D752" s="2">
        <v>43098</v>
      </c>
      <c r="E752" s="3">
        <v>100000</v>
      </c>
      <c r="F752" t="s">
        <v>248</v>
      </c>
      <c r="G752" t="s">
        <v>249</v>
      </c>
      <c r="H752" t="s">
        <v>250</v>
      </c>
      <c r="I752" s="10" t="s">
        <v>570</v>
      </c>
      <c r="J752" s="167" t="s">
        <v>22</v>
      </c>
      <c r="L752" s="9" t="str">
        <f t="shared" si="104"/>
        <v>00751</v>
      </c>
      <c r="M752" s="71" t="str">
        <f t="shared" si="105"/>
        <v>29 de diciembre de 2017</v>
      </c>
      <c r="N752" s="39">
        <f t="shared" si="106"/>
        <v>43070</v>
      </c>
      <c r="O752" s="9" t="str">
        <f t="shared" si="113"/>
        <v>100.000,00</v>
      </c>
      <c r="P752" s="8" t="str">
        <f t="shared" si="114"/>
        <v>Cien Mil Bolívares con 00/100</v>
      </c>
      <c r="Q752" s="403" t="str">
        <f t="shared" si="107"/>
        <v/>
      </c>
    </row>
    <row r="753" spans="1:17" x14ac:dyDescent="0.25">
      <c r="A753" s="1">
        <f t="shared" si="108"/>
        <v>752</v>
      </c>
      <c r="C753" s="12" t="s">
        <v>17</v>
      </c>
      <c r="D753" s="2">
        <v>43102</v>
      </c>
      <c r="E753" s="3">
        <v>30000</v>
      </c>
      <c r="F753" t="s">
        <v>84</v>
      </c>
      <c r="G753" t="s">
        <v>85</v>
      </c>
      <c r="H753" t="s">
        <v>86</v>
      </c>
      <c r="I753" s="10" t="s">
        <v>601</v>
      </c>
      <c r="J753" s="167" t="s">
        <v>22</v>
      </c>
      <c r="L753" s="9" t="str">
        <f t="shared" si="104"/>
        <v>00752</v>
      </c>
      <c r="M753" s="71" t="str">
        <f t="shared" si="105"/>
        <v>02 de enero de 2018</v>
      </c>
      <c r="N753" s="39">
        <f t="shared" si="106"/>
        <v>43101</v>
      </c>
      <c r="O753" s="9" t="str">
        <f t="shared" si="113"/>
        <v>30.000,00</v>
      </c>
      <c r="P753" s="8" t="str">
        <f t="shared" si="114"/>
        <v>Treinta Mil Bolívares con 00/100</v>
      </c>
      <c r="Q753" s="403" t="str">
        <f t="shared" si="107"/>
        <v/>
      </c>
    </row>
    <row r="754" spans="1:17" x14ac:dyDescent="0.25">
      <c r="A754" s="1">
        <f t="shared" si="108"/>
        <v>753</v>
      </c>
      <c r="C754" s="12" t="s">
        <v>17</v>
      </c>
      <c r="D754" s="2">
        <v>43102</v>
      </c>
      <c r="E754" s="3">
        <v>30000</v>
      </c>
      <c r="F754" t="s">
        <v>28</v>
      </c>
      <c r="G754" t="s">
        <v>29</v>
      </c>
      <c r="H754" t="s">
        <v>30</v>
      </c>
      <c r="I754" s="10" t="s">
        <v>587</v>
      </c>
      <c r="J754" s="167" t="s">
        <v>22</v>
      </c>
      <c r="L754" s="9" t="str">
        <f t="shared" si="104"/>
        <v>00753</v>
      </c>
      <c r="M754" s="71" t="str">
        <f t="shared" si="105"/>
        <v>02 de enero de 2018</v>
      </c>
      <c r="N754" s="39">
        <f t="shared" si="106"/>
        <v>43101</v>
      </c>
      <c r="O754" s="9" t="str">
        <f t="shared" si="113"/>
        <v>30.000,00</v>
      </c>
      <c r="P754" s="8" t="str">
        <f t="shared" si="114"/>
        <v>Treinta Mil Bolívares con 00/100</v>
      </c>
      <c r="Q754" s="403" t="str">
        <f t="shared" si="107"/>
        <v/>
      </c>
    </row>
    <row r="755" spans="1:17" x14ac:dyDescent="0.25">
      <c r="A755" s="1">
        <f t="shared" si="108"/>
        <v>754</v>
      </c>
      <c r="C755" s="12" t="s">
        <v>17</v>
      </c>
      <c r="D755" s="2">
        <v>43104</v>
      </c>
      <c r="E755" s="3">
        <v>45000</v>
      </c>
      <c r="F755" t="s">
        <v>118</v>
      </c>
      <c r="G755" t="s">
        <v>119</v>
      </c>
      <c r="H755" t="s">
        <v>120</v>
      </c>
      <c r="I755" s="10" t="s">
        <v>587</v>
      </c>
      <c r="J755" s="167" t="s">
        <v>22</v>
      </c>
      <c r="L755" s="9" t="str">
        <f t="shared" si="104"/>
        <v>00754</v>
      </c>
      <c r="M755" s="71" t="str">
        <f t="shared" si="105"/>
        <v>04 de enero de 2018</v>
      </c>
      <c r="N755" s="39">
        <f t="shared" si="106"/>
        <v>43101</v>
      </c>
      <c r="O755" s="9" t="str">
        <f>TEXT(E755,"#.##0,00")</f>
        <v>45.000,00</v>
      </c>
      <c r="P755" s="8" t="str">
        <f>CONVERTIRNUM(E755)</f>
        <v>Cuarenta y Cinco Mil Bolívares con 00/100</v>
      </c>
      <c r="Q755" s="403" t="str">
        <f t="shared" si="107"/>
        <v/>
      </c>
    </row>
    <row r="756" spans="1:17" x14ac:dyDescent="0.25">
      <c r="A756" s="1">
        <f t="shared" si="108"/>
        <v>755</v>
      </c>
      <c r="C756" s="12" t="s">
        <v>17</v>
      </c>
      <c r="D756" s="2">
        <v>43098</v>
      </c>
      <c r="E756" s="3">
        <v>50000</v>
      </c>
      <c r="F756" t="s">
        <v>44</v>
      </c>
      <c r="G756" t="s">
        <v>45</v>
      </c>
      <c r="H756" t="s">
        <v>46</v>
      </c>
      <c r="I756" s="10" t="s">
        <v>602</v>
      </c>
      <c r="J756" s="167" t="s">
        <v>22</v>
      </c>
      <c r="L756" s="9" t="str">
        <f t="shared" si="104"/>
        <v>00755</v>
      </c>
      <c r="M756" s="71" t="str">
        <f t="shared" si="105"/>
        <v>29 de diciembre de 2017</v>
      </c>
      <c r="N756" s="39">
        <f t="shared" si="106"/>
        <v>43070</v>
      </c>
      <c r="O756" s="9" t="str">
        <f>TEXT(E756,"#.##0,00")</f>
        <v>50.000,00</v>
      </c>
      <c r="P756" s="8" t="str">
        <f>CONVERTIRNUM(E756)</f>
        <v>Cincuenta Mil Bolívares con 00/100</v>
      </c>
      <c r="Q756" s="403" t="str">
        <f t="shared" si="107"/>
        <v/>
      </c>
    </row>
    <row r="757" spans="1:17" x14ac:dyDescent="0.25">
      <c r="A757" s="1">
        <f t="shared" si="108"/>
        <v>756</v>
      </c>
      <c r="C757" s="12" t="s">
        <v>17</v>
      </c>
      <c r="D757" s="2">
        <v>43107</v>
      </c>
      <c r="E757" s="3">
        <v>50000</v>
      </c>
      <c r="F757" t="s">
        <v>70</v>
      </c>
      <c r="G757" t="s">
        <v>71</v>
      </c>
      <c r="H757" t="s">
        <v>72</v>
      </c>
      <c r="I757" s="10" t="s">
        <v>602</v>
      </c>
      <c r="J757" s="167" t="s">
        <v>22</v>
      </c>
      <c r="L757" s="9" t="str">
        <f t="shared" si="104"/>
        <v>00756</v>
      </c>
      <c r="M757" s="71" t="str">
        <f t="shared" si="105"/>
        <v>07 de enero de 2018</v>
      </c>
      <c r="N757" s="39">
        <f t="shared" si="106"/>
        <v>43101</v>
      </c>
      <c r="O757" s="9" t="str">
        <f>TEXT(E757,"#.##0,00")</f>
        <v>50.000,00</v>
      </c>
      <c r="P757" s="8" t="str">
        <f>CONVERTIRNUM(E757)</f>
        <v>Cincuenta Mil Bolívares con 00/100</v>
      </c>
      <c r="Q757" s="403" t="str">
        <f t="shared" si="107"/>
        <v/>
      </c>
    </row>
    <row r="758" spans="1:17" x14ac:dyDescent="0.25">
      <c r="A758" s="1">
        <f t="shared" si="108"/>
        <v>757</v>
      </c>
      <c r="C758" s="12" t="s">
        <v>17</v>
      </c>
      <c r="D758" s="2">
        <v>43110</v>
      </c>
      <c r="E758" s="3">
        <v>50000</v>
      </c>
      <c r="F758" t="s">
        <v>219</v>
      </c>
      <c r="G758" t="s">
        <v>220</v>
      </c>
      <c r="H758" t="s">
        <v>221</v>
      </c>
      <c r="I758" s="10" t="s">
        <v>575</v>
      </c>
      <c r="J758" s="167" t="s">
        <v>22</v>
      </c>
      <c r="L758" s="9" t="str">
        <f t="shared" si="104"/>
        <v>00757</v>
      </c>
      <c r="M758" s="71" t="str">
        <f t="shared" si="105"/>
        <v>10 de enero de 2018</v>
      </c>
      <c r="N758" s="39">
        <f t="shared" si="106"/>
        <v>43101</v>
      </c>
      <c r="O758" s="9" t="str">
        <f>TEXT(E758,"#.##0,00")</f>
        <v>50.000,00</v>
      </c>
      <c r="P758" s="8" t="str">
        <f>CONVERTIRNUM(E758)</f>
        <v>Cincuenta Mil Bolívares con 00/100</v>
      </c>
      <c r="Q758" s="403" t="str">
        <f t="shared" si="107"/>
        <v/>
      </c>
    </row>
    <row r="759" spans="1:17" x14ac:dyDescent="0.25">
      <c r="A759" s="1">
        <f t="shared" si="108"/>
        <v>758</v>
      </c>
      <c r="C759" s="12" t="s">
        <v>17</v>
      </c>
      <c r="D759" s="2">
        <v>43110</v>
      </c>
      <c r="E759" s="3">
        <v>30000</v>
      </c>
      <c r="F759" t="s">
        <v>70</v>
      </c>
      <c r="G759" t="s">
        <v>71</v>
      </c>
      <c r="H759" t="s">
        <v>72</v>
      </c>
      <c r="I759" s="10" t="s">
        <v>603</v>
      </c>
      <c r="J759" s="167" t="s">
        <v>22</v>
      </c>
      <c r="L759" s="9" t="str">
        <f t="shared" si="104"/>
        <v>00758</v>
      </c>
      <c r="M759" s="71" t="str">
        <f t="shared" si="105"/>
        <v>10 de enero de 2018</v>
      </c>
      <c r="N759" s="39">
        <f t="shared" si="106"/>
        <v>43101</v>
      </c>
      <c r="O759" s="9" t="str">
        <f t="shared" ref="O759:O769" si="115">TEXT(E759,"#.##0,00")</f>
        <v>30.000,00</v>
      </c>
      <c r="P759" s="8" t="str">
        <f t="shared" ref="P759:P769" si="116">CONVERTIRNUM(E759)</f>
        <v>Treinta Mil Bolívares con 00/100</v>
      </c>
      <c r="Q759" s="403" t="str">
        <f t="shared" si="107"/>
        <v/>
      </c>
    </row>
    <row r="760" spans="1:17" x14ac:dyDescent="0.25">
      <c r="A760" s="1">
        <f t="shared" si="108"/>
        <v>759</v>
      </c>
      <c r="C760" s="12" t="s">
        <v>17</v>
      </c>
      <c r="D760" s="2">
        <v>43110</v>
      </c>
      <c r="E760" s="3">
        <v>30000</v>
      </c>
      <c r="F760" t="s">
        <v>558</v>
      </c>
      <c r="G760" t="s">
        <v>559</v>
      </c>
      <c r="H760" t="s">
        <v>560</v>
      </c>
      <c r="I760" s="10" t="s">
        <v>603</v>
      </c>
      <c r="J760" s="167" t="s">
        <v>22</v>
      </c>
      <c r="L760" s="9" t="str">
        <f t="shared" si="104"/>
        <v>00759</v>
      </c>
      <c r="M760" s="71" t="str">
        <f t="shared" si="105"/>
        <v>10 de enero de 2018</v>
      </c>
      <c r="N760" s="39">
        <f t="shared" si="106"/>
        <v>43101</v>
      </c>
      <c r="O760" s="9" t="str">
        <f t="shared" si="115"/>
        <v>30.000,00</v>
      </c>
      <c r="P760" s="8" t="str">
        <f t="shared" si="116"/>
        <v>Treinta Mil Bolívares con 00/100</v>
      </c>
      <c r="Q760" s="403" t="str">
        <f t="shared" si="107"/>
        <v/>
      </c>
    </row>
    <row r="761" spans="1:17" x14ac:dyDescent="0.25">
      <c r="A761" s="1">
        <f t="shared" si="108"/>
        <v>760</v>
      </c>
      <c r="C761" s="12" t="s">
        <v>17</v>
      </c>
      <c r="D761" s="2">
        <v>43110</v>
      </c>
      <c r="E761" s="3">
        <v>80000</v>
      </c>
      <c r="F761" t="s">
        <v>18</v>
      </c>
      <c r="G761" t="s">
        <v>19</v>
      </c>
      <c r="H761" t="s">
        <v>20</v>
      </c>
      <c r="I761" s="10" t="s">
        <v>604</v>
      </c>
      <c r="J761" s="167" t="s">
        <v>22</v>
      </c>
      <c r="L761" s="9" t="str">
        <f t="shared" si="104"/>
        <v>00760</v>
      </c>
      <c r="M761" s="71" t="str">
        <f t="shared" si="105"/>
        <v>10 de enero de 2018</v>
      </c>
      <c r="N761" s="39">
        <f t="shared" si="106"/>
        <v>43101</v>
      </c>
      <c r="O761" s="9" t="str">
        <f t="shared" si="115"/>
        <v>80.000,00</v>
      </c>
      <c r="P761" s="8" t="str">
        <f t="shared" si="116"/>
        <v>Ochenta Mil Bolívares con 00/100</v>
      </c>
      <c r="Q761" s="403" t="str">
        <f t="shared" si="107"/>
        <v/>
      </c>
    </row>
    <row r="762" spans="1:17" x14ac:dyDescent="0.25">
      <c r="A762" s="1">
        <f t="shared" si="108"/>
        <v>761</v>
      </c>
      <c r="C762" s="12" t="s">
        <v>17</v>
      </c>
      <c r="D762" s="2">
        <v>43110</v>
      </c>
      <c r="E762" s="3">
        <v>50000</v>
      </c>
      <c r="F762" t="s">
        <v>363</v>
      </c>
      <c r="G762" t="s">
        <v>364</v>
      </c>
      <c r="H762" t="s">
        <v>365</v>
      </c>
      <c r="I762" s="10" t="s">
        <v>575</v>
      </c>
      <c r="J762" s="167" t="s">
        <v>22</v>
      </c>
      <c r="L762" s="9" t="str">
        <f t="shared" si="104"/>
        <v>00761</v>
      </c>
      <c r="M762" s="71" t="str">
        <f t="shared" si="105"/>
        <v>10 de enero de 2018</v>
      </c>
      <c r="N762" s="39">
        <f t="shared" si="106"/>
        <v>43101</v>
      </c>
      <c r="O762" s="9" t="str">
        <f t="shared" si="115"/>
        <v>50.000,00</v>
      </c>
      <c r="P762" s="8" t="str">
        <f t="shared" si="116"/>
        <v>Cincuenta Mil Bolívares con 00/100</v>
      </c>
      <c r="Q762" s="403" t="str">
        <f t="shared" si="107"/>
        <v/>
      </c>
    </row>
    <row r="763" spans="1:17" x14ac:dyDescent="0.25">
      <c r="A763" s="1">
        <f t="shared" si="108"/>
        <v>762</v>
      </c>
      <c r="C763" s="12" t="s">
        <v>17</v>
      </c>
      <c r="D763" s="2">
        <v>43110</v>
      </c>
      <c r="E763" s="3">
        <v>130000</v>
      </c>
      <c r="F763" t="s">
        <v>148</v>
      </c>
      <c r="G763" t="s">
        <v>149</v>
      </c>
      <c r="H763" t="s">
        <v>150</v>
      </c>
      <c r="I763" s="10" t="s">
        <v>583</v>
      </c>
      <c r="J763" s="167" t="s">
        <v>22</v>
      </c>
      <c r="L763" s="9" t="str">
        <f t="shared" si="104"/>
        <v>00762</v>
      </c>
      <c r="M763" s="71" t="str">
        <f t="shared" si="105"/>
        <v>10 de enero de 2018</v>
      </c>
      <c r="N763" s="39">
        <f t="shared" si="106"/>
        <v>43101</v>
      </c>
      <c r="O763" s="9" t="str">
        <f t="shared" si="115"/>
        <v>130.000,00</v>
      </c>
      <c r="P763" s="8" t="str">
        <f t="shared" si="116"/>
        <v>Ciento Treinta Mil Bolívares con 00/100</v>
      </c>
      <c r="Q763" s="403" t="str">
        <f t="shared" si="107"/>
        <v/>
      </c>
    </row>
    <row r="764" spans="1:17" x14ac:dyDescent="0.25">
      <c r="A764" s="1">
        <f t="shared" si="108"/>
        <v>763</v>
      </c>
      <c r="C764" s="12" t="s">
        <v>17</v>
      </c>
      <c r="D764" s="2">
        <v>43110</v>
      </c>
      <c r="E764" s="3">
        <v>80000</v>
      </c>
      <c r="F764" t="s">
        <v>107</v>
      </c>
      <c r="G764" t="s">
        <v>108</v>
      </c>
      <c r="H764" t="s">
        <v>109</v>
      </c>
      <c r="I764" s="10" t="s">
        <v>600</v>
      </c>
      <c r="J764" s="167" t="s">
        <v>22</v>
      </c>
      <c r="L764" s="9" t="str">
        <f t="shared" si="104"/>
        <v>00763</v>
      </c>
      <c r="M764" s="71" t="str">
        <f t="shared" si="105"/>
        <v>10 de enero de 2018</v>
      </c>
      <c r="N764" s="39">
        <f t="shared" si="106"/>
        <v>43101</v>
      </c>
      <c r="O764" s="9" t="str">
        <f t="shared" si="115"/>
        <v>80.000,00</v>
      </c>
      <c r="P764" s="8" t="str">
        <f t="shared" si="116"/>
        <v>Ochenta Mil Bolívares con 00/100</v>
      </c>
      <c r="Q764" s="403" t="str">
        <f t="shared" si="107"/>
        <v/>
      </c>
    </row>
    <row r="765" spans="1:17" x14ac:dyDescent="0.25">
      <c r="A765" s="1">
        <f t="shared" si="108"/>
        <v>764</v>
      </c>
      <c r="C765" s="12" t="s">
        <v>17</v>
      </c>
      <c r="D765" s="2">
        <v>43110</v>
      </c>
      <c r="E765" s="3">
        <v>70000</v>
      </c>
      <c r="F765" t="s">
        <v>197</v>
      </c>
      <c r="G765" t="s">
        <v>198</v>
      </c>
      <c r="H765" t="s">
        <v>199</v>
      </c>
      <c r="I765" s="10" t="s">
        <v>605</v>
      </c>
      <c r="J765" s="167" t="s">
        <v>22</v>
      </c>
      <c r="L765" s="9" t="str">
        <f t="shared" si="104"/>
        <v>00764</v>
      </c>
      <c r="M765" s="71" t="str">
        <f t="shared" si="105"/>
        <v>10 de enero de 2018</v>
      </c>
      <c r="N765" s="39">
        <f t="shared" si="106"/>
        <v>43101</v>
      </c>
      <c r="O765" s="9" t="str">
        <f t="shared" si="115"/>
        <v>70.000,00</v>
      </c>
      <c r="P765" s="8" t="str">
        <f t="shared" si="116"/>
        <v>Setenta Mil Bolívares con 00/100</v>
      </c>
      <c r="Q765" s="403" t="str">
        <f t="shared" si="107"/>
        <v/>
      </c>
    </row>
    <row r="766" spans="1:17" x14ac:dyDescent="0.25">
      <c r="A766" s="1">
        <f t="shared" si="108"/>
        <v>765</v>
      </c>
      <c r="C766" s="12" t="s">
        <v>17</v>
      </c>
      <c r="D766" s="2">
        <v>43111</v>
      </c>
      <c r="E766" s="3">
        <v>160000</v>
      </c>
      <c r="F766" t="s">
        <v>324</v>
      </c>
      <c r="G766" t="s">
        <v>325</v>
      </c>
      <c r="H766" t="s">
        <v>326</v>
      </c>
      <c r="I766" s="10" t="s">
        <v>606</v>
      </c>
      <c r="J766" s="167" t="s">
        <v>22</v>
      </c>
      <c r="L766" s="9" t="str">
        <f t="shared" si="104"/>
        <v>00765</v>
      </c>
      <c r="M766" s="71" t="str">
        <f t="shared" si="105"/>
        <v>11 de enero de 2018</v>
      </c>
      <c r="N766" s="39">
        <f t="shared" si="106"/>
        <v>43101</v>
      </c>
      <c r="O766" s="9" t="str">
        <f t="shared" si="115"/>
        <v>160.000,00</v>
      </c>
      <c r="P766" s="8" t="str">
        <f t="shared" si="116"/>
        <v>Ciento Sesenta Mil Bolívares con 00/100</v>
      </c>
      <c r="Q766" s="403" t="str">
        <f t="shared" si="107"/>
        <v/>
      </c>
    </row>
    <row r="767" spans="1:17" x14ac:dyDescent="0.25">
      <c r="A767" s="1">
        <f t="shared" si="108"/>
        <v>766</v>
      </c>
      <c r="C767" s="12" t="s">
        <v>17</v>
      </c>
      <c r="D767" s="2">
        <v>43111</v>
      </c>
      <c r="E767" s="3">
        <v>80000</v>
      </c>
      <c r="F767" t="s">
        <v>152</v>
      </c>
      <c r="G767" t="s">
        <v>153</v>
      </c>
      <c r="H767" t="s">
        <v>154</v>
      </c>
      <c r="I767" s="10" t="s">
        <v>600</v>
      </c>
      <c r="J767" s="167" t="s">
        <v>22</v>
      </c>
      <c r="L767" s="9" t="str">
        <f t="shared" si="104"/>
        <v>00766</v>
      </c>
      <c r="M767" s="71" t="str">
        <f t="shared" si="105"/>
        <v>11 de enero de 2018</v>
      </c>
      <c r="N767" s="39">
        <f t="shared" si="106"/>
        <v>43101</v>
      </c>
      <c r="O767" s="9" t="str">
        <f t="shared" si="115"/>
        <v>80.000,00</v>
      </c>
      <c r="P767" s="8" t="str">
        <f t="shared" si="116"/>
        <v>Ochenta Mil Bolívares con 00/100</v>
      </c>
      <c r="Q767" s="403" t="str">
        <f t="shared" si="107"/>
        <v/>
      </c>
    </row>
    <row r="768" spans="1:17" x14ac:dyDescent="0.25">
      <c r="A768" s="1">
        <f t="shared" si="108"/>
        <v>767</v>
      </c>
      <c r="C768" s="12" t="s">
        <v>17</v>
      </c>
      <c r="D768" s="2">
        <v>43111</v>
      </c>
      <c r="E768" s="3">
        <v>80000</v>
      </c>
      <c r="F768" t="s">
        <v>94</v>
      </c>
      <c r="G768" t="s">
        <v>607</v>
      </c>
      <c r="H768" t="s">
        <v>96</v>
      </c>
      <c r="I768" s="10" t="s">
        <v>600</v>
      </c>
      <c r="J768" s="167" t="s">
        <v>22</v>
      </c>
      <c r="L768" s="9" t="str">
        <f t="shared" si="104"/>
        <v>00767</v>
      </c>
      <c r="M768" s="71" t="str">
        <f t="shared" si="105"/>
        <v>11 de enero de 2018</v>
      </c>
      <c r="N768" s="39">
        <f t="shared" si="106"/>
        <v>43101</v>
      </c>
      <c r="O768" s="9" t="str">
        <f t="shared" si="115"/>
        <v>80.000,00</v>
      </c>
      <c r="P768" s="8" t="str">
        <f t="shared" si="116"/>
        <v>Ochenta Mil Bolívares con 00/100</v>
      </c>
      <c r="Q768" s="403" t="str">
        <f t="shared" si="107"/>
        <v/>
      </c>
    </row>
    <row r="769" spans="1:17" x14ac:dyDescent="0.25">
      <c r="A769" s="1">
        <f t="shared" si="108"/>
        <v>768</v>
      </c>
      <c r="C769" s="12" t="s">
        <v>17</v>
      </c>
      <c r="D769" s="2">
        <v>43111</v>
      </c>
      <c r="E769" s="3">
        <f>50000*2</f>
        <v>100000</v>
      </c>
      <c r="F769" t="s">
        <v>230</v>
      </c>
      <c r="G769" t="s">
        <v>231</v>
      </c>
      <c r="H769" t="s">
        <v>232</v>
      </c>
      <c r="I769" s="10" t="s">
        <v>570</v>
      </c>
      <c r="J769" s="167" t="s">
        <v>22</v>
      </c>
      <c r="L769" s="9" t="str">
        <f t="shared" si="104"/>
        <v>00768</v>
      </c>
      <c r="M769" s="71" t="str">
        <f t="shared" si="105"/>
        <v>11 de enero de 2018</v>
      </c>
      <c r="N769" s="39">
        <f t="shared" si="106"/>
        <v>43101</v>
      </c>
      <c r="O769" s="9" t="str">
        <f t="shared" si="115"/>
        <v>100.000,00</v>
      </c>
      <c r="P769" s="8" t="str">
        <f t="shared" si="116"/>
        <v>Cien Mil Bolívares con 00/100</v>
      </c>
      <c r="Q769" s="403" t="str">
        <f t="shared" si="107"/>
        <v/>
      </c>
    </row>
    <row r="770" spans="1:17" x14ac:dyDescent="0.25">
      <c r="A770" s="1">
        <f t="shared" si="108"/>
        <v>769</v>
      </c>
      <c r="C770" s="12" t="s">
        <v>17</v>
      </c>
      <c r="D770" s="2">
        <v>43111</v>
      </c>
      <c r="E770" s="3">
        <v>80000</v>
      </c>
      <c r="F770" t="s">
        <v>363</v>
      </c>
      <c r="G770" t="s">
        <v>364</v>
      </c>
      <c r="H770" t="s">
        <v>365</v>
      </c>
      <c r="I770" s="10" t="s">
        <v>600</v>
      </c>
      <c r="J770" s="167" t="s">
        <v>22</v>
      </c>
      <c r="L770" s="9" t="str">
        <f t="shared" ref="L770:L833" si="117">IF(ISBLANK(A770),"",TEXT(A770,"00000"))</f>
        <v>00769</v>
      </c>
      <c r="M770" s="71" t="str">
        <f t="shared" ref="M770:M833" si="118">IF(ISBLANK(D770),"",TEXT(D770,"dd")&amp;" de "&amp;TEXT(D770,"mmmm")&amp;" de "&amp;TEXT(YEAR(D770),"0"))</f>
        <v>11 de enero de 2018</v>
      </c>
      <c r="N770" s="39">
        <f t="shared" ref="N770:N833" si="119">DATE(YEAR(D770),MONTH(D770),1)</f>
        <v>43101</v>
      </c>
      <c r="O770" s="9" t="str">
        <f t="shared" ref="O770:O787" si="120">TEXT(E770,"#.##0,00")</f>
        <v>80.000,00</v>
      </c>
      <c r="P770" s="8" t="str">
        <f t="shared" ref="P770:P787" si="121">CONVERTIRNUM(E770)</f>
        <v>Ochenta Mil Bolívares con 00/100</v>
      </c>
      <c r="Q770" s="403" t="str">
        <f t="shared" si="107"/>
        <v/>
      </c>
    </row>
    <row r="771" spans="1:17" x14ac:dyDescent="0.25">
      <c r="A771" s="1">
        <f t="shared" si="108"/>
        <v>770</v>
      </c>
      <c r="C771" s="12" t="s">
        <v>17</v>
      </c>
      <c r="D771" s="2">
        <v>43111</v>
      </c>
      <c r="E771" s="3">
        <v>80000</v>
      </c>
      <c r="F771" t="s">
        <v>243</v>
      </c>
      <c r="G771" t="s">
        <v>244</v>
      </c>
      <c r="H771" t="s">
        <v>245</v>
      </c>
      <c r="I771" s="10" t="s">
        <v>600</v>
      </c>
      <c r="J771" s="167" t="s">
        <v>22</v>
      </c>
      <c r="L771" s="9" t="str">
        <f t="shared" si="117"/>
        <v>00770</v>
      </c>
      <c r="M771" s="71" t="str">
        <f t="shared" si="118"/>
        <v>11 de enero de 2018</v>
      </c>
      <c r="N771" s="39">
        <f t="shared" si="119"/>
        <v>43101</v>
      </c>
      <c r="O771" s="9" t="str">
        <f t="shared" si="120"/>
        <v>80.000,00</v>
      </c>
      <c r="P771" s="8" t="str">
        <f t="shared" si="121"/>
        <v>Ochenta Mil Bolívares con 00/100</v>
      </c>
      <c r="Q771" s="403" t="str">
        <f t="shared" ref="Q771:Q834" si="122">IF(C771="û","Anulado","")</f>
        <v/>
      </c>
    </row>
    <row r="772" spans="1:17" x14ac:dyDescent="0.25">
      <c r="A772" s="1">
        <f t="shared" ref="A772:A835" si="123">A771+1</f>
        <v>771</v>
      </c>
      <c r="C772" s="12" t="s">
        <v>17</v>
      </c>
      <c r="D772" s="2">
        <v>43111</v>
      </c>
      <c r="E772" s="3">
        <v>80000</v>
      </c>
      <c r="F772" t="s">
        <v>24</v>
      </c>
      <c r="G772" t="s">
        <v>25</v>
      </c>
      <c r="H772" t="s">
        <v>26</v>
      </c>
      <c r="I772" s="10" t="s">
        <v>600</v>
      </c>
      <c r="J772" s="167" t="s">
        <v>22</v>
      </c>
      <c r="L772" s="9" t="str">
        <f t="shared" si="117"/>
        <v>00771</v>
      </c>
      <c r="M772" s="71" t="str">
        <f t="shared" si="118"/>
        <v>11 de enero de 2018</v>
      </c>
      <c r="N772" s="39">
        <f t="shared" si="119"/>
        <v>43101</v>
      </c>
      <c r="O772" s="9" t="str">
        <f t="shared" si="120"/>
        <v>80.000,00</v>
      </c>
      <c r="P772" s="8" t="str">
        <f t="shared" si="121"/>
        <v>Ochenta Mil Bolívares con 00/100</v>
      </c>
      <c r="Q772" s="403" t="str">
        <f t="shared" si="122"/>
        <v/>
      </c>
    </row>
    <row r="773" spans="1:17" x14ac:dyDescent="0.25">
      <c r="A773" s="1">
        <f t="shared" si="123"/>
        <v>772</v>
      </c>
      <c r="C773" s="12" t="s">
        <v>17</v>
      </c>
      <c r="D773" s="2">
        <v>43112</v>
      </c>
      <c r="E773" s="3">
        <v>160000</v>
      </c>
      <c r="F773" t="s">
        <v>66</v>
      </c>
      <c r="G773" t="s">
        <v>67</v>
      </c>
      <c r="H773" t="s">
        <v>68</v>
      </c>
      <c r="I773" s="10" t="s">
        <v>608</v>
      </c>
      <c r="J773" s="167" t="s">
        <v>22</v>
      </c>
      <c r="L773" s="9" t="str">
        <f t="shared" si="117"/>
        <v>00772</v>
      </c>
      <c r="M773" s="71" t="str">
        <f t="shared" si="118"/>
        <v>12 de enero de 2018</v>
      </c>
      <c r="N773" s="39">
        <f t="shared" si="119"/>
        <v>43101</v>
      </c>
      <c r="O773" s="9" t="str">
        <f t="shared" si="120"/>
        <v>160.000,00</v>
      </c>
      <c r="P773" s="8" t="str">
        <f t="shared" si="121"/>
        <v>Ciento Sesenta Mil Bolívares con 00/100</v>
      </c>
      <c r="Q773" s="403" t="str">
        <f t="shared" si="122"/>
        <v/>
      </c>
    </row>
    <row r="774" spans="1:17" x14ac:dyDescent="0.25">
      <c r="A774" s="1">
        <f t="shared" si="123"/>
        <v>773</v>
      </c>
      <c r="C774" s="12" t="s">
        <v>17</v>
      </c>
      <c r="D774" s="2">
        <v>43113</v>
      </c>
      <c r="E774" s="3">
        <v>80000</v>
      </c>
      <c r="F774" t="s">
        <v>103</v>
      </c>
      <c r="G774" t="s">
        <v>104</v>
      </c>
      <c r="H774" t="s">
        <v>105</v>
      </c>
      <c r="I774" s="10" t="s">
        <v>600</v>
      </c>
      <c r="J774" s="167" t="s">
        <v>22</v>
      </c>
      <c r="L774" s="9" t="str">
        <f t="shared" si="117"/>
        <v>00773</v>
      </c>
      <c r="M774" s="71" t="str">
        <f t="shared" si="118"/>
        <v>13 de enero de 2018</v>
      </c>
      <c r="N774" s="39">
        <f t="shared" si="119"/>
        <v>43101</v>
      </c>
      <c r="O774" s="9" t="str">
        <f t="shared" si="120"/>
        <v>80.000,00</v>
      </c>
      <c r="P774" s="8" t="str">
        <f t="shared" si="121"/>
        <v>Ochenta Mil Bolívares con 00/100</v>
      </c>
      <c r="Q774" s="403" t="str">
        <f t="shared" si="122"/>
        <v/>
      </c>
    </row>
    <row r="775" spans="1:17" x14ac:dyDescent="0.25">
      <c r="A775" s="1">
        <f t="shared" si="123"/>
        <v>774</v>
      </c>
      <c r="C775" s="12" t="s">
        <v>17</v>
      </c>
      <c r="D775" s="2">
        <v>43114</v>
      </c>
      <c r="E775" s="3">
        <v>100000</v>
      </c>
      <c r="F775" t="s">
        <v>594</v>
      </c>
      <c r="G775" t="s">
        <v>595</v>
      </c>
      <c r="H775" t="s">
        <v>596</v>
      </c>
      <c r="I775" s="10" t="s">
        <v>609</v>
      </c>
      <c r="J775" s="167" t="s">
        <v>22</v>
      </c>
      <c r="L775" s="9" t="str">
        <f t="shared" si="117"/>
        <v>00774</v>
      </c>
      <c r="M775" s="71" t="str">
        <f t="shared" si="118"/>
        <v>14 de enero de 2018</v>
      </c>
      <c r="N775" s="39">
        <f t="shared" si="119"/>
        <v>43101</v>
      </c>
      <c r="O775" s="9" t="str">
        <f t="shared" si="120"/>
        <v>100.000,00</v>
      </c>
      <c r="P775" s="8" t="str">
        <f t="shared" si="121"/>
        <v>Cien Mil Bolívares con 00/100</v>
      </c>
      <c r="Q775" s="403" t="str">
        <f t="shared" si="122"/>
        <v/>
      </c>
    </row>
    <row r="776" spans="1:17" x14ac:dyDescent="0.25">
      <c r="A776" s="1">
        <f t="shared" si="123"/>
        <v>775</v>
      </c>
      <c r="C776" s="12" t="s">
        <v>17</v>
      </c>
      <c r="D776" s="2">
        <v>43116</v>
      </c>
      <c r="E776" s="3">
        <v>40000</v>
      </c>
      <c r="F776" t="s">
        <v>130</v>
      </c>
      <c r="G776" t="s">
        <v>131</v>
      </c>
      <c r="H776" t="s">
        <v>132</v>
      </c>
      <c r="I776" s="10" t="s">
        <v>601</v>
      </c>
      <c r="J776" s="167" t="s">
        <v>22</v>
      </c>
      <c r="L776" s="9" t="str">
        <f t="shared" si="117"/>
        <v>00775</v>
      </c>
      <c r="M776" s="71" t="str">
        <f t="shared" si="118"/>
        <v>16 de enero de 2018</v>
      </c>
      <c r="N776" s="39">
        <f t="shared" si="119"/>
        <v>43101</v>
      </c>
      <c r="O776" s="9" t="str">
        <f t="shared" si="120"/>
        <v>40.000,00</v>
      </c>
      <c r="P776" s="8" t="str">
        <f t="shared" si="121"/>
        <v>Cuarenta Mil Bolívares con 00/100</v>
      </c>
      <c r="Q776" s="403" t="str">
        <f t="shared" si="122"/>
        <v/>
      </c>
    </row>
    <row r="777" spans="1:17" x14ac:dyDescent="0.25">
      <c r="A777" s="1">
        <f t="shared" si="123"/>
        <v>776</v>
      </c>
      <c r="C777" s="12" t="s">
        <v>17</v>
      </c>
      <c r="D777" s="2">
        <v>43117</v>
      </c>
      <c r="E777" s="3">
        <v>80000</v>
      </c>
      <c r="F777" t="s">
        <v>122</v>
      </c>
      <c r="G777" t="s">
        <v>123</v>
      </c>
      <c r="H777" t="s">
        <v>124</v>
      </c>
      <c r="I777" s="10" t="s">
        <v>600</v>
      </c>
      <c r="J777" s="167" t="s">
        <v>22</v>
      </c>
      <c r="L777" s="9" t="str">
        <f t="shared" si="117"/>
        <v>00776</v>
      </c>
      <c r="M777" s="71" t="str">
        <f t="shared" si="118"/>
        <v>17 de enero de 2018</v>
      </c>
      <c r="N777" s="39">
        <f t="shared" si="119"/>
        <v>43101</v>
      </c>
      <c r="O777" s="9" t="str">
        <f t="shared" si="120"/>
        <v>80.000,00</v>
      </c>
      <c r="P777" s="8" t="str">
        <f t="shared" si="121"/>
        <v>Ochenta Mil Bolívares con 00/100</v>
      </c>
      <c r="Q777" s="403" t="str">
        <f t="shared" si="122"/>
        <v/>
      </c>
    </row>
    <row r="778" spans="1:17" x14ac:dyDescent="0.25">
      <c r="A778" s="1">
        <f t="shared" si="123"/>
        <v>777</v>
      </c>
      <c r="C778" s="12" t="s">
        <v>17</v>
      </c>
      <c r="D778" s="2">
        <v>43118</v>
      </c>
      <c r="E778" s="3">
        <v>80000</v>
      </c>
      <c r="F778" t="s">
        <v>219</v>
      </c>
      <c r="G778" t="s">
        <v>220</v>
      </c>
      <c r="H778" t="s">
        <v>221</v>
      </c>
      <c r="I778" s="10" t="s">
        <v>600</v>
      </c>
      <c r="J778" s="167" t="s">
        <v>22</v>
      </c>
      <c r="L778" s="9" t="str">
        <f t="shared" si="117"/>
        <v>00777</v>
      </c>
      <c r="M778" s="71" t="str">
        <f t="shared" si="118"/>
        <v>18 de enero de 2018</v>
      </c>
      <c r="N778" s="39">
        <f t="shared" si="119"/>
        <v>43101</v>
      </c>
      <c r="O778" s="9" t="str">
        <f t="shared" si="120"/>
        <v>80.000,00</v>
      </c>
      <c r="P778" s="8" t="str">
        <f t="shared" si="121"/>
        <v>Ochenta Mil Bolívares con 00/100</v>
      </c>
      <c r="Q778" s="403" t="str">
        <f t="shared" si="122"/>
        <v/>
      </c>
    </row>
    <row r="779" spans="1:17" x14ac:dyDescent="0.25">
      <c r="A779" s="1">
        <f t="shared" si="123"/>
        <v>778</v>
      </c>
      <c r="C779" s="12" t="s">
        <v>17</v>
      </c>
      <c r="D779" s="2">
        <v>43118</v>
      </c>
      <c r="E779" s="3">
        <v>40000</v>
      </c>
      <c r="F779" t="s">
        <v>402</v>
      </c>
      <c r="G779" t="s">
        <v>403</v>
      </c>
      <c r="H779" t="s">
        <v>404</v>
      </c>
      <c r="I779" s="10" t="s">
        <v>601</v>
      </c>
      <c r="J779" s="167" t="s">
        <v>22</v>
      </c>
      <c r="L779" s="9" t="str">
        <f t="shared" si="117"/>
        <v>00778</v>
      </c>
      <c r="M779" s="71" t="str">
        <f t="shared" si="118"/>
        <v>18 de enero de 2018</v>
      </c>
      <c r="N779" s="39">
        <f t="shared" si="119"/>
        <v>43101</v>
      </c>
      <c r="O779" s="9" t="str">
        <f t="shared" si="120"/>
        <v>40.000,00</v>
      </c>
      <c r="P779" s="8" t="str">
        <f t="shared" si="121"/>
        <v>Cuarenta Mil Bolívares con 00/100</v>
      </c>
      <c r="Q779" s="403" t="str">
        <f t="shared" si="122"/>
        <v/>
      </c>
    </row>
    <row r="780" spans="1:17" ht="15.75" thickBot="1" x14ac:dyDescent="0.3">
      <c r="A780" s="1">
        <f t="shared" si="123"/>
        <v>779</v>
      </c>
      <c r="C780" s="12" t="s">
        <v>17</v>
      </c>
      <c r="D780" s="2">
        <v>43118</v>
      </c>
      <c r="E780" s="3">
        <v>80000</v>
      </c>
      <c r="F780" t="s">
        <v>36</v>
      </c>
      <c r="G780" t="s">
        <v>37</v>
      </c>
      <c r="H780" t="s">
        <v>38</v>
      </c>
      <c r="I780" s="10" t="s">
        <v>600</v>
      </c>
      <c r="J780" s="167" t="s">
        <v>22</v>
      </c>
      <c r="L780" s="9" t="str">
        <f t="shared" si="117"/>
        <v>00779</v>
      </c>
      <c r="M780" s="71" t="str">
        <f t="shared" si="118"/>
        <v>18 de enero de 2018</v>
      </c>
      <c r="N780" s="39">
        <f t="shared" si="119"/>
        <v>43101</v>
      </c>
      <c r="O780" s="9" t="str">
        <f t="shared" si="120"/>
        <v>80.000,00</v>
      </c>
      <c r="P780" s="8" t="str">
        <f t="shared" si="121"/>
        <v>Ochenta Mil Bolívares con 00/100</v>
      </c>
      <c r="Q780" s="403" t="str">
        <f t="shared" si="122"/>
        <v/>
      </c>
    </row>
    <row r="781" spans="1:17" ht="15.75" thickBot="1" x14ac:dyDescent="0.3">
      <c r="A781" s="1">
        <f t="shared" si="123"/>
        <v>780</v>
      </c>
      <c r="C781" s="12" t="s">
        <v>17</v>
      </c>
      <c r="D781" s="2">
        <v>43118</v>
      </c>
      <c r="E781" s="3">
        <f>80000+20000</f>
        <v>100000</v>
      </c>
      <c r="F781" t="s">
        <v>280</v>
      </c>
      <c r="G781" s="27" t="s">
        <v>58</v>
      </c>
      <c r="H781" t="s">
        <v>282</v>
      </c>
      <c r="I781" s="10" t="s">
        <v>610</v>
      </c>
      <c r="J781" s="167" t="s">
        <v>22</v>
      </c>
      <c r="L781" s="9" t="str">
        <f t="shared" si="117"/>
        <v>00780</v>
      </c>
      <c r="M781" s="71" t="str">
        <f t="shared" si="118"/>
        <v>18 de enero de 2018</v>
      </c>
      <c r="N781" s="39">
        <f t="shared" si="119"/>
        <v>43101</v>
      </c>
      <c r="O781" s="9" t="str">
        <f t="shared" si="120"/>
        <v>100.000,00</v>
      </c>
      <c r="P781" s="8" t="str">
        <f t="shared" si="121"/>
        <v>Cien Mil Bolívares con 00/100</v>
      </c>
      <c r="Q781" s="403" t="str">
        <f t="shared" si="122"/>
        <v/>
      </c>
    </row>
    <row r="782" spans="1:17" x14ac:dyDescent="0.25">
      <c r="A782" s="1">
        <f t="shared" si="123"/>
        <v>781</v>
      </c>
      <c r="C782" s="12" t="s">
        <v>17</v>
      </c>
      <c r="D782" s="2">
        <v>43118</v>
      </c>
      <c r="E782" s="3">
        <v>80000</v>
      </c>
      <c r="F782" t="s">
        <v>181</v>
      </c>
      <c r="G782" t="s">
        <v>182</v>
      </c>
      <c r="H782" t="s">
        <v>183</v>
      </c>
      <c r="I782" s="10" t="s">
        <v>600</v>
      </c>
      <c r="J782" s="167" t="s">
        <v>22</v>
      </c>
      <c r="L782" s="9" t="str">
        <f t="shared" si="117"/>
        <v>00781</v>
      </c>
      <c r="M782" s="71" t="str">
        <f t="shared" si="118"/>
        <v>18 de enero de 2018</v>
      </c>
      <c r="N782" s="39">
        <f t="shared" si="119"/>
        <v>43101</v>
      </c>
      <c r="O782" s="9" t="str">
        <f t="shared" si="120"/>
        <v>80.000,00</v>
      </c>
      <c r="P782" s="8" t="str">
        <f t="shared" si="121"/>
        <v>Ochenta Mil Bolívares con 00/100</v>
      </c>
      <c r="Q782" s="403" t="str">
        <f t="shared" si="122"/>
        <v/>
      </c>
    </row>
    <row r="783" spans="1:17" x14ac:dyDescent="0.25">
      <c r="A783" s="390">
        <f t="shared" si="123"/>
        <v>782</v>
      </c>
      <c r="C783" s="12" t="s">
        <v>17</v>
      </c>
      <c r="D783" s="2">
        <v>43118</v>
      </c>
      <c r="E783" s="3">
        <v>80000</v>
      </c>
      <c r="F783" t="s">
        <v>439</v>
      </c>
      <c r="G783" t="s">
        <v>440</v>
      </c>
      <c r="H783" t="s">
        <v>441</v>
      </c>
      <c r="I783" s="10" t="s">
        <v>611</v>
      </c>
      <c r="J783" s="167" t="s">
        <v>22</v>
      </c>
      <c r="L783" s="9" t="str">
        <f t="shared" si="117"/>
        <v>00782</v>
      </c>
      <c r="M783" s="71" t="str">
        <f t="shared" si="118"/>
        <v>18 de enero de 2018</v>
      </c>
      <c r="N783" s="39">
        <f t="shared" si="119"/>
        <v>43101</v>
      </c>
      <c r="O783" s="9" t="str">
        <f t="shared" si="120"/>
        <v>80.000,00</v>
      </c>
      <c r="P783" s="8" t="str">
        <f t="shared" si="121"/>
        <v>Ochenta Mil Bolívares con 00/100</v>
      </c>
      <c r="Q783" s="403" t="str">
        <f t="shared" si="122"/>
        <v/>
      </c>
    </row>
    <row r="784" spans="1:17" x14ac:dyDescent="0.25">
      <c r="A784" s="1">
        <f t="shared" si="123"/>
        <v>783</v>
      </c>
      <c r="C784" s="12" t="s">
        <v>17</v>
      </c>
      <c r="D784" s="2">
        <v>43118</v>
      </c>
      <c r="E784" s="3">
        <v>35000</v>
      </c>
      <c r="F784" t="s">
        <v>48</v>
      </c>
      <c r="G784" t="s">
        <v>49</v>
      </c>
      <c r="H784" t="s">
        <v>50</v>
      </c>
      <c r="I784" s="10" t="s">
        <v>601</v>
      </c>
      <c r="J784" s="167" t="s">
        <v>22</v>
      </c>
      <c r="L784" s="9" t="str">
        <f t="shared" si="117"/>
        <v>00783</v>
      </c>
      <c r="M784" s="71" t="str">
        <f t="shared" si="118"/>
        <v>18 de enero de 2018</v>
      </c>
      <c r="N784" s="39">
        <f t="shared" si="119"/>
        <v>43101</v>
      </c>
      <c r="O784" s="9" t="str">
        <f t="shared" si="120"/>
        <v>35.000,00</v>
      </c>
      <c r="P784" s="8" t="str">
        <f t="shared" si="121"/>
        <v>Treinta y Cinco Mil Bolívares con 00/100</v>
      </c>
      <c r="Q784" s="403" t="str">
        <f t="shared" si="122"/>
        <v/>
      </c>
    </row>
    <row r="785" spans="1:17" x14ac:dyDescent="0.25">
      <c r="A785" s="1">
        <f t="shared" si="123"/>
        <v>784</v>
      </c>
      <c r="C785" s="12" t="s">
        <v>17</v>
      </c>
      <c r="D785" s="2">
        <v>43118</v>
      </c>
      <c r="E785" s="3">
        <v>80000</v>
      </c>
      <c r="F785" t="s">
        <v>201</v>
      </c>
      <c r="G785" t="s">
        <v>202</v>
      </c>
      <c r="H785" t="s">
        <v>203</v>
      </c>
      <c r="I785" s="10" t="s">
        <v>600</v>
      </c>
      <c r="J785" s="167" t="s">
        <v>22</v>
      </c>
      <c r="L785" s="9" t="str">
        <f t="shared" si="117"/>
        <v>00784</v>
      </c>
      <c r="M785" s="71" t="str">
        <f t="shared" si="118"/>
        <v>18 de enero de 2018</v>
      </c>
      <c r="N785" s="39">
        <f t="shared" si="119"/>
        <v>43101</v>
      </c>
      <c r="O785" s="9" t="str">
        <f t="shared" si="120"/>
        <v>80.000,00</v>
      </c>
      <c r="P785" s="8" t="str">
        <f t="shared" si="121"/>
        <v>Ochenta Mil Bolívares con 00/100</v>
      </c>
      <c r="Q785" s="403" t="str">
        <f t="shared" si="122"/>
        <v/>
      </c>
    </row>
    <row r="786" spans="1:17" x14ac:dyDescent="0.25">
      <c r="A786" s="1">
        <f t="shared" si="123"/>
        <v>785</v>
      </c>
      <c r="C786" s="12" t="s">
        <v>17</v>
      </c>
      <c r="D786" s="2">
        <v>43118</v>
      </c>
      <c r="E786" s="3">
        <v>80000</v>
      </c>
      <c r="F786" t="s">
        <v>90</v>
      </c>
      <c r="G786" t="s">
        <v>91</v>
      </c>
      <c r="H786" t="s">
        <v>92</v>
      </c>
      <c r="I786" s="10" t="s">
        <v>600</v>
      </c>
      <c r="J786" s="167" t="s">
        <v>22</v>
      </c>
      <c r="L786" s="9" t="str">
        <f t="shared" si="117"/>
        <v>00785</v>
      </c>
      <c r="M786" s="71" t="str">
        <f t="shared" si="118"/>
        <v>18 de enero de 2018</v>
      </c>
      <c r="N786" s="39">
        <f t="shared" si="119"/>
        <v>43101</v>
      </c>
      <c r="O786" s="9" t="str">
        <f t="shared" si="120"/>
        <v>80.000,00</v>
      </c>
      <c r="P786" s="8" t="str">
        <f t="shared" si="121"/>
        <v>Ochenta Mil Bolívares con 00/100</v>
      </c>
      <c r="Q786" s="403" t="str">
        <f t="shared" si="122"/>
        <v/>
      </c>
    </row>
    <row r="787" spans="1:17" x14ac:dyDescent="0.25">
      <c r="A787" s="1">
        <f t="shared" si="123"/>
        <v>786</v>
      </c>
      <c r="C787" s="12" t="s">
        <v>17</v>
      </c>
      <c r="D787" s="2">
        <v>43119</v>
      </c>
      <c r="E787" s="3">
        <v>80000</v>
      </c>
      <c r="F787" t="s">
        <v>230</v>
      </c>
      <c r="G787" t="s">
        <v>231</v>
      </c>
      <c r="H787" t="s">
        <v>232</v>
      </c>
      <c r="I787" s="10" t="s">
        <v>600</v>
      </c>
      <c r="J787" s="167" t="s">
        <v>22</v>
      </c>
      <c r="L787" s="9" t="str">
        <f t="shared" si="117"/>
        <v>00786</v>
      </c>
      <c r="M787" s="71" t="str">
        <f t="shared" si="118"/>
        <v>19 de enero de 2018</v>
      </c>
      <c r="N787" s="39">
        <f t="shared" si="119"/>
        <v>43101</v>
      </c>
      <c r="O787" s="9" t="str">
        <f t="shared" si="120"/>
        <v>80.000,00</v>
      </c>
      <c r="P787" s="8" t="str">
        <f t="shared" si="121"/>
        <v>Ochenta Mil Bolívares con 00/100</v>
      </c>
      <c r="Q787" s="403" t="str">
        <f t="shared" si="122"/>
        <v/>
      </c>
    </row>
    <row r="788" spans="1:17" x14ac:dyDescent="0.25">
      <c r="A788" s="1">
        <f t="shared" si="123"/>
        <v>787</v>
      </c>
      <c r="C788" s="12" t="s">
        <v>17</v>
      </c>
      <c r="D788" s="2">
        <v>43119</v>
      </c>
      <c r="E788" s="3">
        <v>280000</v>
      </c>
      <c r="F788" t="s">
        <v>612</v>
      </c>
      <c r="G788" t="s">
        <v>613</v>
      </c>
      <c r="H788" t="s">
        <v>614</v>
      </c>
      <c r="I788" s="10" t="s">
        <v>615</v>
      </c>
      <c r="J788" s="167" t="s">
        <v>22</v>
      </c>
      <c r="L788" s="9" t="str">
        <f t="shared" si="117"/>
        <v>00787</v>
      </c>
      <c r="M788" s="71" t="str">
        <f t="shared" si="118"/>
        <v>19 de enero de 2018</v>
      </c>
      <c r="N788" s="39">
        <f t="shared" si="119"/>
        <v>43101</v>
      </c>
      <c r="O788" s="9" t="str">
        <f t="shared" ref="O788:O793" si="124">TEXT(E788,"#.##0,00")</f>
        <v>280.000,00</v>
      </c>
      <c r="P788" s="8" t="str">
        <f t="shared" ref="P788:P793" si="125">CONVERTIRNUM(E788)</f>
        <v>Doscientos Ochenta Mil Bolívares con 00/100</v>
      </c>
      <c r="Q788" s="403" t="str">
        <f t="shared" si="122"/>
        <v/>
      </c>
    </row>
    <row r="789" spans="1:17" x14ac:dyDescent="0.25">
      <c r="A789" s="1">
        <f t="shared" si="123"/>
        <v>788</v>
      </c>
      <c r="C789" s="12" t="s">
        <v>17</v>
      </c>
      <c r="D789" s="2">
        <v>43119</v>
      </c>
      <c r="E789" s="3">
        <v>40000</v>
      </c>
      <c r="F789" t="s">
        <v>167</v>
      </c>
      <c r="G789" t="s">
        <v>168</v>
      </c>
      <c r="H789" t="s">
        <v>169</v>
      </c>
      <c r="I789" s="10" t="s">
        <v>601</v>
      </c>
      <c r="J789" s="167" t="s">
        <v>22</v>
      </c>
      <c r="L789" s="9" t="str">
        <f t="shared" si="117"/>
        <v>00788</v>
      </c>
      <c r="M789" s="71" t="str">
        <f t="shared" si="118"/>
        <v>19 de enero de 2018</v>
      </c>
      <c r="N789" s="39">
        <f t="shared" si="119"/>
        <v>43101</v>
      </c>
      <c r="O789" s="9" t="str">
        <f t="shared" si="124"/>
        <v>40.000,00</v>
      </c>
      <c r="P789" s="8" t="str">
        <f t="shared" si="125"/>
        <v>Cuarenta Mil Bolívares con 00/100</v>
      </c>
      <c r="Q789" s="403" t="str">
        <f t="shared" si="122"/>
        <v/>
      </c>
    </row>
    <row r="790" spans="1:17" ht="15.75" thickBot="1" x14ac:dyDescent="0.3">
      <c r="A790" s="1">
        <f t="shared" si="123"/>
        <v>789</v>
      </c>
      <c r="C790" s="12" t="s">
        <v>17</v>
      </c>
      <c r="D790" s="2">
        <v>43122</v>
      </c>
      <c r="E790" s="3">
        <v>80000</v>
      </c>
      <c r="F790" t="s">
        <v>558</v>
      </c>
      <c r="G790" t="s">
        <v>559</v>
      </c>
      <c r="H790" t="s">
        <v>560</v>
      </c>
      <c r="I790" s="10" t="s">
        <v>616</v>
      </c>
      <c r="J790" s="167" t="s">
        <v>22</v>
      </c>
      <c r="L790" s="9" t="str">
        <f t="shared" si="117"/>
        <v>00789</v>
      </c>
      <c r="M790" s="71" t="str">
        <f t="shared" si="118"/>
        <v>22 de enero de 2018</v>
      </c>
      <c r="N790" s="39">
        <f t="shared" si="119"/>
        <v>43101</v>
      </c>
      <c r="O790" s="9" t="str">
        <f t="shared" si="124"/>
        <v>80.000,00</v>
      </c>
      <c r="P790" s="8" t="str">
        <f t="shared" si="125"/>
        <v>Ochenta Mil Bolívares con 00/100</v>
      </c>
      <c r="Q790" s="403" t="str">
        <f t="shared" si="122"/>
        <v/>
      </c>
    </row>
    <row r="791" spans="1:17" ht="15.75" thickBot="1" x14ac:dyDescent="0.3">
      <c r="A791" s="1">
        <f t="shared" si="123"/>
        <v>790</v>
      </c>
      <c r="C791" s="12" t="s">
        <v>17</v>
      </c>
      <c r="D791" s="2">
        <v>43122</v>
      </c>
      <c r="E791" s="3">
        <v>80000</v>
      </c>
      <c r="F791" t="s">
        <v>319</v>
      </c>
      <c r="G791" s="27" t="s">
        <v>58</v>
      </c>
      <c r="H791" t="s">
        <v>320</v>
      </c>
      <c r="I791" s="10" t="s">
        <v>600</v>
      </c>
      <c r="J791" s="167" t="s">
        <v>22</v>
      </c>
      <c r="L791" s="9" t="str">
        <f t="shared" si="117"/>
        <v>00790</v>
      </c>
      <c r="M791" s="71" t="str">
        <f t="shared" si="118"/>
        <v>22 de enero de 2018</v>
      </c>
      <c r="N791" s="39">
        <f t="shared" si="119"/>
        <v>43101</v>
      </c>
      <c r="O791" s="9" t="str">
        <f t="shared" si="124"/>
        <v>80.000,00</v>
      </c>
      <c r="P791" s="8" t="str">
        <f t="shared" si="125"/>
        <v>Ochenta Mil Bolívares con 00/100</v>
      </c>
      <c r="Q791" s="403" t="str">
        <f t="shared" si="122"/>
        <v/>
      </c>
    </row>
    <row r="792" spans="1:17" x14ac:dyDescent="0.25">
      <c r="A792" s="1">
        <f t="shared" si="123"/>
        <v>791</v>
      </c>
      <c r="C792" s="12" t="s">
        <v>17</v>
      </c>
      <c r="D792" s="2">
        <v>43122</v>
      </c>
      <c r="E792" s="3">
        <v>80000</v>
      </c>
      <c r="F792" t="s">
        <v>484</v>
      </c>
      <c r="G792" t="s">
        <v>485</v>
      </c>
      <c r="H792" t="s">
        <v>486</v>
      </c>
      <c r="I792" s="10" t="s">
        <v>600</v>
      </c>
      <c r="J792" s="167" t="s">
        <v>22</v>
      </c>
      <c r="L792" s="9" t="str">
        <f t="shared" si="117"/>
        <v>00791</v>
      </c>
      <c r="M792" s="71" t="str">
        <f t="shared" si="118"/>
        <v>22 de enero de 2018</v>
      </c>
      <c r="N792" s="39">
        <f t="shared" si="119"/>
        <v>43101</v>
      </c>
      <c r="O792" s="9" t="str">
        <f t="shared" si="124"/>
        <v>80.000,00</v>
      </c>
      <c r="P792" s="8" t="str">
        <f t="shared" si="125"/>
        <v>Ochenta Mil Bolívares con 00/100</v>
      </c>
      <c r="Q792" s="403" t="str">
        <f t="shared" si="122"/>
        <v/>
      </c>
    </row>
    <row r="793" spans="1:17" ht="15.75" thickBot="1" x14ac:dyDescent="0.3">
      <c r="A793" s="1">
        <f t="shared" si="123"/>
        <v>792</v>
      </c>
      <c r="C793" s="12" t="s">
        <v>17</v>
      </c>
      <c r="D793" s="2">
        <v>43122</v>
      </c>
      <c r="E793" s="3">
        <v>150000</v>
      </c>
      <c r="F793" t="s">
        <v>44</v>
      </c>
      <c r="G793" t="s">
        <v>45</v>
      </c>
      <c r="H793" t="s">
        <v>46</v>
      </c>
      <c r="I793" s="10" t="s">
        <v>617</v>
      </c>
      <c r="J793" s="167" t="s">
        <v>22</v>
      </c>
      <c r="L793" s="9" t="str">
        <f t="shared" si="117"/>
        <v>00792</v>
      </c>
      <c r="M793" s="71" t="str">
        <f t="shared" si="118"/>
        <v>22 de enero de 2018</v>
      </c>
      <c r="N793" s="39">
        <f t="shared" si="119"/>
        <v>43101</v>
      </c>
      <c r="O793" s="9" t="str">
        <f t="shared" si="124"/>
        <v>150.000,00</v>
      </c>
      <c r="P793" s="8" t="str">
        <f t="shared" si="125"/>
        <v>Ciento Cincuenta Mil Bolívares con 00/100</v>
      </c>
      <c r="Q793" s="403" t="str">
        <f t="shared" si="122"/>
        <v/>
      </c>
    </row>
    <row r="794" spans="1:17" ht="15.75" thickBot="1" x14ac:dyDescent="0.3">
      <c r="A794" s="1">
        <f t="shared" si="123"/>
        <v>793</v>
      </c>
      <c r="C794" s="12" t="s">
        <v>17</v>
      </c>
      <c r="D794" s="2">
        <v>43115</v>
      </c>
      <c r="E794" s="3">
        <v>50000</v>
      </c>
      <c r="F794" t="s">
        <v>319</v>
      </c>
      <c r="G794" s="27" t="s">
        <v>58</v>
      </c>
      <c r="H794" t="s">
        <v>320</v>
      </c>
      <c r="I794" s="10" t="s">
        <v>575</v>
      </c>
      <c r="J794" s="167" t="s">
        <v>22</v>
      </c>
      <c r="L794" s="9" t="str">
        <f t="shared" si="117"/>
        <v>00793</v>
      </c>
      <c r="M794" s="71" t="str">
        <f t="shared" si="118"/>
        <v>15 de enero de 2018</v>
      </c>
      <c r="N794" s="39">
        <f t="shared" si="119"/>
        <v>43101</v>
      </c>
      <c r="O794" s="9" t="str">
        <f t="shared" ref="O794:O812" si="126">TEXT(E794,"#.##0,00")</f>
        <v>50.000,00</v>
      </c>
      <c r="P794" s="8" t="str">
        <f t="shared" ref="P794:P812" si="127">CONVERTIRNUM(E794)</f>
        <v>Cincuenta Mil Bolívares con 00/100</v>
      </c>
      <c r="Q794" s="403" t="str">
        <f t="shared" si="122"/>
        <v/>
      </c>
    </row>
    <row r="795" spans="1:17" ht="15.75" thickBot="1" x14ac:dyDescent="0.3">
      <c r="A795" s="1">
        <f t="shared" si="123"/>
        <v>794</v>
      </c>
      <c r="C795" s="12" t="s">
        <v>17</v>
      </c>
      <c r="D795" s="2">
        <v>43123</v>
      </c>
      <c r="E795" s="3">
        <v>86400</v>
      </c>
      <c r="F795" s="31" t="s">
        <v>57</v>
      </c>
      <c r="G795" s="27" t="s">
        <v>58</v>
      </c>
      <c r="H795" s="32" t="s">
        <v>59</v>
      </c>
      <c r="I795" s="10" t="s">
        <v>600</v>
      </c>
      <c r="J795" s="167" t="s">
        <v>22</v>
      </c>
      <c r="K795" s="33"/>
      <c r="L795" s="9" t="str">
        <f t="shared" si="117"/>
        <v>00794</v>
      </c>
      <c r="M795" s="71" t="str">
        <f t="shared" si="118"/>
        <v>23 de enero de 2018</v>
      </c>
      <c r="N795" s="39">
        <f t="shared" si="119"/>
        <v>43101</v>
      </c>
      <c r="O795" s="9" t="str">
        <f t="shared" si="126"/>
        <v>86.400,00</v>
      </c>
      <c r="P795" s="8" t="str">
        <f t="shared" si="127"/>
        <v>Ochenta y Seis Mil Cuatrocientos Bolívares con 00/100</v>
      </c>
      <c r="Q795" s="403" t="str">
        <f t="shared" si="122"/>
        <v/>
      </c>
    </row>
    <row r="796" spans="1:17" x14ac:dyDescent="0.25">
      <c r="A796" s="1">
        <f t="shared" si="123"/>
        <v>795</v>
      </c>
      <c r="C796" s="12" t="s">
        <v>17</v>
      </c>
      <c r="D796" s="2">
        <v>43123</v>
      </c>
      <c r="E796" s="3">
        <v>80000</v>
      </c>
      <c r="F796" t="s">
        <v>126</v>
      </c>
      <c r="G796" t="s">
        <v>127</v>
      </c>
      <c r="H796" t="s">
        <v>128</v>
      </c>
      <c r="I796" s="10" t="s">
        <v>600</v>
      </c>
      <c r="J796" s="167" t="s">
        <v>22</v>
      </c>
      <c r="L796" s="9" t="str">
        <f t="shared" si="117"/>
        <v>00795</v>
      </c>
      <c r="M796" s="71" t="str">
        <f t="shared" si="118"/>
        <v>23 de enero de 2018</v>
      </c>
      <c r="N796" s="39">
        <f t="shared" si="119"/>
        <v>43101</v>
      </c>
      <c r="O796" s="9" t="str">
        <f t="shared" si="126"/>
        <v>80.000,00</v>
      </c>
      <c r="P796" s="8" t="str">
        <f t="shared" si="127"/>
        <v>Ochenta Mil Bolívares con 00/100</v>
      </c>
      <c r="Q796" s="403" t="str">
        <f t="shared" si="122"/>
        <v/>
      </c>
    </row>
    <row r="797" spans="1:17" x14ac:dyDescent="0.25">
      <c r="A797" s="1">
        <f t="shared" si="123"/>
        <v>796</v>
      </c>
      <c r="C797" s="12" t="s">
        <v>17</v>
      </c>
      <c r="D797" s="2">
        <v>43124</v>
      </c>
      <c r="E797" s="3">
        <v>50000</v>
      </c>
      <c r="F797" t="s">
        <v>62</v>
      </c>
      <c r="G797" t="s">
        <v>63</v>
      </c>
      <c r="H797" t="s">
        <v>64</v>
      </c>
      <c r="I797" s="10" t="s">
        <v>575</v>
      </c>
      <c r="J797" s="167" t="s">
        <v>22</v>
      </c>
      <c r="L797" s="9" t="str">
        <f t="shared" si="117"/>
        <v>00796</v>
      </c>
      <c r="M797" s="71" t="str">
        <f t="shared" si="118"/>
        <v>24 de enero de 2018</v>
      </c>
      <c r="N797" s="39">
        <f t="shared" si="119"/>
        <v>43101</v>
      </c>
      <c r="O797" s="9" t="str">
        <f t="shared" si="126"/>
        <v>50.000,00</v>
      </c>
      <c r="P797" s="8" t="str">
        <f t="shared" si="127"/>
        <v>Cincuenta Mil Bolívares con 00/100</v>
      </c>
      <c r="Q797" s="403" t="str">
        <f t="shared" si="122"/>
        <v/>
      </c>
    </row>
    <row r="798" spans="1:17" x14ac:dyDescent="0.25">
      <c r="A798" s="1">
        <f t="shared" si="123"/>
        <v>797</v>
      </c>
      <c r="C798" s="12" t="s">
        <v>17</v>
      </c>
      <c r="D798" s="2">
        <v>43083</v>
      </c>
      <c r="E798" s="3">
        <v>50000</v>
      </c>
      <c r="F798" t="s">
        <v>264</v>
      </c>
      <c r="G798" t="s">
        <v>265</v>
      </c>
      <c r="H798" t="s">
        <v>266</v>
      </c>
      <c r="I798" s="10" t="s">
        <v>575</v>
      </c>
      <c r="J798" s="167" t="s">
        <v>22</v>
      </c>
      <c r="L798" s="9" t="str">
        <f t="shared" si="117"/>
        <v>00797</v>
      </c>
      <c r="M798" s="71" t="str">
        <f t="shared" si="118"/>
        <v>14 de diciembre de 2017</v>
      </c>
      <c r="N798" s="39">
        <f t="shared" si="119"/>
        <v>43070</v>
      </c>
      <c r="O798" s="9" t="str">
        <f t="shared" si="126"/>
        <v>50.000,00</v>
      </c>
      <c r="P798" s="8" t="str">
        <f t="shared" si="127"/>
        <v>Cincuenta Mil Bolívares con 00/100</v>
      </c>
      <c r="Q798" s="403" t="str">
        <f t="shared" si="122"/>
        <v/>
      </c>
    </row>
    <row r="799" spans="1:17" x14ac:dyDescent="0.25">
      <c r="A799" s="1">
        <f t="shared" si="123"/>
        <v>798</v>
      </c>
      <c r="C799" s="12" t="s">
        <v>17</v>
      </c>
      <c r="D799" s="2">
        <v>43123</v>
      </c>
      <c r="E799" s="3">
        <v>80000</v>
      </c>
      <c r="F799" t="s">
        <v>264</v>
      </c>
      <c r="G799" t="s">
        <v>265</v>
      </c>
      <c r="H799" t="s">
        <v>266</v>
      </c>
      <c r="I799" s="10" t="s">
        <v>600</v>
      </c>
      <c r="J799" s="167" t="s">
        <v>22</v>
      </c>
      <c r="L799" s="9" t="str">
        <f t="shared" si="117"/>
        <v>00798</v>
      </c>
      <c r="M799" s="71" t="str">
        <f t="shared" si="118"/>
        <v>23 de enero de 2018</v>
      </c>
      <c r="N799" s="39">
        <f t="shared" si="119"/>
        <v>43101</v>
      </c>
      <c r="O799" s="9" t="str">
        <f t="shared" si="126"/>
        <v>80.000,00</v>
      </c>
      <c r="P799" s="8" t="str">
        <f t="shared" si="127"/>
        <v>Ochenta Mil Bolívares con 00/100</v>
      </c>
      <c r="Q799" s="403" t="str">
        <f t="shared" si="122"/>
        <v/>
      </c>
    </row>
    <row r="800" spans="1:17" ht="15.75" thickBot="1" x14ac:dyDescent="0.3">
      <c r="A800" s="1">
        <f t="shared" si="123"/>
        <v>799</v>
      </c>
      <c r="C800" s="12" t="s">
        <v>17</v>
      </c>
      <c r="D800" s="2">
        <v>43124</v>
      </c>
      <c r="E800" s="3">
        <f>50000+80000</f>
        <v>130000</v>
      </c>
      <c r="F800" t="s">
        <v>444</v>
      </c>
      <c r="G800" t="s">
        <v>445</v>
      </c>
      <c r="H800" t="s">
        <v>75</v>
      </c>
      <c r="I800" s="10" t="s">
        <v>583</v>
      </c>
      <c r="J800" s="167" t="s">
        <v>22</v>
      </c>
      <c r="L800" s="9" t="str">
        <f t="shared" si="117"/>
        <v>00799</v>
      </c>
      <c r="M800" s="71" t="str">
        <f t="shared" si="118"/>
        <v>24 de enero de 2018</v>
      </c>
      <c r="N800" s="39">
        <f t="shared" si="119"/>
        <v>43101</v>
      </c>
      <c r="O800" s="9" t="str">
        <f t="shared" si="126"/>
        <v>130.000,00</v>
      </c>
      <c r="P800" s="8" t="str">
        <f t="shared" si="127"/>
        <v>Ciento Treinta Mil Bolívares con 00/100</v>
      </c>
      <c r="Q800" s="403" t="str">
        <f t="shared" si="122"/>
        <v/>
      </c>
    </row>
    <row r="801" spans="1:17" ht="15.75" thickBot="1" x14ac:dyDescent="0.3">
      <c r="A801" s="1">
        <f t="shared" si="123"/>
        <v>800</v>
      </c>
      <c r="C801" s="12" t="s">
        <v>17</v>
      </c>
      <c r="D801" s="2">
        <v>43124</v>
      </c>
      <c r="E801" s="3">
        <v>113600</v>
      </c>
      <c r="F801" s="36" t="s">
        <v>423</v>
      </c>
      <c r="G801" s="27" t="s">
        <v>58</v>
      </c>
      <c r="H801" t="s">
        <v>424</v>
      </c>
      <c r="I801" s="10" t="s">
        <v>600</v>
      </c>
      <c r="J801" s="167" t="s">
        <v>22</v>
      </c>
      <c r="L801" s="9" t="str">
        <f t="shared" si="117"/>
        <v>00800</v>
      </c>
      <c r="M801" s="71" t="str">
        <f t="shared" si="118"/>
        <v>24 de enero de 2018</v>
      </c>
      <c r="N801" s="39">
        <f t="shared" si="119"/>
        <v>43101</v>
      </c>
      <c r="O801" s="9" t="str">
        <f t="shared" si="126"/>
        <v>113.600,00</v>
      </c>
      <c r="P801" s="8" t="str">
        <f t="shared" si="127"/>
        <v>Ciento Trece Mil Seiscientos Bolívares con 00/100</v>
      </c>
      <c r="Q801" s="403" t="str">
        <f t="shared" si="122"/>
        <v/>
      </c>
    </row>
    <row r="802" spans="1:17" ht="15.75" thickBot="1" x14ac:dyDescent="0.3">
      <c r="A802" s="1">
        <f t="shared" si="123"/>
        <v>801</v>
      </c>
      <c r="C802" s="12" t="s">
        <v>17</v>
      </c>
      <c r="D802" s="2">
        <v>43124</v>
      </c>
      <c r="E802" s="3">
        <f>60000+100000</f>
        <v>160000</v>
      </c>
      <c r="F802" t="s">
        <v>100</v>
      </c>
      <c r="G802" t="s">
        <v>95</v>
      </c>
      <c r="H802" t="s">
        <v>101</v>
      </c>
      <c r="I802" s="10" t="s">
        <v>608</v>
      </c>
      <c r="J802" s="167" t="s">
        <v>22</v>
      </c>
      <c r="L802" s="9" t="str">
        <f t="shared" si="117"/>
        <v>00801</v>
      </c>
      <c r="M802" s="71" t="str">
        <f t="shared" si="118"/>
        <v>24 de enero de 2018</v>
      </c>
      <c r="N802" s="39">
        <f t="shared" si="119"/>
        <v>43101</v>
      </c>
      <c r="O802" s="9" t="str">
        <f t="shared" si="126"/>
        <v>160.000,00</v>
      </c>
      <c r="P802" s="8" t="str">
        <f t="shared" si="127"/>
        <v>Ciento Sesenta Mil Bolívares con 00/100</v>
      </c>
      <c r="Q802" s="403" t="str">
        <f t="shared" si="122"/>
        <v/>
      </c>
    </row>
    <row r="803" spans="1:17" ht="15.75" thickBot="1" x14ac:dyDescent="0.3">
      <c r="A803" s="1">
        <f t="shared" si="123"/>
        <v>802</v>
      </c>
      <c r="C803" s="12" t="s">
        <v>17</v>
      </c>
      <c r="D803" s="2">
        <v>43124</v>
      </c>
      <c r="E803" s="3">
        <v>100000</v>
      </c>
      <c r="F803" t="s">
        <v>259</v>
      </c>
      <c r="G803" s="27" t="s">
        <v>58</v>
      </c>
      <c r="H803" t="s">
        <v>261</v>
      </c>
      <c r="I803" s="10" t="s">
        <v>570</v>
      </c>
      <c r="J803" s="167" t="s">
        <v>22</v>
      </c>
      <c r="L803" s="9" t="str">
        <f t="shared" si="117"/>
        <v>00802</v>
      </c>
      <c r="M803" s="71" t="str">
        <f t="shared" si="118"/>
        <v>24 de enero de 2018</v>
      </c>
      <c r="N803" s="39">
        <f t="shared" si="119"/>
        <v>43101</v>
      </c>
      <c r="O803" s="9" t="str">
        <f t="shared" si="126"/>
        <v>100.000,00</v>
      </c>
      <c r="P803" s="8" t="str">
        <f t="shared" si="127"/>
        <v>Cien Mil Bolívares con 00/100</v>
      </c>
      <c r="Q803" s="403" t="str">
        <f t="shared" si="122"/>
        <v/>
      </c>
    </row>
    <row r="804" spans="1:17" ht="15.75" thickBot="1" x14ac:dyDescent="0.3">
      <c r="A804" s="1">
        <f t="shared" si="123"/>
        <v>803</v>
      </c>
      <c r="C804" s="12" t="s">
        <v>17</v>
      </c>
      <c r="D804" s="2">
        <v>43124</v>
      </c>
      <c r="E804" s="3">
        <v>20000</v>
      </c>
      <c r="F804" t="s">
        <v>398</v>
      </c>
      <c r="G804" s="74" t="s">
        <v>29</v>
      </c>
      <c r="H804" t="s">
        <v>399</v>
      </c>
      <c r="I804" s="10" t="s">
        <v>601</v>
      </c>
      <c r="J804" s="167" t="s">
        <v>22</v>
      </c>
      <c r="L804" s="9" t="str">
        <f t="shared" si="117"/>
        <v>00803</v>
      </c>
      <c r="M804" s="71" t="str">
        <f t="shared" si="118"/>
        <v>24 de enero de 2018</v>
      </c>
      <c r="N804" s="39">
        <f t="shared" si="119"/>
        <v>43101</v>
      </c>
      <c r="O804" s="9" t="str">
        <f t="shared" si="126"/>
        <v>20.000,00</v>
      </c>
      <c r="P804" s="8" t="str">
        <f t="shared" si="127"/>
        <v>Veinte Mil Bolívares con 00/100</v>
      </c>
      <c r="Q804" s="403" t="str">
        <f t="shared" si="122"/>
        <v/>
      </c>
    </row>
    <row r="805" spans="1:17" x14ac:dyDescent="0.25">
      <c r="A805" s="1">
        <f t="shared" si="123"/>
        <v>804</v>
      </c>
      <c r="C805" s="12" t="s">
        <v>17</v>
      </c>
      <c r="D805" s="2">
        <v>43124</v>
      </c>
      <c r="E805" s="3">
        <v>50000</v>
      </c>
      <c r="F805" t="s">
        <v>28</v>
      </c>
      <c r="G805" t="s">
        <v>29</v>
      </c>
      <c r="H805" t="s">
        <v>30</v>
      </c>
      <c r="I805" s="10" t="s">
        <v>601</v>
      </c>
      <c r="J805" s="167" t="s">
        <v>22</v>
      </c>
      <c r="L805" s="9" t="str">
        <f t="shared" si="117"/>
        <v>00804</v>
      </c>
      <c r="M805" s="71" t="str">
        <f t="shared" si="118"/>
        <v>24 de enero de 2018</v>
      </c>
      <c r="N805" s="39">
        <f t="shared" si="119"/>
        <v>43101</v>
      </c>
      <c r="O805" s="9" t="str">
        <f t="shared" si="126"/>
        <v>50.000,00</v>
      </c>
      <c r="P805" s="8" t="str">
        <f t="shared" si="127"/>
        <v>Cincuenta Mil Bolívares con 00/100</v>
      </c>
      <c r="Q805" s="403" t="str">
        <f t="shared" si="122"/>
        <v/>
      </c>
    </row>
    <row r="806" spans="1:17" ht="15.75" thickBot="1" x14ac:dyDescent="0.3">
      <c r="A806" s="1">
        <f t="shared" si="123"/>
        <v>805</v>
      </c>
      <c r="C806" s="12" t="s">
        <v>17</v>
      </c>
      <c r="D806" s="2">
        <v>43123</v>
      </c>
      <c r="E806" s="3">
        <v>30000</v>
      </c>
      <c r="F806" t="s">
        <v>80</v>
      </c>
      <c r="G806" t="s">
        <v>81</v>
      </c>
      <c r="H806" t="s">
        <v>82</v>
      </c>
      <c r="I806" s="10" t="s">
        <v>603</v>
      </c>
      <c r="J806" s="167" t="s">
        <v>22</v>
      </c>
      <c r="L806" s="9" t="str">
        <f t="shared" si="117"/>
        <v>00805</v>
      </c>
      <c r="M806" s="71" t="str">
        <f t="shared" si="118"/>
        <v>23 de enero de 2018</v>
      </c>
      <c r="N806" s="39">
        <f t="shared" si="119"/>
        <v>43101</v>
      </c>
      <c r="O806" s="9" t="str">
        <f t="shared" si="126"/>
        <v>30.000,00</v>
      </c>
      <c r="P806" s="8" t="str">
        <f t="shared" si="127"/>
        <v>Treinta Mil Bolívares con 00/100</v>
      </c>
      <c r="Q806" s="403" t="str">
        <f t="shared" si="122"/>
        <v/>
      </c>
    </row>
    <row r="807" spans="1:17" ht="15.75" thickBot="1" x14ac:dyDescent="0.3">
      <c r="A807" s="1">
        <f t="shared" si="123"/>
        <v>806</v>
      </c>
      <c r="C807" s="12" t="s">
        <v>17</v>
      </c>
      <c r="D807" s="2">
        <v>43126</v>
      </c>
      <c r="E807" s="3">
        <v>100000</v>
      </c>
      <c r="F807" t="s">
        <v>177</v>
      </c>
      <c r="G807" s="27" t="s">
        <v>58</v>
      </c>
      <c r="H807" t="s">
        <v>179</v>
      </c>
      <c r="I807" s="10" t="s">
        <v>618</v>
      </c>
      <c r="J807" s="167" t="s">
        <v>22</v>
      </c>
      <c r="L807" s="9" t="str">
        <f t="shared" si="117"/>
        <v>00806</v>
      </c>
      <c r="M807" s="71" t="str">
        <f t="shared" si="118"/>
        <v>26 de enero de 2018</v>
      </c>
      <c r="N807" s="39">
        <f t="shared" si="119"/>
        <v>43101</v>
      </c>
      <c r="O807" s="9" t="str">
        <f t="shared" si="126"/>
        <v>100.000,00</v>
      </c>
      <c r="P807" s="8" t="str">
        <f t="shared" si="127"/>
        <v>Cien Mil Bolívares con 00/100</v>
      </c>
      <c r="Q807" s="403" t="str">
        <f t="shared" si="122"/>
        <v/>
      </c>
    </row>
    <row r="808" spans="1:17" x14ac:dyDescent="0.25">
      <c r="A808" s="1">
        <f t="shared" si="123"/>
        <v>807</v>
      </c>
      <c r="C808" s="12" t="s">
        <v>17</v>
      </c>
      <c r="D808" s="2">
        <v>43127</v>
      </c>
      <c r="E808" s="3">
        <v>80000</v>
      </c>
      <c r="F808" t="s">
        <v>134</v>
      </c>
      <c r="G808" t="s">
        <v>135</v>
      </c>
      <c r="H808" t="s">
        <v>136</v>
      </c>
      <c r="I808" s="10" t="s">
        <v>600</v>
      </c>
      <c r="J808" s="167" t="s">
        <v>22</v>
      </c>
      <c r="L808" s="9" t="str">
        <f t="shared" si="117"/>
        <v>00807</v>
      </c>
      <c r="M808" s="71" t="str">
        <f t="shared" si="118"/>
        <v>27 de enero de 2018</v>
      </c>
      <c r="N808" s="39">
        <f t="shared" si="119"/>
        <v>43101</v>
      </c>
      <c r="O808" s="9" t="str">
        <f t="shared" si="126"/>
        <v>80.000,00</v>
      </c>
      <c r="P808" s="8" t="str">
        <f t="shared" si="127"/>
        <v>Ochenta Mil Bolívares con 00/100</v>
      </c>
      <c r="Q808" s="403" t="str">
        <f t="shared" si="122"/>
        <v/>
      </c>
    </row>
    <row r="809" spans="1:17" x14ac:dyDescent="0.25">
      <c r="A809" s="1">
        <f t="shared" si="123"/>
        <v>808</v>
      </c>
      <c r="C809" s="12" t="s">
        <v>17</v>
      </c>
      <c r="D809" s="2">
        <v>43129</v>
      </c>
      <c r="E809" s="3">
        <v>110000</v>
      </c>
      <c r="F809" t="s">
        <v>40</v>
      </c>
      <c r="G809" t="s">
        <v>41</v>
      </c>
      <c r="H809" t="s">
        <v>42</v>
      </c>
      <c r="I809" s="10" t="s">
        <v>619</v>
      </c>
      <c r="J809" s="167" t="s">
        <v>22</v>
      </c>
      <c r="L809" s="9" t="str">
        <f t="shared" si="117"/>
        <v>00808</v>
      </c>
      <c r="M809" s="71" t="str">
        <f t="shared" si="118"/>
        <v>29 de enero de 2018</v>
      </c>
      <c r="N809" s="39">
        <f t="shared" si="119"/>
        <v>43101</v>
      </c>
      <c r="O809" s="9" t="str">
        <f t="shared" si="126"/>
        <v>110.000,00</v>
      </c>
      <c r="P809" s="8" t="str">
        <f t="shared" si="127"/>
        <v>Ciento Diez Mil Bolívares con 00/100</v>
      </c>
      <c r="Q809" s="403" t="str">
        <f t="shared" si="122"/>
        <v/>
      </c>
    </row>
    <row r="810" spans="1:17" x14ac:dyDescent="0.25">
      <c r="A810" s="1">
        <f t="shared" si="123"/>
        <v>809</v>
      </c>
      <c r="C810" s="12" t="s">
        <v>17</v>
      </c>
      <c r="D810" s="2">
        <v>43129</v>
      </c>
      <c r="E810" s="3">
        <v>80000</v>
      </c>
      <c r="F810" t="s">
        <v>211</v>
      </c>
      <c r="G810" t="s">
        <v>212</v>
      </c>
      <c r="H810" t="s">
        <v>213</v>
      </c>
      <c r="I810" s="10" t="s">
        <v>600</v>
      </c>
      <c r="J810" s="167" t="s">
        <v>22</v>
      </c>
      <c r="L810" s="9" t="str">
        <f t="shared" si="117"/>
        <v>00809</v>
      </c>
      <c r="M810" s="71" t="str">
        <f t="shared" si="118"/>
        <v>29 de enero de 2018</v>
      </c>
      <c r="N810" s="39">
        <f t="shared" si="119"/>
        <v>43101</v>
      </c>
      <c r="O810" s="9" t="str">
        <f t="shared" si="126"/>
        <v>80.000,00</v>
      </c>
      <c r="P810" s="8" t="str">
        <f t="shared" si="127"/>
        <v>Ochenta Mil Bolívares con 00/100</v>
      </c>
      <c r="Q810" s="403" t="str">
        <f t="shared" si="122"/>
        <v/>
      </c>
    </row>
    <row r="811" spans="1:17" x14ac:dyDescent="0.25">
      <c r="A811" s="1">
        <f t="shared" si="123"/>
        <v>810</v>
      </c>
      <c r="C811" s="12" t="s">
        <v>17</v>
      </c>
      <c r="D811" s="2">
        <v>43130</v>
      </c>
      <c r="E811" s="3">
        <v>20000</v>
      </c>
      <c r="F811" t="s">
        <v>434</v>
      </c>
      <c r="G811" t="s">
        <v>435</v>
      </c>
      <c r="H811" t="s">
        <v>436</v>
      </c>
      <c r="I811" s="10" t="s">
        <v>609</v>
      </c>
      <c r="J811" s="167" t="s">
        <v>22</v>
      </c>
      <c r="L811" s="9" t="str">
        <f t="shared" si="117"/>
        <v>00810</v>
      </c>
      <c r="M811" s="71" t="str">
        <f t="shared" si="118"/>
        <v>30 de enero de 2018</v>
      </c>
      <c r="N811" s="39">
        <f t="shared" si="119"/>
        <v>43101</v>
      </c>
      <c r="O811" s="9" t="str">
        <f t="shared" si="126"/>
        <v>20.000,00</v>
      </c>
      <c r="P811" s="8" t="str">
        <f t="shared" si="127"/>
        <v>Veinte Mil Bolívares con 00/100</v>
      </c>
      <c r="Q811" s="403" t="str">
        <f t="shared" si="122"/>
        <v/>
      </c>
    </row>
    <row r="812" spans="1:17" x14ac:dyDescent="0.25">
      <c r="A812" s="1">
        <f t="shared" si="123"/>
        <v>811</v>
      </c>
      <c r="C812" s="12" t="s">
        <v>17</v>
      </c>
      <c r="D812" s="2">
        <v>43128</v>
      </c>
      <c r="E812" s="3">
        <v>40000</v>
      </c>
      <c r="F812" t="s">
        <v>130</v>
      </c>
      <c r="G812" t="s">
        <v>131</v>
      </c>
      <c r="H812" t="s">
        <v>132</v>
      </c>
      <c r="I812" s="10" t="s">
        <v>587</v>
      </c>
      <c r="J812" s="167" t="s">
        <v>22</v>
      </c>
      <c r="L812" s="9" t="str">
        <f t="shared" si="117"/>
        <v>00811</v>
      </c>
      <c r="M812" s="71" t="str">
        <f t="shared" si="118"/>
        <v>28 de enero de 2018</v>
      </c>
      <c r="N812" s="39">
        <f t="shared" si="119"/>
        <v>43101</v>
      </c>
      <c r="O812" s="9" t="str">
        <f t="shared" si="126"/>
        <v>40.000,00</v>
      </c>
      <c r="P812" s="8" t="str">
        <f t="shared" si="127"/>
        <v>Cuarenta Mil Bolívares con 00/100</v>
      </c>
      <c r="Q812" s="403" t="str">
        <f t="shared" si="122"/>
        <v/>
      </c>
    </row>
    <row r="813" spans="1:17" ht="15.75" thickBot="1" x14ac:dyDescent="0.3">
      <c r="A813" s="1">
        <f t="shared" si="123"/>
        <v>812</v>
      </c>
      <c r="C813" s="12" t="s">
        <v>17</v>
      </c>
      <c r="D813" s="2">
        <v>43132</v>
      </c>
      <c r="E813" s="3">
        <f>50000+2*80000</f>
        <v>210000</v>
      </c>
      <c r="F813" t="s">
        <v>197</v>
      </c>
      <c r="G813" t="s">
        <v>198</v>
      </c>
      <c r="H813" t="s">
        <v>199</v>
      </c>
      <c r="I813" s="10" t="s">
        <v>620</v>
      </c>
      <c r="J813" s="167" t="s">
        <v>22</v>
      </c>
      <c r="L813" s="9" t="str">
        <f t="shared" si="117"/>
        <v>00812</v>
      </c>
      <c r="M813" s="71" t="str">
        <f t="shared" si="118"/>
        <v>01 de febrero de 2018</v>
      </c>
      <c r="N813" s="39">
        <f t="shared" si="119"/>
        <v>43132</v>
      </c>
      <c r="O813" s="9" t="str">
        <f t="shared" ref="O813:O840" si="128">TEXT(E813,"#.##0,00")</f>
        <v>210.000,00</v>
      </c>
      <c r="P813" s="8" t="str">
        <f t="shared" ref="P813:P840" si="129">CONVERTIRNUM(E813)</f>
        <v>Doscientos Diez Mil Bolívares con 00/100</v>
      </c>
      <c r="Q813" s="403" t="str">
        <f t="shared" si="122"/>
        <v/>
      </c>
    </row>
    <row r="814" spans="1:17" ht="15.75" thickBot="1" x14ac:dyDescent="0.3">
      <c r="A814" s="1">
        <f t="shared" si="123"/>
        <v>813</v>
      </c>
      <c r="C814" s="12" t="s">
        <v>17</v>
      </c>
      <c r="D814" s="2">
        <v>43132</v>
      </c>
      <c r="E814" s="3">
        <v>30000</v>
      </c>
      <c r="F814" t="s">
        <v>303</v>
      </c>
      <c r="G814" s="27" t="s">
        <v>58</v>
      </c>
      <c r="H814" t="s">
        <v>304</v>
      </c>
      <c r="I814" s="10" t="s">
        <v>587</v>
      </c>
      <c r="J814" s="167" t="s">
        <v>22</v>
      </c>
      <c r="L814" s="9" t="str">
        <f t="shared" si="117"/>
        <v>00813</v>
      </c>
      <c r="M814" s="71" t="str">
        <f t="shared" si="118"/>
        <v>01 de febrero de 2018</v>
      </c>
      <c r="N814" s="39">
        <f t="shared" si="119"/>
        <v>43132</v>
      </c>
      <c r="O814" s="9" t="str">
        <f t="shared" si="128"/>
        <v>30.000,00</v>
      </c>
      <c r="P814" s="8" t="str">
        <f t="shared" si="129"/>
        <v>Treinta Mil Bolívares con 00/100</v>
      </c>
      <c r="Q814" s="403" t="str">
        <f t="shared" si="122"/>
        <v/>
      </c>
    </row>
    <row r="815" spans="1:17" x14ac:dyDescent="0.25">
      <c r="A815" s="1">
        <f t="shared" si="123"/>
        <v>814</v>
      </c>
      <c r="C815" s="12" t="s">
        <v>17</v>
      </c>
      <c r="D815" s="2">
        <v>43132</v>
      </c>
      <c r="E815" s="3">
        <f>30000+3*80000</f>
        <v>270000</v>
      </c>
      <c r="F815" t="s">
        <v>408</v>
      </c>
      <c r="G815" t="s">
        <v>409</v>
      </c>
      <c r="H815" t="s">
        <v>410</v>
      </c>
      <c r="I815" s="10" t="s">
        <v>621</v>
      </c>
      <c r="J815" s="167" t="s">
        <v>22</v>
      </c>
      <c r="L815" s="9" t="str">
        <f t="shared" si="117"/>
        <v>00814</v>
      </c>
      <c r="M815" s="71" t="str">
        <f t="shared" si="118"/>
        <v>01 de febrero de 2018</v>
      </c>
      <c r="N815" s="39">
        <f t="shared" si="119"/>
        <v>43132</v>
      </c>
      <c r="O815" s="9" t="str">
        <f t="shared" si="128"/>
        <v>270.000,00</v>
      </c>
      <c r="P815" s="8" t="str">
        <f t="shared" si="129"/>
        <v>Doscientos Setenta Mil Bolívares con 00/100</v>
      </c>
      <c r="Q815" s="403" t="str">
        <f t="shared" si="122"/>
        <v/>
      </c>
    </row>
    <row r="816" spans="1:17" x14ac:dyDescent="0.25">
      <c r="A816" s="1">
        <f t="shared" si="123"/>
        <v>815</v>
      </c>
      <c r="C816" s="12" t="s">
        <v>17</v>
      </c>
      <c r="D816" s="2">
        <v>43132</v>
      </c>
      <c r="E816" s="3">
        <f>4*80000</f>
        <v>320000</v>
      </c>
      <c r="F816" t="s">
        <v>354</v>
      </c>
      <c r="G816" t="s">
        <v>355</v>
      </c>
      <c r="H816" t="s">
        <v>356</v>
      </c>
      <c r="I816" s="10" t="s">
        <v>622</v>
      </c>
      <c r="J816" s="167" t="s">
        <v>22</v>
      </c>
      <c r="L816" s="9" t="str">
        <f t="shared" si="117"/>
        <v>00815</v>
      </c>
      <c r="M816" s="71" t="str">
        <f t="shared" si="118"/>
        <v>01 de febrero de 2018</v>
      </c>
      <c r="N816" s="39">
        <f t="shared" si="119"/>
        <v>43132</v>
      </c>
      <c r="O816" s="9" t="str">
        <f t="shared" si="128"/>
        <v>320.000,00</v>
      </c>
      <c r="P816" s="8" t="str">
        <f t="shared" si="129"/>
        <v>Trescientos Veinte Mil Bolívares con 00/100</v>
      </c>
      <c r="Q816" s="403" t="str">
        <f t="shared" si="122"/>
        <v/>
      </c>
    </row>
    <row r="817" spans="1:17" x14ac:dyDescent="0.25">
      <c r="A817" s="1">
        <f t="shared" si="123"/>
        <v>816</v>
      </c>
      <c r="C817" s="12" t="s">
        <v>17</v>
      </c>
      <c r="D817" s="2">
        <v>43132</v>
      </c>
      <c r="E817" s="3">
        <v>50000</v>
      </c>
      <c r="F817" t="s">
        <v>118</v>
      </c>
      <c r="G817" t="s">
        <v>119</v>
      </c>
      <c r="H817" t="s">
        <v>120</v>
      </c>
      <c r="I817" s="10" t="s">
        <v>601</v>
      </c>
      <c r="J817" s="167" t="s">
        <v>22</v>
      </c>
      <c r="L817" s="9" t="str">
        <f t="shared" si="117"/>
        <v>00816</v>
      </c>
      <c r="M817" s="71" t="str">
        <f t="shared" si="118"/>
        <v>01 de febrero de 2018</v>
      </c>
      <c r="N817" s="39">
        <f t="shared" si="119"/>
        <v>43132</v>
      </c>
      <c r="O817" s="9" t="str">
        <f t="shared" si="128"/>
        <v>50.000,00</v>
      </c>
      <c r="P817" s="8" t="str">
        <f t="shared" si="129"/>
        <v>Cincuenta Mil Bolívares con 00/100</v>
      </c>
      <c r="Q817" s="403" t="str">
        <f t="shared" si="122"/>
        <v/>
      </c>
    </row>
    <row r="818" spans="1:17" x14ac:dyDescent="0.25">
      <c r="A818" s="1">
        <f t="shared" si="123"/>
        <v>817</v>
      </c>
      <c r="C818" s="12" t="s">
        <v>17</v>
      </c>
      <c r="D818" s="2">
        <v>43133</v>
      </c>
      <c r="E818" s="3">
        <f>2*80000</f>
        <v>160000</v>
      </c>
      <c r="F818" t="s">
        <v>53</v>
      </c>
      <c r="G818" t="s">
        <v>54</v>
      </c>
      <c r="H818" t="s">
        <v>55</v>
      </c>
      <c r="I818" s="10" t="s">
        <v>608</v>
      </c>
      <c r="J818" s="167" t="s">
        <v>22</v>
      </c>
      <c r="L818" s="9" t="str">
        <f t="shared" si="117"/>
        <v>00817</v>
      </c>
      <c r="M818" s="71" t="str">
        <f t="shared" si="118"/>
        <v>02 de febrero de 2018</v>
      </c>
      <c r="N818" s="39">
        <f t="shared" si="119"/>
        <v>43132</v>
      </c>
      <c r="O818" s="9" t="str">
        <f t="shared" si="128"/>
        <v>160.000,00</v>
      </c>
      <c r="P818" s="8" t="str">
        <f t="shared" si="129"/>
        <v>Ciento Sesenta Mil Bolívares con 00/100</v>
      </c>
      <c r="Q818" s="403" t="str">
        <f t="shared" si="122"/>
        <v/>
      </c>
    </row>
    <row r="819" spans="1:17" x14ac:dyDescent="0.25">
      <c r="A819" s="1">
        <f t="shared" si="123"/>
        <v>818</v>
      </c>
      <c r="C819" s="12" t="s">
        <v>17</v>
      </c>
      <c r="D819" s="2">
        <v>43133</v>
      </c>
      <c r="E819" s="3">
        <f>2*80000</f>
        <v>160000</v>
      </c>
      <c r="F819" t="s">
        <v>248</v>
      </c>
      <c r="G819" t="s">
        <v>249</v>
      </c>
      <c r="H819" t="s">
        <v>250</v>
      </c>
      <c r="I819" s="10" t="s">
        <v>608</v>
      </c>
      <c r="J819" s="167" t="s">
        <v>22</v>
      </c>
      <c r="L819" s="9" t="str">
        <f t="shared" si="117"/>
        <v>00818</v>
      </c>
      <c r="M819" s="71" t="str">
        <f t="shared" si="118"/>
        <v>02 de febrero de 2018</v>
      </c>
      <c r="N819" s="39">
        <f t="shared" si="119"/>
        <v>43132</v>
      </c>
      <c r="O819" s="9" t="str">
        <f t="shared" si="128"/>
        <v>160.000,00</v>
      </c>
      <c r="P819" s="8" t="str">
        <f t="shared" si="129"/>
        <v>Ciento Sesenta Mil Bolívares con 00/100</v>
      </c>
      <c r="Q819" s="403" t="str">
        <f t="shared" si="122"/>
        <v/>
      </c>
    </row>
    <row r="820" spans="1:17" x14ac:dyDescent="0.25">
      <c r="A820" s="1">
        <f t="shared" si="123"/>
        <v>819</v>
      </c>
      <c r="C820" s="12" t="s">
        <v>17</v>
      </c>
      <c r="D820" s="2">
        <v>43136</v>
      </c>
      <c r="E820" s="3">
        <v>80000</v>
      </c>
      <c r="F820" t="s">
        <v>80</v>
      </c>
      <c r="G820" t="s">
        <v>81</v>
      </c>
      <c r="H820" t="s">
        <v>82</v>
      </c>
      <c r="I820" s="10" t="s">
        <v>616</v>
      </c>
      <c r="J820" s="167" t="s">
        <v>22</v>
      </c>
      <c r="L820" s="9" t="str">
        <f t="shared" si="117"/>
        <v>00819</v>
      </c>
      <c r="M820" s="71" t="str">
        <f t="shared" si="118"/>
        <v>05 de febrero de 2018</v>
      </c>
      <c r="N820" s="39">
        <f t="shared" si="119"/>
        <v>43132</v>
      </c>
      <c r="O820" s="9" t="str">
        <f t="shared" si="128"/>
        <v>80.000,00</v>
      </c>
      <c r="P820" s="8" t="str">
        <f t="shared" si="129"/>
        <v>Ochenta Mil Bolívares con 00/100</v>
      </c>
      <c r="Q820" s="403" t="str">
        <f t="shared" si="122"/>
        <v/>
      </c>
    </row>
    <row r="821" spans="1:17" x14ac:dyDescent="0.25">
      <c r="A821" s="1">
        <f t="shared" si="123"/>
        <v>820</v>
      </c>
      <c r="C821" s="12" t="s">
        <v>17</v>
      </c>
      <c r="D821" s="2">
        <v>43136</v>
      </c>
      <c r="E821" s="3">
        <v>80000</v>
      </c>
      <c r="F821" t="s">
        <v>24</v>
      </c>
      <c r="G821" t="s">
        <v>25</v>
      </c>
      <c r="H821" t="s">
        <v>26</v>
      </c>
      <c r="I821" s="10" t="s">
        <v>616</v>
      </c>
      <c r="J821" s="167" t="s">
        <v>22</v>
      </c>
      <c r="L821" s="9" t="str">
        <f t="shared" si="117"/>
        <v>00820</v>
      </c>
      <c r="M821" s="71" t="str">
        <f t="shared" si="118"/>
        <v>05 de febrero de 2018</v>
      </c>
      <c r="N821" s="39">
        <f t="shared" si="119"/>
        <v>43132</v>
      </c>
      <c r="O821" s="9" t="str">
        <f t="shared" si="128"/>
        <v>80.000,00</v>
      </c>
      <c r="P821" s="8" t="str">
        <f t="shared" si="129"/>
        <v>Ochenta Mil Bolívares con 00/100</v>
      </c>
      <c r="Q821" s="403" t="str">
        <f t="shared" si="122"/>
        <v/>
      </c>
    </row>
    <row r="822" spans="1:17" x14ac:dyDescent="0.25">
      <c r="A822" s="1">
        <f t="shared" si="123"/>
        <v>821</v>
      </c>
      <c r="C822" s="12" t="s">
        <v>17</v>
      </c>
      <c r="D822" s="2">
        <v>43136</v>
      </c>
      <c r="E822" s="3">
        <v>80000</v>
      </c>
      <c r="F822" t="s">
        <v>18</v>
      </c>
      <c r="G822" t="s">
        <v>19</v>
      </c>
      <c r="H822" t="s">
        <v>20</v>
      </c>
      <c r="I822" s="10" t="s">
        <v>623</v>
      </c>
      <c r="J822" s="167" t="s">
        <v>22</v>
      </c>
      <c r="L822" s="9" t="str">
        <f t="shared" si="117"/>
        <v>00821</v>
      </c>
      <c r="M822" s="71" t="str">
        <f t="shared" si="118"/>
        <v>05 de febrero de 2018</v>
      </c>
      <c r="N822" s="39">
        <f t="shared" si="119"/>
        <v>43132</v>
      </c>
      <c r="O822" s="9" t="str">
        <f t="shared" si="128"/>
        <v>80.000,00</v>
      </c>
      <c r="P822" s="8" t="str">
        <f t="shared" si="129"/>
        <v>Ochenta Mil Bolívares con 00/100</v>
      </c>
      <c r="Q822" s="403" t="str">
        <f t="shared" si="122"/>
        <v/>
      </c>
    </row>
    <row r="823" spans="1:17" x14ac:dyDescent="0.25">
      <c r="A823" s="390">
        <f t="shared" si="123"/>
        <v>822</v>
      </c>
      <c r="C823" s="12" t="s">
        <v>17</v>
      </c>
      <c r="D823" s="2">
        <v>43136</v>
      </c>
      <c r="E823" s="3">
        <v>80000</v>
      </c>
      <c r="F823" t="s">
        <v>439</v>
      </c>
      <c r="G823" t="s">
        <v>440</v>
      </c>
      <c r="H823" t="s">
        <v>441</v>
      </c>
      <c r="I823" s="10" t="s">
        <v>624</v>
      </c>
      <c r="J823" s="167" t="s">
        <v>22</v>
      </c>
      <c r="L823" s="9" t="str">
        <f t="shared" si="117"/>
        <v>00822</v>
      </c>
      <c r="M823" s="71" t="str">
        <f t="shared" si="118"/>
        <v>05 de febrero de 2018</v>
      </c>
      <c r="N823" s="39">
        <f t="shared" si="119"/>
        <v>43132</v>
      </c>
      <c r="O823" s="9" t="str">
        <f t="shared" si="128"/>
        <v>80.000,00</v>
      </c>
      <c r="P823" s="8" t="str">
        <f t="shared" si="129"/>
        <v>Ochenta Mil Bolívares con 00/100</v>
      </c>
      <c r="Q823" s="403" t="str">
        <f t="shared" si="122"/>
        <v/>
      </c>
    </row>
    <row r="824" spans="1:17" ht="15.75" thickBot="1" x14ac:dyDescent="0.3">
      <c r="A824" s="1">
        <f t="shared" si="123"/>
        <v>823</v>
      </c>
      <c r="C824" s="12" t="s">
        <v>17</v>
      </c>
      <c r="D824" s="2">
        <v>43137</v>
      </c>
      <c r="E824" s="3">
        <v>80000</v>
      </c>
      <c r="F824" t="s">
        <v>36</v>
      </c>
      <c r="G824" t="s">
        <v>37</v>
      </c>
      <c r="H824" t="s">
        <v>38</v>
      </c>
      <c r="I824" s="10" t="s">
        <v>616</v>
      </c>
      <c r="J824" s="167" t="s">
        <v>22</v>
      </c>
      <c r="L824" s="9" t="str">
        <f t="shared" si="117"/>
        <v>00823</v>
      </c>
      <c r="M824" s="71" t="str">
        <f t="shared" si="118"/>
        <v>06 de febrero de 2018</v>
      </c>
      <c r="N824" s="39">
        <f t="shared" si="119"/>
        <v>43132</v>
      </c>
      <c r="O824" s="9" t="str">
        <f t="shared" si="128"/>
        <v>80.000,00</v>
      </c>
      <c r="P824" s="8" t="str">
        <f t="shared" si="129"/>
        <v>Ochenta Mil Bolívares con 00/100</v>
      </c>
      <c r="Q824" s="403" t="str">
        <f t="shared" si="122"/>
        <v/>
      </c>
    </row>
    <row r="825" spans="1:17" ht="15.75" thickBot="1" x14ac:dyDescent="0.3">
      <c r="A825" s="1">
        <f t="shared" si="123"/>
        <v>824</v>
      </c>
      <c r="C825" s="12" t="s">
        <v>17</v>
      </c>
      <c r="D825" s="2">
        <v>43137</v>
      </c>
      <c r="E825" s="3">
        <v>160000</v>
      </c>
      <c r="F825" t="s">
        <v>280</v>
      </c>
      <c r="G825" s="27" t="s">
        <v>58</v>
      </c>
      <c r="H825" t="s">
        <v>282</v>
      </c>
      <c r="I825" s="10" t="s">
        <v>625</v>
      </c>
      <c r="J825" s="167" t="s">
        <v>22</v>
      </c>
      <c r="L825" s="9" t="str">
        <f t="shared" si="117"/>
        <v>00824</v>
      </c>
      <c r="M825" s="71" t="str">
        <f t="shared" si="118"/>
        <v>06 de febrero de 2018</v>
      </c>
      <c r="N825" s="39">
        <f t="shared" si="119"/>
        <v>43132</v>
      </c>
      <c r="O825" s="9" t="str">
        <f t="shared" si="128"/>
        <v>160.000,00</v>
      </c>
      <c r="P825" s="8" t="str">
        <f t="shared" si="129"/>
        <v>Ciento Sesenta Mil Bolívares con 00/100</v>
      </c>
      <c r="Q825" s="403" t="str">
        <f t="shared" si="122"/>
        <v/>
      </c>
    </row>
    <row r="826" spans="1:17" x14ac:dyDescent="0.25">
      <c r="A826" s="1">
        <f t="shared" si="123"/>
        <v>825</v>
      </c>
      <c r="C826" s="12" t="s">
        <v>17</v>
      </c>
      <c r="D826" s="2">
        <v>43139</v>
      </c>
      <c r="E826" s="3">
        <v>80000</v>
      </c>
      <c r="F826" t="s">
        <v>444</v>
      </c>
      <c r="G826" t="s">
        <v>445</v>
      </c>
      <c r="H826" t="s">
        <v>75</v>
      </c>
      <c r="I826" s="10" t="s">
        <v>616</v>
      </c>
      <c r="J826" s="167" t="s">
        <v>22</v>
      </c>
      <c r="L826" s="9" t="str">
        <f t="shared" si="117"/>
        <v>00825</v>
      </c>
      <c r="M826" s="71" t="str">
        <f t="shared" si="118"/>
        <v>08 de febrero de 2018</v>
      </c>
      <c r="N826" s="39">
        <f t="shared" si="119"/>
        <v>43132</v>
      </c>
      <c r="O826" s="9" t="str">
        <f t="shared" si="128"/>
        <v>80.000,00</v>
      </c>
      <c r="P826" s="8" t="str">
        <f t="shared" si="129"/>
        <v>Ochenta Mil Bolívares con 00/100</v>
      </c>
      <c r="Q826" s="403" t="str">
        <f t="shared" si="122"/>
        <v/>
      </c>
    </row>
    <row r="827" spans="1:17" x14ac:dyDescent="0.25">
      <c r="A827" s="1">
        <f t="shared" si="123"/>
        <v>826</v>
      </c>
      <c r="C827" s="12" t="s">
        <v>17</v>
      </c>
      <c r="D827" s="2">
        <v>43140</v>
      </c>
      <c r="E827" s="3">
        <v>40000</v>
      </c>
      <c r="F827" t="s">
        <v>167</v>
      </c>
      <c r="G827" t="s">
        <v>168</v>
      </c>
      <c r="H827" t="s">
        <v>169</v>
      </c>
      <c r="I827" s="10" t="s">
        <v>626</v>
      </c>
      <c r="J827" s="167" t="s">
        <v>22</v>
      </c>
      <c r="L827" s="9" t="str">
        <f t="shared" si="117"/>
        <v>00826</v>
      </c>
      <c r="M827" s="71" t="str">
        <f t="shared" si="118"/>
        <v>09 de febrero de 2018</v>
      </c>
      <c r="N827" s="39">
        <f t="shared" si="119"/>
        <v>43132</v>
      </c>
      <c r="O827" s="9" t="str">
        <f t="shared" si="128"/>
        <v>40.000,00</v>
      </c>
      <c r="P827" s="8" t="str">
        <f t="shared" si="129"/>
        <v>Cuarenta Mil Bolívares con 00/100</v>
      </c>
      <c r="Q827" s="403" t="str">
        <f t="shared" si="122"/>
        <v/>
      </c>
    </row>
    <row r="828" spans="1:17" x14ac:dyDescent="0.25">
      <c r="A828" s="1">
        <f t="shared" si="123"/>
        <v>827</v>
      </c>
      <c r="C828" s="12" t="s">
        <v>17</v>
      </c>
      <c r="D828" s="2">
        <v>43130</v>
      </c>
      <c r="E828" s="3">
        <v>80000</v>
      </c>
      <c r="F828" t="s">
        <v>185</v>
      </c>
      <c r="G828" t="s">
        <v>186</v>
      </c>
      <c r="H828" t="s">
        <v>187</v>
      </c>
      <c r="I828" s="10" t="s">
        <v>600</v>
      </c>
      <c r="J828" s="167" t="s">
        <v>22</v>
      </c>
      <c r="L828" s="9" t="str">
        <f t="shared" si="117"/>
        <v>00827</v>
      </c>
      <c r="M828" s="71" t="str">
        <f t="shared" si="118"/>
        <v>30 de enero de 2018</v>
      </c>
      <c r="N828" s="39">
        <f t="shared" si="119"/>
        <v>43101</v>
      </c>
      <c r="O828" s="9" t="str">
        <f t="shared" si="128"/>
        <v>80.000,00</v>
      </c>
      <c r="P828" s="8" t="str">
        <f t="shared" si="129"/>
        <v>Ochenta Mil Bolívares con 00/100</v>
      </c>
      <c r="Q828" s="403" t="str">
        <f t="shared" si="122"/>
        <v/>
      </c>
    </row>
    <row r="829" spans="1:17" x14ac:dyDescent="0.25">
      <c r="A829" s="1">
        <f t="shared" si="123"/>
        <v>828</v>
      </c>
      <c r="C829" s="12" t="s">
        <v>17</v>
      </c>
      <c r="D829" s="2">
        <v>43129</v>
      </c>
      <c r="E829" s="3">
        <v>80000</v>
      </c>
      <c r="F829" t="s">
        <v>296</v>
      </c>
      <c r="G829" t="s">
        <v>297</v>
      </c>
      <c r="H829" t="s">
        <v>298</v>
      </c>
      <c r="I829" s="10" t="s">
        <v>600</v>
      </c>
      <c r="J829" s="167" t="s">
        <v>22</v>
      </c>
      <c r="L829" s="9" t="str">
        <f t="shared" si="117"/>
        <v>00828</v>
      </c>
      <c r="M829" s="71" t="str">
        <f t="shared" si="118"/>
        <v>29 de enero de 2018</v>
      </c>
      <c r="N829" s="39">
        <f t="shared" si="119"/>
        <v>43101</v>
      </c>
      <c r="O829" s="9" t="str">
        <f t="shared" si="128"/>
        <v>80.000,00</v>
      </c>
      <c r="P829" s="8" t="str">
        <f t="shared" si="129"/>
        <v>Ochenta Mil Bolívares con 00/100</v>
      </c>
      <c r="Q829" s="403" t="str">
        <f t="shared" si="122"/>
        <v/>
      </c>
    </row>
    <row r="830" spans="1:17" x14ac:dyDescent="0.25">
      <c r="A830" s="1">
        <f t="shared" si="123"/>
        <v>829</v>
      </c>
      <c r="C830" s="12" t="s">
        <v>17</v>
      </c>
      <c r="D830" s="2">
        <v>43139</v>
      </c>
      <c r="E830" s="3">
        <f>30000+50000</f>
        <v>80000</v>
      </c>
      <c r="F830" t="s">
        <v>70</v>
      </c>
      <c r="G830" t="s">
        <v>71</v>
      </c>
      <c r="H830" t="s">
        <v>72</v>
      </c>
      <c r="I830" s="10" t="s">
        <v>627</v>
      </c>
      <c r="J830" s="167" t="s">
        <v>22</v>
      </c>
      <c r="L830" s="9" t="str">
        <f t="shared" si="117"/>
        <v>00829</v>
      </c>
      <c r="M830" s="71" t="str">
        <f t="shared" si="118"/>
        <v>08 de febrero de 2018</v>
      </c>
      <c r="N830" s="39">
        <f t="shared" si="119"/>
        <v>43132</v>
      </c>
      <c r="O830" s="9" t="str">
        <f t="shared" si="128"/>
        <v>80.000,00</v>
      </c>
      <c r="P830" s="8" t="str">
        <f t="shared" si="129"/>
        <v>Ochenta Mil Bolívares con 00/100</v>
      </c>
      <c r="Q830" s="403" t="str">
        <f t="shared" si="122"/>
        <v/>
      </c>
    </row>
    <row r="831" spans="1:17" x14ac:dyDescent="0.25">
      <c r="A831" s="1">
        <f t="shared" si="123"/>
        <v>830</v>
      </c>
      <c r="C831" s="12" t="s">
        <v>17</v>
      </c>
      <c r="D831" s="2">
        <v>43140</v>
      </c>
      <c r="E831" s="3">
        <v>80000</v>
      </c>
      <c r="F831" t="s">
        <v>107</v>
      </c>
      <c r="G831" t="s">
        <v>108</v>
      </c>
      <c r="H831" t="s">
        <v>109</v>
      </c>
      <c r="I831" s="10" t="s">
        <v>616</v>
      </c>
      <c r="J831" s="167" t="s">
        <v>22</v>
      </c>
      <c r="L831" s="9" t="str">
        <f t="shared" si="117"/>
        <v>00830</v>
      </c>
      <c r="M831" s="71" t="str">
        <f t="shared" si="118"/>
        <v>09 de febrero de 2018</v>
      </c>
      <c r="N831" s="39">
        <f t="shared" si="119"/>
        <v>43132</v>
      </c>
      <c r="O831" s="9" t="str">
        <f t="shared" si="128"/>
        <v>80.000,00</v>
      </c>
      <c r="P831" s="8" t="str">
        <f t="shared" si="129"/>
        <v>Ochenta Mil Bolívares con 00/100</v>
      </c>
      <c r="Q831" s="403" t="str">
        <f t="shared" si="122"/>
        <v/>
      </c>
    </row>
    <row r="832" spans="1:17" x14ac:dyDescent="0.25">
      <c r="A832" s="1">
        <f t="shared" si="123"/>
        <v>831</v>
      </c>
      <c r="C832" s="12" t="s">
        <v>17</v>
      </c>
      <c r="D832" s="2">
        <v>43140</v>
      </c>
      <c r="E832" s="3">
        <v>280000</v>
      </c>
      <c r="F832" t="s">
        <v>342</v>
      </c>
      <c r="G832" t="s">
        <v>343</v>
      </c>
      <c r="H832" t="s">
        <v>344</v>
      </c>
      <c r="I832" s="10" t="s">
        <v>628</v>
      </c>
      <c r="J832" s="167" t="s">
        <v>22</v>
      </c>
      <c r="L832" s="9" t="str">
        <f t="shared" si="117"/>
        <v>00831</v>
      </c>
      <c r="M832" s="71" t="str">
        <f t="shared" si="118"/>
        <v>09 de febrero de 2018</v>
      </c>
      <c r="N832" s="39">
        <f t="shared" si="119"/>
        <v>43132</v>
      </c>
      <c r="O832" s="9" t="str">
        <f t="shared" si="128"/>
        <v>280.000,00</v>
      </c>
      <c r="P832" s="8" t="str">
        <f t="shared" si="129"/>
        <v>Doscientos Ochenta Mil Bolívares con 00/100</v>
      </c>
      <c r="Q832" s="403" t="str">
        <f t="shared" si="122"/>
        <v/>
      </c>
    </row>
    <row r="833" spans="1:17" x14ac:dyDescent="0.25">
      <c r="A833" s="1">
        <f t="shared" si="123"/>
        <v>832</v>
      </c>
      <c r="C833" s="12" t="s">
        <v>17</v>
      </c>
      <c r="D833" s="2">
        <v>43141</v>
      </c>
      <c r="E833" s="3">
        <f>2*80000</f>
        <v>160000</v>
      </c>
      <c r="F833" t="s">
        <v>138</v>
      </c>
      <c r="G833" t="s">
        <v>139</v>
      </c>
      <c r="H833" t="s">
        <v>140</v>
      </c>
      <c r="I833" s="10" t="s">
        <v>608</v>
      </c>
      <c r="J833" s="167" t="s">
        <v>22</v>
      </c>
      <c r="L833" s="9" t="str">
        <f t="shared" si="117"/>
        <v>00832</v>
      </c>
      <c r="M833" s="71" t="str">
        <f t="shared" si="118"/>
        <v>10 de febrero de 2018</v>
      </c>
      <c r="N833" s="39">
        <f t="shared" si="119"/>
        <v>43132</v>
      </c>
      <c r="O833" s="9" t="str">
        <f t="shared" si="128"/>
        <v>160.000,00</v>
      </c>
      <c r="P833" s="8" t="str">
        <f t="shared" si="129"/>
        <v>Ciento Sesenta Mil Bolívares con 00/100</v>
      </c>
      <c r="Q833" s="403" t="str">
        <f t="shared" si="122"/>
        <v/>
      </c>
    </row>
    <row r="834" spans="1:17" x14ac:dyDescent="0.25">
      <c r="A834" s="1">
        <f t="shared" si="123"/>
        <v>833</v>
      </c>
      <c r="C834" s="12" t="s">
        <v>17</v>
      </c>
      <c r="D834" s="2">
        <v>43112</v>
      </c>
      <c r="E834" s="3">
        <f>2*50000</f>
        <v>100000</v>
      </c>
      <c r="F834" t="s">
        <v>413</v>
      </c>
      <c r="G834" t="s">
        <v>414</v>
      </c>
      <c r="H834" t="s">
        <v>415</v>
      </c>
      <c r="I834" s="10" t="s">
        <v>609</v>
      </c>
      <c r="J834" s="167" t="s">
        <v>22</v>
      </c>
      <c r="L834" s="9" t="str">
        <f t="shared" ref="L834:L897" si="130">IF(ISBLANK(A834),"",TEXT(A834,"00000"))</f>
        <v>00833</v>
      </c>
      <c r="M834" s="71" t="str">
        <f t="shared" ref="M834:M897" si="131">IF(ISBLANK(D834),"",TEXT(D834,"dd")&amp;" de "&amp;TEXT(D834,"mmmm")&amp;" de "&amp;TEXT(YEAR(D834),"0"))</f>
        <v>12 de enero de 2018</v>
      </c>
      <c r="N834" s="39">
        <f t="shared" ref="N834:N897" si="132">DATE(YEAR(D834),MONTH(D834),1)</f>
        <v>43101</v>
      </c>
      <c r="O834" s="9" t="str">
        <f t="shared" si="128"/>
        <v>100.000,00</v>
      </c>
      <c r="P834" s="8" t="str">
        <f t="shared" si="129"/>
        <v>Cien Mil Bolívares con 00/100</v>
      </c>
      <c r="Q834" s="403" t="str">
        <f t="shared" si="122"/>
        <v/>
      </c>
    </row>
    <row r="835" spans="1:17" ht="15.75" thickBot="1" x14ac:dyDescent="0.3">
      <c r="A835" s="1">
        <f t="shared" si="123"/>
        <v>834</v>
      </c>
      <c r="C835" s="12" t="s">
        <v>17</v>
      </c>
      <c r="D835" s="2">
        <v>43114</v>
      </c>
      <c r="E835" s="3">
        <v>80000</v>
      </c>
      <c r="F835" t="s">
        <v>201</v>
      </c>
      <c r="G835" t="s">
        <v>202</v>
      </c>
      <c r="H835" t="s">
        <v>203</v>
      </c>
      <c r="I835" s="10" t="s">
        <v>616</v>
      </c>
      <c r="J835" s="167" t="s">
        <v>22</v>
      </c>
      <c r="L835" s="9" t="str">
        <f t="shared" si="130"/>
        <v>00834</v>
      </c>
      <c r="M835" s="71" t="str">
        <f t="shared" si="131"/>
        <v>14 de enero de 2018</v>
      </c>
      <c r="N835" s="39">
        <f t="shared" si="132"/>
        <v>43101</v>
      </c>
      <c r="O835" s="9" t="str">
        <f t="shared" si="128"/>
        <v>80.000,00</v>
      </c>
      <c r="P835" s="8" t="str">
        <f t="shared" si="129"/>
        <v>Ochenta Mil Bolívares con 00/100</v>
      </c>
      <c r="Q835" s="403" t="str">
        <f t="shared" ref="Q835:Q898" si="133">IF(C835="û","Anulado","")</f>
        <v/>
      </c>
    </row>
    <row r="836" spans="1:17" ht="15.75" thickBot="1" x14ac:dyDescent="0.3">
      <c r="A836" s="1">
        <f t="shared" ref="A836:A890" si="134">A835+1</f>
        <v>835</v>
      </c>
      <c r="C836" s="12" t="s">
        <v>17</v>
      </c>
      <c r="D836" s="2">
        <v>43114</v>
      </c>
      <c r="E836" s="3">
        <v>86400</v>
      </c>
      <c r="F836" s="31" t="s">
        <v>57</v>
      </c>
      <c r="G836" s="27" t="s">
        <v>58</v>
      </c>
      <c r="H836" s="32" t="s">
        <v>59</v>
      </c>
      <c r="I836" s="10" t="s">
        <v>616</v>
      </c>
      <c r="J836" s="167" t="s">
        <v>22</v>
      </c>
      <c r="K836" s="33"/>
      <c r="L836" s="9" t="str">
        <f t="shared" si="130"/>
        <v>00835</v>
      </c>
      <c r="M836" s="71" t="str">
        <f t="shared" si="131"/>
        <v>14 de enero de 2018</v>
      </c>
      <c r="N836" s="39">
        <f t="shared" si="132"/>
        <v>43101</v>
      </c>
      <c r="O836" s="9" t="str">
        <f t="shared" si="128"/>
        <v>86.400,00</v>
      </c>
      <c r="P836" s="8" t="str">
        <f t="shared" si="129"/>
        <v>Ochenta y Seis Mil Cuatrocientos Bolívares con 00/100</v>
      </c>
      <c r="Q836" s="403" t="str">
        <f t="shared" si="133"/>
        <v/>
      </c>
    </row>
    <row r="837" spans="1:17" ht="15.75" thickBot="1" x14ac:dyDescent="0.3">
      <c r="A837" s="1">
        <f t="shared" si="134"/>
        <v>836</v>
      </c>
      <c r="C837" s="12" t="s">
        <v>17</v>
      </c>
      <c r="D837" s="2">
        <v>43146</v>
      </c>
      <c r="E837" s="3">
        <v>113600</v>
      </c>
      <c r="F837" s="36" t="s">
        <v>423</v>
      </c>
      <c r="G837" s="27" t="s">
        <v>58</v>
      </c>
      <c r="H837" t="s">
        <v>424</v>
      </c>
      <c r="I837" s="10" t="s">
        <v>616</v>
      </c>
      <c r="J837" s="167" t="s">
        <v>22</v>
      </c>
      <c r="L837" s="9" t="str">
        <f t="shared" si="130"/>
        <v>00836</v>
      </c>
      <c r="M837" s="71" t="str">
        <f t="shared" si="131"/>
        <v>15 de febrero de 2018</v>
      </c>
      <c r="N837" s="39">
        <f t="shared" si="132"/>
        <v>43132</v>
      </c>
      <c r="O837" s="9" t="str">
        <f t="shared" si="128"/>
        <v>113.600,00</v>
      </c>
      <c r="P837" s="8" t="str">
        <f t="shared" si="129"/>
        <v>Ciento Trece Mil Seiscientos Bolívares con 00/100</v>
      </c>
      <c r="Q837" s="403" t="str">
        <f t="shared" si="133"/>
        <v/>
      </c>
    </row>
    <row r="838" spans="1:17" x14ac:dyDescent="0.25">
      <c r="A838" s="1">
        <f t="shared" si="134"/>
        <v>837</v>
      </c>
      <c r="C838" s="12" t="s">
        <v>17</v>
      </c>
      <c r="D838" s="2">
        <v>43146</v>
      </c>
      <c r="E838" s="3">
        <v>80000</v>
      </c>
      <c r="F838" t="s">
        <v>243</v>
      </c>
      <c r="G838" t="s">
        <v>244</v>
      </c>
      <c r="H838" t="s">
        <v>245</v>
      </c>
      <c r="I838" s="10" t="s">
        <v>616</v>
      </c>
      <c r="J838" s="167" t="s">
        <v>22</v>
      </c>
      <c r="L838" s="9" t="str">
        <f t="shared" si="130"/>
        <v>00837</v>
      </c>
      <c r="M838" s="71" t="str">
        <f t="shared" si="131"/>
        <v>15 de febrero de 2018</v>
      </c>
      <c r="N838" s="39">
        <f t="shared" si="132"/>
        <v>43132</v>
      </c>
      <c r="O838" s="9" t="str">
        <f t="shared" si="128"/>
        <v>80.000,00</v>
      </c>
      <c r="P838" s="8" t="str">
        <f t="shared" si="129"/>
        <v>Ochenta Mil Bolívares con 00/100</v>
      </c>
      <c r="Q838" s="403" t="str">
        <f t="shared" si="133"/>
        <v/>
      </c>
    </row>
    <row r="839" spans="1:17" x14ac:dyDescent="0.25">
      <c r="A839" s="1">
        <f t="shared" si="134"/>
        <v>838</v>
      </c>
      <c r="C839" s="12" t="s">
        <v>17</v>
      </c>
      <c r="D839" s="2">
        <v>43146</v>
      </c>
      <c r="E839" s="3">
        <v>80000</v>
      </c>
      <c r="F839" t="s">
        <v>152</v>
      </c>
      <c r="G839" t="s">
        <v>153</v>
      </c>
      <c r="H839" t="s">
        <v>154</v>
      </c>
      <c r="I839" s="10" t="s">
        <v>616</v>
      </c>
      <c r="J839" s="167" t="s">
        <v>22</v>
      </c>
      <c r="L839" s="9" t="str">
        <f t="shared" si="130"/>
        <v>00838</v>
      </c>
      <c r="M839" s="71" t="str">
        <f t="shared" si="131"/>
        <v>15 de febrero de 2018</v>
      </c>
      <c r="N839" s="39">
        <f t="shared" si="132"/>
        <v>43132</v>
      </c>
      <c r="O839" s="9" t="str">
        <f t="shared" si="128"/>
        <v>80.000,00</v>
      </c>
      <c r="P839" s="8" t="str">
        <f t="shared" si="129"/>
        <v>Ochenta Mil Bolívares con 00/100</v>
      </c>
      <c r="Q839" s="403" t="str">
        <f t="shared" si="133"/>
        <v/>
      </c>
    </row>
    <row r="840" spans="1:17" x14ac:dyDescent="0.25">
      <c r="A840" s="1">
        <f t="shared" si="134"/>
        <v>839</v>
      </c>
      <c r="C840" s="12" t="s">
        <v>17</v>
      </c>
      <c r="D840" s="2">
        <v>43147</v>
      </c>
      <c r="E840" s="3">
        <v>80000</v>
      </c>
      <c r="F840" t="s">
        <v>103</v>
      </c>
      <c r="G840" t="s">
        <v>104</v>
      </c>
      <c r="H840" t="s">
        <v>105</v>
      </c>
      <c r="I840" s="10" t="s">
        <v>616</v>
      </c>
      <c r="J840" s="167" t="s">
        <v>22</v>
      </c>
      <c r="L840" s="9" t="str">
        <f t="shared" si="130"/>
        <v>00839</v>
      </c>
      <c r="M840" s="71" t="str">
        <f t="shared" si="131"/>
        <v>16 de febrero de 2018</v>
      </c>
      <c r="N840" s="39">
        <f t="shared" si="132"/>
        <v>43132</v>
      </c>
      <c r="O840" s="9" t="str">
        <f t="shared" si="128"/>
        <v>80.000,00</v>
      </c>
      <c r="P840" s="8" t="str">
        <f t="shared" si="129"/>
        <v>Ochenta Mil Bolívares con 00/100</v>
      </c>
      <c r="Q840" s="403" t="str">
        <f t="shared" si="133"/>
        <v/>
      </c>
    </row>
    <row r="841" spans="1:17" x14ac:dyDescent="0.25">
      <c r="A841" s="1">
        <f t="shared" si="134"/>
        <v>840</v>
      </c>
      <c r="C841" s="12" t="s">
        <v>17</v>
      </c>
      <c r="D841" s="2">
        <v>43150</v>
      </c>
      <c r="E841" s="3">
        <v>80000</v>
      </c>
      <c r="F841" t="s">
        <v>185</v>
      </c>
      <c r="G841" t="s">
        <v>186</v>
      </c>
      <c r="H841" t="s">
        <v>187</v>
      </c>
      <c r="I841" s="10" t="s">
        <v>616</v>
      </c>
      <c r="J841" s="167" t="s">
        <v>22</v>
      </c>
      <c r="L841" s="9" t="str">
        <f t="shared" si="130"/>
        <v>00840</v>
      </c>
      <c r="M841" s="71" t="str">
        <f t="shared" si="131"/>
        <v>19 de febrero de 2018</v>
      </c>
      <c r="N841" s="39">
        <f t="shared" si="132"/>
        <v>43132</v>
      </c>
      <c r="O841" s="9" t="str">
        <f t="shared" ref="O841:O857" si="135">TEXT(E841,"#.##0,00")</f>
        <v>80.000,00</v>
      </c>
      <c r="P841" s="8" t="str">
        <f t="shared" ref="P841:P857" si="136">CONVERTIRNUM(E841)</f>
        <v>Ochenta Mil Bolívares con 00/100</v>
      </c>
      <c r="Q841" s="403" t="str">
        <f t="shared" si="133"/>
        <v/>
      </c>
    </row>
    <row r="842" spans="1:17" x14ac:dyDescent="0.25">
      <c r="A842" s="1">
        <f t="shared" si="134"/>
        <v>841</v>
      </c>
      <c r="C842" s="12" t="s">
        <v>17</v>
      </c>
      <c r="D842" s="2">
        <v>43151</v>
      </c>
      <c r="E842" s="3">
        <v>40000</v>
      </c>
      <c r="F842" t="s">
        <v>402</v>
      </c>
      <c r="G842" t="s">
        <v>403</v>
      </c>
      <c r="H842" t="s">
        <v>404</v>
      </c>
      <c r="I842" s="10" t="s">
        <v>626</v>
      </c>
      <c r="J842" s="167" t="s">
        <v>22</v>
      </c>
      <c r="L842" s="9" t="str">
        <f t="shared" si="130"/>
        <v>00841</v>
      </c>
      <c r="M842" s="71" t="str">
        <f t="shared" si="131"/>
        <v>20 de febrero de 2018</v>
      </c>
      <c r="N842" s="39">
        <f t="shared" si="132"/>
        <v>43132</v>
      </c>
      <c r="O842" s="9" t="str">
        <f t="shared" si="135"/>
        <v>40.000,00</v>
      </c>
      <c r="P842" s="8" t="str">
        <f t="shared" si="136"/>
        <v>Cuarenta Mil Bolívares con 00/100</v>
      </c>
      <c r="Q842" s="403" t="str">
        <f t="shared" si="133"/>
        <v/>
      </c>
    </row>
    <row r="843" spans="1:17" x14ac:dyDescent="0.25">
      <c r="A843" s="1">
        <f t="shared" si="134"/>
        <v>842</v>
      </c>
      <c r="C843" s="12" t="s">
        <v>17</v>
      </c>
      <c r="D843" s="2">
        <v>43151</v>
      </c>
      <c r="E843" s="3">
        <v>80000</v>
      </c>
      <c r="F843" t="s">
        <v>122</v>
      </c>
      <c r="G843" t="s">
        <v>123</v>
      </c>
      <c r="H843" t="s">
        <v>124</v>
      </c>
      <c r="I843" s="10" t="s">
        <v>616</v>
      </c>
      <c r="J843" s="167" t="s">
        <v>22</v>
      </c>
      <c r="L843" s="9" t="str">
        <f t="shared" si="130"/>
        <v>00842</v>
      </c>
      <c r="M843" s="71" t="str">
        <f t="shared" si="131"/>
        <v>20 de febrero de 2018</v>
      </c>
      <c r="N843" s="39">
        <f t="shared" si="132"/>
        <v>43132</v>
      </c>
      <c r="O843" s="9" t="str">
        <f t="shared" si="135"/>
        <v>80.000,00</v>
      </c>
      <c r="P843" s="8" t="str">
        <f t="shared" si="136"/>
        <v>Ochenta Mil Bolívares con 00/100</v>
      </c>
      <c r="Q843" s="403" t="str">
        <f t="shared" si="133"/>
        <v/>
      </c>
    </row>
    <row r="844" spans="1:17" x14ac:dyDescent="0.25">
      <c r="A844" s="1">
        <f t="shared" si="134"/>
        <v>843</v>
      </c>
      <c r="C844" s="12" t="s">
        <v>17</v>
      </c>
      <c r="D844" s="2">
        <v>43151</v>
      </c>
      <c r="E844" s="3">
        <v>80000</v>
      </c>
      <c r="F844" t="s">
        <v>126</v>
      </c>
      <c r="G844" t="s">
        <v>127</v>
      </c>
      <c r="H844" t="s">
        <v>128</v>
      </c>
      <c r="I844" s="10" t="s">
        <v>616</v>
      </c>
      <c r="J844" s="167" t="s">
        <v>22</v>
      </c>
      <c r="L844" s="9" t="str">
        <f t="shared" si="130"/>
        <v>00843</v>
      </c>
      <c r="M844" s="71" t="str">
        <f t="shared" si="131"/>
        <v>20 de febrero de 2018</v>
      </c>
      <c r="N844" s="39">
        <f t="shared" si="132"/>
        <v>43132</v>
      </c>
      <c r="O844" s="9" t="str">
        <f t="shared" si="135"/>
        <v>80.000,00</v>
      </c>
      <c r="P844" s="8" t="str">
        <f t="shared" si="136"/>
        <v>Ochenta Mil Bolívares con 00/100</v>
      </c>
      <c r="Q844" s="403" t="str">
        <f t="shared" si="133"/>
        <v/>
      </c>
    </row>
    <row r="845" spans="1:17" ht="15.75" thickBot="1" x14ac:dyDescent="0.3">
      <c r="A845" s="1">
        <f t="shared" si="134"/>
        <v>844</v>
      </c>
      <c r="C845" s="12" t="s">
        <v>17</v>
      </c>
      <c r="D845" s="2">
        <v>43151</v>
      </c>
      <c r="E845" s="3">
        <v>50000</v>
      </c>
      <c r="F845" t="s">
        <v>28</v>
      </c>
      <c r="G845" t="s">
        <v>29</v>
      </c>
      <c r="H845" t="s">
        <v>30</v>
      </c>
      <c r="I845" s="10" t="s">
        <v>626</v>
      </c>
      <c r="J845" s="167" t="s">
        <v>22</v>
      </c>
      <c r="L845" s="9" t="str">
        <f t="shared" si="130"/>
        <v>00844</v>
      </c>
      <c r="M845" s="71" t="str">
        <f t="shared" si="131"/>
        <v>20 de febrero de 2018</v>
      </c>
      <c r="N845" s="39">
        <f t="shared" si="132"/>
        <v>43132</v>
      </c>
      <c r="O845" s="9" t="str">
        <f t="shared" si="135"/>
        <v>50.000,00</v>
      </c>
      <c r="P845" s="8" t="str">
        <f t="shared" si="136"/>
        <v>Cincuenta Mil Bolívares con 00/100</v>
      </c>
      <c r="Q845" s="403" t="str">
        <f t="shared" si="133"/>
        <v/>
      </c>
    </row>
    <row r="846" spans="1:17" ht="15.75" thickBot="1" x14ac:dyDescent="0.3">
      <c r="A846" s="1">
        <f t="shared" si="134"/>
        <v>845</v>
      </c>
      <c r="C846" s="12" t="s">
        <v>17</v>
      </c>
      <c r="D846" s="2">
        <v>43151</v>
      </c>
      <c r="E846" s="3">
        <v>20000</v>
      </c>
      <c r="F846" t="s">
        <v>398</v>
      </c>
      <c r="G846" s="74" t="s">
        <v>29</v>
      </c>
      <c r="H846" t="s">
        <v>399</v>
      </c>
      <c r="I846" s="10" t="s">
        <v>626</v>
      </c>
      <c r="J846" s="167" t="s">
        <v>22</v>
      </c>
      <c r="L846" s="9" t="str">
        <f t="shared" si="130"/>
        <v>00845</v>
      </c>
      <c r="M846" s="71" t="str">
        <f t="shared" si="131"/>
        <v>20 de febrero de 2018</v>
      </c>
      <c r="N846" s="39">
        <f t="shared" si="132"/>
        <v>43132</v>
      </c>
      <c r="O846" s="9" t="str">
        <f t="shared" si="135"/>
        <v>20.000,00</v>
      </c>
      <c r="P846" s="8" t="str">
        <f t="shared" si="136"/>
        <v>Veinte Mil Bolívares con 00/100</v>
      </c>
      <c r="Q846" s="403" t="str">
        <f t="shared" si="133"/>
        <v/>
      </c>
    </row>
    <row r="847" spans="1:17" x14ac:dyDescent="0.25">
      <c r="A847" s="1">
        <f t="shared" si="134"/>
        <v>846</v>
      </c>
      <c r="C847" s="12" t="s">
        <v>17</v>
      </c>
      <c r="D847" s="2">
        <v>43152</v>
      </c>
      <c r="E847" s="3">
        <v>80000</v>
      </c>
      <c r="F847" t="s">
        <v>130</v>
      </c>
      <c r="G847" t="s">
        <v>131</v>
      </c>
      <c r="H847" t="s">
        <v>132</v>
      </c>
      <c r="I847" s="10" t="s">
        <v>616</v>
      </c>
      <c r="J847" s="167" t="s">
        <v>22</v>
      </c>
      <c r="L847" s="9" t="str">
        <f t="shared" si="130"/>
        <v>00846</v>
      </c>
      <c r="M847" s="71" t="str">
        <f t="shared" si="131"/>
        <v>21 de febrero de 2018</v>
      </c>
      <c r="N847" s="39">
        <f t="shared" si="132"/>
        <v>43132</v>
      </c>
      <c r="O847" s="9" t="str">
        <f t="shared" si="135"/>
        <v>80.000,00</v>
      </c>
      <c r="P847" s="8" t="str">
        <f t="shared" si="136"/>
        <v>Ochenta Mil Bolívares con 00/100</v>
      </c>
      <c r="Q847" s="403" t="str">
        <f t="shared" si="133"/>
        <v/>
      </c>
    </row>
    <row r="848" spans="1:17" x14ac:dyDescent="0.25">
      <c r="A848" s="1">
        <f t="shared" si="134"/>
        <v>847</v>
      </c>
      <c r="C848" s="12" t="s">
        <v>17</v>
      </c>
      <c r="D848" s="2">
        <v>43153</v>
      </c>
      <c r="E848" s="3">
        <v>150000</v>
      </c>
      <c r="F848" t="s">
        <v>32</v>
      </c>
      <c r="G848" t="s">
        <v>33</v>
      </c>
      <c r="H848" t="s">
        <v>34</v>
      </c>
      <c r="I848" s="10" t="s">
        <v>609</v>
      </c>
      <c r="J848" s="167" t="s">
        <v>22</v>
      </c>
      <c r="L848" s="9" t="str">
        <f t="shared" si="130"/>
        <v>00847</v>
      </c>
      <c r="M848" s="71" t="str">
        <f t="shared" si="131"/>
        <v>22 de febrero de 2018</v>
      </c>
      <c r="N848" s="39">
        <f t="shared" si="132"/>
        <v>43132</v>
      </c>
      <c r="O848" s="9" t="str">
        <f t="shared" si="135"/>
        <v>150.000,00</v>
      </c>
      <c r="P848" s="8" t="str">
        <f t="shared" si="136"/>
        <v>Ciento Cincuenta Mil Bolívares con 00/100</v>
      </c>
      <c r="Q848" s="403" t="str">
        <f t="shared" si="133"/>
        <v/>
      </c>
    </row>
    <row r="849" spans="1:17" x14ac:dyDescent="0.25">
      <c r="A849" s="1">
        <f t="shared" si="134"/>
        <v>848</v>
      </c>
      <c r="C849" s="12" t="s">
        <v>17</v>
      </c>
      <c r="D849" s="2">
        <v>43154</v>
      </c>
      <c r="E849" s="3">
        <v>115000</v>
      </c>
      <c r="F849" t="s">
        <v>148</v>
      </c>
      <c r="G849" t="s">
        <v>149</v>
      </c>
      <c r="H849" t="s">
        <v>150</v>
      </c>
      <c r="I849" s="10" t="s">
        <v>616</v>
      </c>
      <c r="J849" s="167" t="s">
        <v>22</v>
      </c>
      <c r="L849" s="9" t="str">
        <f t="shared" si="130"/>
        <v>00848</v>
      </c>
      <c r="M849" s="71" t="str">
        <f t="shared" si="131"/>
        <v>23 de febrero de 2018</v>
      </c>
      <c r="N849" s="39">
        <f t="shared" si="132"/>
        <v>43132</v>
      </c>
      <c r="O849" s="9" t="str">
        <f t="shared" si="135"/>
        <v>115.000,00</v>
      </c>
      <c r="P849" s="8" t="str">
        <f t="shared" si="136"/>
        <v>Ciento Quince Mil Bolívares con 00/100</v>
      </c>
      <c r="Q849" s="403" t="str">
        <f t="shared" si="133"/>
        <v/>
      </c>
    </row>
    <row r="850" spans="1:17" x14ac:dyDescent="0.25">
      <c r="A850" s="1">
        <f t="shared" si="134"/>
        <v>849</v>
      </c>
      <c r="C850" s="12" t="s">
        <v>17</v>
      </c>
      <c r="D850" s="2">
        <v>43155</v>
      </c>
      <c r="E850" s="3">
        <f>80000*3</f>
        <v>240000</v>
      </c>
      <c r="F850" t="s">
        <v>324</v>
      </c>
      <c r="G850" t="s">
        <v>325</v>
      </c>
      <c r="H850" t="s">
        <v>326</v>
      </c>
      <c r="I850" s="10" t="s">
        <v>629</v>
      </c>
      <c r="J850" s="167" t="s">
        <v>22</v>
      </c>
      <c r="L850" s="9" t="str">
        <f t="shared" si="130"/>
        <v>00849</v>
      </c>
      <c r="M850" s="71" t="str">
        <f t="shared" si="131"/>
        <v>24 de febrero de 2018</v>
      </c>
      <c r="N850" s="39">
        <f t="shared" si="132"/>
        <v>43132</v>
      </c>
      <c r="O850" s="9" t="str">
        <f t="shared" si="135"/>
        <v>240.000,00</v>
      </c>
      <c r="P850" s="8" t="str">
        <f t="shared" si="136"/>
        <v>Doscientos Cuarenta Mil Bolívares con 00/100</v>
      </c>
      <c r="Q850" s="403" t="str">
        <f t="shared" si="133"/>
        <v/>
      </c>
    </row>
    <row r="851" spans="1:17" x14ac:dyDescent="0.25">
      <c r="A851" s="1">
        <f t="shared" si="134"/>
        <v>850</v>
      </c>
      <c r="C851" s="12" t="s">
        <v>17</v>
      </c>
      <c r="D851" s="2">
        <v>43155</v>
      </c>
      <c r="E851" s="3">
        <v>80000</v>
      </c>
      <c r="F851" t="s">
        <v>219</v>
      </c>
      <c r="G851" t="s">
        <v>220</v>
      </c>
      <c r="H851" t="s">
        <v>221</v>
      </c>
      <c r="I851" s="10" t="s">
        <v>616</v>
      </c>
      <c r="J851" s="167" t="s">
        <v>22</v>
      </c>
      <c r="L851" s="9" t="str">
        <f t="shared" si="130"/>
        <v>00850</v>
      </c>
      <c r="M851" s="71" t="str">
        <f t="shared" si="131"/>
        <v>24 de febrero de 2018</v>
      </c>
      <c r="N851" s="39">
        <f t="shared" si="132"/>
        <v>43132</v>
      </c>
      <c r="O851" s="9" t="str">
        <f t="shared" si="135"/>
        <v>80.000,00</v>
      </c>
      <c r="P851" s="8" t="str">
        <f t="shared" si="136"/>
        <v>Ochenta Mil Bolívares con 00/100</v>
      </c>
      <c r="Q851" s="403" t="str">
        <f t="shared" si="133"/>
        <v/>
      </c>
    </row>
    <row r="852" spans="1:17" x14ac:dyDescent="0.25">
      <c r="A852" s="1">
        <f t="shared" si="134"/>
        <v>851</v>
      </c>
      <c r="C852" s="12" t="s">
        <v>17</v>
      </c>
      <c r="D852" s="2">
        <v>43156</v>
      </c>
      <c r="E852" s="3">
        <v>80000</v>
      </c>
      <c r="F852" t="s">
        <v>230</v>
      </c>
      <c r="G852" t="s">
        <v>231</v>
      </c>
      <c r="H852" t="s">
        <v>232</v>
      </c>
      <c r="I852" s="10" t="s">
        <v>616</v>
      </c>
      <c r="J852" s="167" t="s">
        <v>22</v>
      </c>
      <c r="L852" s="9" t="str">
        <f t="shared" si="130"/>
        <v>00851</v>
      </c>
      <c r="M852" s="71" t="str">
        <f t="shared" si="131"/>
        <v>25 de febrero de 2018</v>
      </c>
      <c r="N852" s="39">
        <f t="shared" si="132"/>
        <v>43132</v>
      </c>
      <c r="O852" s="9" t="str">
        <f t="shared" si="135"/>
        <v>80.000,00</v>
      </c>
      <c r="P852" s="8" t="str">
        <f t="shared" si="136"/>
        <v>Ochenta Mil Bolívares con 00/100</v>
      </c>
      <c r="Q852" s="403" t="str">
        <f t="shared" si="133"/>
        <v/>
      </c>
    </row>
    <row r="853" spans="1:17" x14ac:dyDescent="0.25">
      <c r="A853" s="1">
        <f t="shared" si="134"/>
        <v>852</v>
      </c>
      <c r="C853" s="12" t="s">
        <v>17</v>
      </c>
      <c r="D853" s="2">
        <v>43156</v>
      </c>
      <c r="E853" s="3">
        <v>80000</v>
      </c>
      <c r="F853" t="s">
        <v>100</v>
      </c>
      <c r="G853" t="s">
        <v>95</v>
      </c>
      <c r="H853" t="s">
        <v>101</v>
      </c>
      <c r="I853" s="10" t="s">
        <v>630</v>
      </c>
      <c r="J853" s="167" t="s">
        <v>22</v>
      </c>
      <c r="L853" s="9" t="str">
        <f t="shared" si="130"/>
        <v>00852</v>
      </c>
      <c r="M853" s="71" t="str">
        <f t="shared" si="131"/>
        <v>25 de febrero de 2018</v>
      </c>
      <c r="N853" s="39">
        <f t="shared" si="132"/>
        <v>43132</v>
      </c>
      <c r="O853" s="9" t="str">
        <f t="shared" si="135"/>
        <v>80.000,00</v>
      </c>
      <c r="P853" s="8" t="str">
        <f t="shared" si="136"/>
        <v>Ochenta Mil Bolívares con 00/100</v>
      </c>
      <c r="Q853" s="403" t="str">
        <f t="shared" si="133"/>
        <v/>
      </c>
    </row>
    <row r="854" spans="1:17" x14ac:dyDescent="0.25">
      <c r="A854" s="1">
        <f t="shared" si="134"/>
        <v>853</v>
      </c>
      <c r="C854" s="12" t="s">
        <v>17</v>
      </c>
      <c r="D854" s="2">
        <v>43157</v>
      </c>
      <c r="E854" s="3">
        <v>80000</v>
      </c>
      <c r="F854" t="s">
        <v>62</v>
      </c>
      <c r="G854" t="s">
        <v>63</v>
      </c>
      <c r="H854" t="s">
        <v>64</v>
      </c>
      <c r="I854" s="10" t="s">
        <v>600</v>
      </c>
      <c r="J854" s="167" t="s">
        <v>22</v>
      </c>
      <c r="L854" s="9" t="str">
        <f t="shared" si="130"/>
        <v>00853</v>
      </c>
      <c r="M854" s="71" t="str">
        <f t="shared" si="131"/>
        <v>26 de febrero de 2018</v>
      </c>
      <c r="N854" s="39">
        <f t="shared" si="132"/>
        <v>43132</v>
      </c>
      <c r="O854" s="9" t="str">
        <f t="shared" si="135"/>
        <v>80.000,00</v>
      </c>
      <c r="P854" s="8" t="str">
        <f t="shared" si="136"/>
        <v>Ochenta Mil Bolívares con 00/100</v>
      </c>
      <c r="Q854" s="403" t="str">
        <f t="shared" si="133"/>
        <v/>
      </c>
    </row>
    <row r="855" spans="1:17" x14ac:dyDescent="0.25">
      <c r="A855" s="1">
        <f t="shared" si="134"/>
        <v>854</v>
      </c>
      <c r="C855" s="12" t="s">
        <v>17</v>
      </c>
      <c r="D855" s="2">
        <v>43157</v>
      </c>
      <c r="E855" s="3">
        <v>80000</v>
      </c>
      <c r="F855" t="s">
        <v>181</v>
      </c>
      <c r="G855" t="s">
        <v>182</v>
      </c>
      <c r="H855" t="s">
        <v>183</v>
      </c>
      <c r="I855" s="10" t="s">
        <v>616</v>
      </c>
      <c r="J855" s="167" t="s">
        <v>22</v>
      </c>
      <c r="L855" s="9" t="str">
        <f t="shared" si="130"/>
        <v>00854</v>
      </c>
      <c r="M855" s="71" t="str">
        <f t="shared" si="131"/>
        <v>26 de febrero de 2018</v>
      </c>
      <c r="N855" s="39">
        <f t="shared" si="132"/>
        <v>43132</v>
      </c>
      <c r="O855" s="9" t="str">
        <f t="shared" si="135"/>
        <v>80.000,00</v>
      </c>
      <c r="P855" s="8" t="str">
        <f t="shared" si="136"/>
        <v>Ochenta Mil Bolívares con 00/100</v>
      </c>
      <c r="Q855" s="403" t="str">
        <f t="shared" si="133"/>
        <v/>
      </c>
    </row>
    <row r="856" spans="1:17" x14ac:dyDescent="0.25">
      <c r="A856" s="1">
        <f t="shared" si="134"/>
        <v>855</v>
      </c>
      <c r="C856" s="12" t="s">
        <v>17</v>
      </c>
      <c r="D856" s="2">
        <v>43157</v>
      </c>
      <c r="E856" s="3">
        <f>50000+80000*2+50000</f>
        <v>260000</v>
      </c>
      <c r="F856" t="s">
        <v>162</v>
      </c>
      <c r="G856" t="s">
        <v>163</v>
      </c>
      <c r="H856" t="s">
        <v>164</v>
      </c>
      <c r="I856" s="10" t="s">
        <v>631</v>
      </c>
      <c r="J856" s="167" t="s">
        <v>22</v>
      </c>
      <c r="L856" s="9" t="str">
        <f t="shared" si="130"/>
        <v>00855</v>
      </c>
      <c r="M856" s="71" t="str">
        <f t="shared" si="131"/>
        <v>26 de febrero de 2018</v>
      </c>
      <c r="N856" s="39">
        <f t="shared" si="132"/>
        <v>43132</v>
      </c>
      <c r="O856" s="9" t="str">
        <f t="shared" si="135"/>
        <v>260.000,00</v>
      </c>
      <c r="P856" s="8" t="str">
        <f t="shared" si="136"/>
        <v>Doscientos Sesenta Mil Bolívares con 00/100</v>
      </c>
      <c r="Q856" s="403" t="str">
        <f t="shared" si="133"/>
        <v/>
      </c>
    </row>
    <row r="857" spans="1:17" x14ac:dyDescent="0.25">
      <c r="A857" s="1">
        <f t="shared" si="134"/>
        <v>856</v>
      </c>
      <c r="C857" s="12" t="s">
        <v>17</v>
      </c>
      <c r="D857" s="2">
        <v>43155</v>
      </c>
      <c r="E857" s="3">
        <v>50000</v>
      </c>
      <c r="F857" t="s">
        <v>594</v>
      </c>
      <c r="G857" t="s">
        <v>595</v>
      </c>
      <c r="H857" t="s">
        <v>596</v>
      </c>
      <c r="I857" s="10" t="s">
        <v>632</v>
      </c>
      <c r="J857" s="167" t="s">
        <v>22</v>
      </c>
      <c r="L857" s="9" t="str">
        <f t="shared" si="130"/>
        <v>00856</v>
      </c>
      <c r="M857" s="71" t="str">
        <f t="shared" si="131"/>
        <v>24 de febrero de 2018</v>
      </c>
      <c r="N857" s="39">
        <f t="shared" si="132"/>
        <v>43132</v>
      </c>
      <c r="O857" s="9" t="str">
        <f t="shared" si="135"/>
        <v>50.000,00</v>
      </c>
      <c r="P857" s="8" t="str">
        <f t="shared" si="136"/>
        <v>Cincuenta Mil Bolívares con 00/100</v>
      </c>
      <c r="Q857" s="403" t="str">
        <f t="shared" si="133"/>
        <v/>
      </c>
    </row>
    <row r="858" spans="1:17" x14ac:dyDescent="0.25">
      <c r="A858" s="1">
        <f t="shared" si="134"/>
        <v>857</v>
      </c>
      <c r="C858" s="12" t="s">
        <v>17</v>
      </c>
      <c r="D858" s="2">
        <v>43156</v>
      </c>
      <c r="E858" s="3">
        <v>80000</v>
      </c>
      <c r="F858" t="s">
        <v>633</v>
      </c>
      <c r="G858" t="s">
        <v>634</v>
      </c>
      <c r="H858" t="s">
        <v>635</v>
      </c>
      <c r="I858" s="10" t="s">
        <v>616</v>
      </c>
      <c r="J858" s="167" t="s">
        <v>22</v>
      </c>
      <c r="L858" s="9" t="str">
        <f t="shared" si="130"/>
        <v>00857</v>
      </c>
      <c r="M858" s="71" t="str">
        <f t="shared" si="131"/>
        <v>25 de febrero de 2018</v>
      </c>
      <c r="N858" s="39">
        <f t="shared" si="132"/>
        <v>43132</v>
      </c>
      <c r="O858" s="9" t="str">
        <f>TEXT(E858,"#.##0,00")</f>
        <v>80.000,00</v>
      </c>
      <c r="P858" s="8" t="str">
        <f>CONVERTIRNUM(E858)</f>
        <v>Ochenta Mil Bolívares con 00/100</v>
      </c>
      <c r="Q858" s="403" t="str">
        <f t="shared" si="133"/>
        <v/>
      </c>
    </row>
    <row r="859" spans="1:17" x14ac:dyDescent="0.25">
      <c r="A859" s="1">
        <f t="shared" si="134"/>
        <v>858</v>
      </c>
      <c r="C859" s="12" t="s">
        <v>17</v>
      </c>
      <c r="D859" s="2">
        <v>43157</v>
      </c>
      <c r="E859" s="3">
        <v>100000</v>
      </c>
      <c r="F859" t="s">
        <v>90</v>
      </c>
      <c r="G859" t="s">
        <v>91</v>
      </c>
      <c r="H859" t="s">
        <v>92</v>
      </c>
      <c r="I859" s="10" t="s">
        <v>616</v>
      </c>
      <c r="J859" s="167" t="s">
        <v>22</v>
      </c>
      <c r="L859" s="9" t="str">
        <f t="shared" si="130"/>
        <v>00858</v>
      </c>
      <c r="M859" s="71" t="str">
        <f t="shared" si="131"/>
        <v>26 de febrero de 2018</v>
      </c>
      <c r="N859" s="39">
        <f t="shared" si="132"/>
        <v>43132</v>
      </c>
      <c r="O859" s="9" t="str">
        <f>TEXT(E859,"#.##0,00")</f>
        <v>100.000,00</v>
      </c>
      <c r="P859" s="8" t="str">
        <f>CONVERTIRNUM(E859)</f>
        <v>Cien Mil Bolívares con 00/100</v>
      </c>
      <c r="Q859" s="403" t="str">
        <f t="shared" si="133"/>
        <v/>
      </c>
    </row>
    <row r="860" spans="1:17" x14ac:dyDescent="0.25">
      <c r="A860" s="1">
        <f t="shared" si="134"/>
        <v>859</v>
      </c>
      <c r="C860" s="12" t="s">
        <v>17</v>
      </c>
      <c r="D860" s="2">
        <v>43122</v>
      </c>
      <c r="E860" s="3">
        <v>12450</v>
      </c>
      <c r="F860" t="s">
        <v>287</v>
      </c>
      <c r="G860" t="s">
        <v>288</v>
      </c>
      <c r="H860" t="s">
        <v>289</v>
      </c>
      <c r="I860" s="10" t="s">
        <v>636</v>
      </c>
      <c r="J860" s="167" t="s">
        <v>22</v>
      </c>
      <c r="L860" s="9" t="str">
        <f t="shared" si="130"/>
        <v>00859</v>
      </c>
      <c r="M860" s="71" t="str">
        <f t="shared" si="131"/>
        <v>22 de enero de 2018</v>
      </c>
      <c r="N860" s="39">
        <f t="shared" si="132"/>
        <v>43101</v>
      </c>
      <c r="O860" s="9" t="str">
        <f>TEXT(E860,"#.##0,00")</f>
        <v>12.450,00</v>
      </c>
      <c r="P860" s="8" t="str">
        <f>CONVERTIRNUM(E860)</f>
        <v>Doce Mil Cuatrocientos Cincuenta Bolívares con 00/100</v>
      </c>
      <c r="Q860" s="403" t="str">
        <f t="shared" si="133"/>
        <v/>
      </c>
    </row>
    <row r="861" spans="1:17" ht="15.75" thickBot="1" x14ac:dyDescent="0.3">
      <c r="A861" s="1">
        <f t="shared" si="134"/>
        <v>860</v>
      </c>
      <c r="C861" s="12" t="s">
        <v>17</v>
      </c>
      <c r="D861" s="2">
        <v>43157</v>
      </c>
      <c r="E861" s="3">
        <v>100000</v>
      </c>
      <c r="F861" t="s">
        <v>287</v>
      </c>
      <c r="G861" t="s">
        <v>288</v>
      </c>
      <c r="H861" t="s">
        <v>289</v>
      </c>
      <c r="I861" s="10" t="s">
        <v>637</v>
      </c>
      <c r="J861" s="167" t="s">
        <v>22</v>
      </c>
      <c r="L861" s="9" t="str">
        <f t="shared" si="130"/>
        <v>00860</v>
      </c>
      <c r="M861" s="71" t="str">
        <f t="shared" si="131"/>
        <v>26 de febrero de 2018</v>
      </c>
      <c r="N861" s="39">
        <f t="shared" si="132"/>
        <v>43132</v>
      </c>
      <c r="O861" s="9" t="str">
        <f t="shared" ref="O861:O871" si="137">TEXT(E861,"#.##0,00")</f>
        <v>100.000,00</v>
      </c>
      <c r="P861" s="8" t="str">
        <f t="shared" ref="P861:P871" si="138">CONVERTIRNUM(E861)</f>
        <v>Cien Mil Bolívares con 00/100</v>
      </c>
      <c r="Q861" s="403" t="str">
        <f t="shared" si="133"/>
        <v/>
      </c>
    </row>
    <row r="862" spans="1:17" ht="15.75" thickBot="1" x14ac:dyDescent="0.3">
      <c r="A862" s="1">
        <f t="shared" si="134"/>
        <v>861</v>
      </c>
      <c r="C862" s="12" t="s">
        <v>17</v>
      </c>
      <c r="D862" s="2">
        <v>43158</v>
      </c>
      <c r="E862" s="3">
        <v>160000</v>
      </c>
      <c r="F862" t="s">
        <v>480</v>
      </c>
      <c r="G862" s="27" t="s">
        <v>58</v>
      </c>
      <c r="H862" t="s">
        <v>482</v>
      </c>
      <c r="I862" s="10" t="s">
        <v>608</v>
      </c>
      <c r="J862" s="167" t="s">
        <v>22</v>
      </c>
      <c r="L862" s="9" t="str">
        <f t="shared" si="130"/>
        <v>00861</v>
      </c>
      <c r="M862" s="71" t="str">
        <f t="shared" si="131"/>
        <v>27 de febrero de 2018</v>
      </c>
      <c r="N862" s="39">
        <f t="shared" si="132"/>
        <v>43132</v>
      </c>
      <c r="O862" s="9" t="str">
        <f t="shared" si="137"/>
        <v>160.000,00</v>
      </c>
      <c r="P862" s="8" t="str">
        <f t="shared" si="138"/>
        <v>Ciento Sesenta Mil Bolívares con 00/100</v>
      </c>
      <c r="Q862" s="403" t="str">
        <f t="shared" si="133"/>
        <v/>
      </c>
    </row>
    <row r="863" spans="1:17" x14ac:dyDescent="0.25">
      <c r="A863" s="1">
        <f t="shared" si="134"/>
        <v>862</v>
      </c>
      <c r="C863" s="12" t="s">
        <v>17</v>
      </c>
      <c r="D863" s="2">
        <v>43158</v>
      </c>
      <c r="E863" s="3">
        <v>30000</v>
      </c>
      <c r="F863" t="s">
        <v>144</v>
      </c>
      <c r="G863" t="s">
        <v>145</v>
      </c>
      <c r="H863" t="s">
        <v>146</v>
      </c>
      <c r="I863" s="10" t="s">
        <v>638</v>
      </c>
      <c r="J863" s="167" t="s">
        <v>22</v>
      </c>
      <c r="L863" s="9" t="str">
        <f t="shared" si="130"/>
        <v>00862</v>
      </c>
      <c r="M863" s="71" t="str">
        <f t="shared" si="131"/>
        <v>27 de febrero de 2018</v>
      </c>
      <c r="N863" s="39">
        <f t="shared" si="132"/>
        <v>43132</v>
      </c>
      <c r="O863" s="9" t="str">
        <f t="shared" si="137"/>
        <v>30.000,00</v>
      </c>
      <c r="P863" s="8" t="str">
        <f t="shared" si="138"/>
        <v>Treinta Mil Bolívares con 00/100</v>
      </c>
      <c r="Q863" s="403" t="str">
        <f t="shared" si="133"/>
        <v/>
      </c>
    </row>
    <row r="864" spans="1:17" x14ac:dyDescent="0.25">
      <c r="A864" s="1">
        <f t="shared" si="134"/>
        <v>863</v>
      </c>
      <c r="C864" s="12" t="s">
        <v>17</v>
      </c>
      <c r="D864" s="2">
        <v>43158</v>
      </c>
      <c r="E864" s="3">
        <v>80000</v>
      </c>
      <c r="F864" t="s">
        <v>211</v>
      </c>
      <c r="G864" t="s">
        <v>212</v>
      </c>
      <c r="H864" t="s">
        <v>213</v>
      </c>
      <c r="I864" s="10" t="s">
        <v>616</v>
      </c>
      <c r="J864" s="167" t="s">
        <v>22</v>
      </c>
      <c r="L864" s="9" t="str">
        <f t="shared" si="130"/>
        <v>00863</v>
      </c>
      <c r="M864" s="71" t="str">
        <f t="shared" si="131"/>
        <v>27 de febrero de 2018</v>
      </c>
      <c r="N864" s="39">
        <f t="shared" si="132"/>
        <v>43132</v>
      </c>
      <c r="O864" s="9" t="str">
        <f t="shared" si="137"/>
        <v>80.000,00</v>
      </c>
      <c r="P864" s="8" t="str">
        <f t="shared" si="138"/>
        <v>Ochenta Mil Bolívares con 00/100</v>
      </c>
      <c r="Q864" s="403" t="str">
        <f t="shared" si="133"/>
        <v/>
      </c>
    </row>
    <row r="865" spans="1:17" x14ac:dyDescent="0.25">
      <c r="A865" s="1">
        <f t="shared" si="134"/>
        <v>864</v>
      </c>
      <c r="C865" s="12" t="s">
        <v>17</v>
      </c>
      <c r="D865" s="2">
        <v>43158</v>
      </c>
      <c r="E865" s="3">
        <v>80000</v>
      </c>
      <c r="F865" t="s">
        <v>296</v>
      </c>
      <c r="G865" t="s">
        <v>297</v>
      </c>
      <c r="H865" t="s">
        <v>298</v>
      </c>
      <c r="I865" s="10" t="s">
        <v>616</v>
      </c>
      <c r="J865" s="167" t="s">
        <v>22</v>
      </c>
      <c r="L865" s="9" t="str">
        <f t="shared" si="130"/>
        <v>00864</v>
      </c>
      <c r="M865" s="71" t="str">
        <f t="shared" si="131"/>
        <v>27 de febrero de 2018</v>
      </c>
      <c r="N865" s="39">
        <f t="shared" si="132"/>
        <v>43132</v>
      </c>
      <c r="O865" s="9" t="str">
        <f t="shared" si="137"/>
        <v>80.000,00</v>
      </c>
      <c r="P865" s="8" t="str">
        <f t="shared" si="138"/>
        <v>Ochenta Mil Bolívares con 00/100</v>
      </c>
      <c r="Q865" s="403" t="str">
        <f t="shared" si="133"/>
        <v/>
      </c>
    </row>
    <row r="866" spans="1:17" x14ac:dyDescent="0.25">
      <c r="A866" s="1">
        <f t="shared" si="134"/>
        <v>865</v>
      </c>
      <c r="C866" s="12" t="s">
        <v>17</v>
      </c>
      <c r="D866" s="2">
        <v>43159</v>
      </c>
      <c r="E866" s="3">
        <v>200000</v>
      </c>
      <c r="F866" t="s">
        <v>44</v>
      </c>
      <c r="G866" t="s">
        <v>45</v>
      </c>
      <c r="H866" t="s">
        <v>46</v>
      </c>
      <c r="I866" s="10" t="s">
        <v>639</v>
      </c>
      <c r="J866" s="167" t="s">
        <v>22</v>
      </c>
      <c r="L866" s="9" t="str">
        <f t="shared" si="130"/>
        <v>00865</v>
      </c>
      <c r="M866" s="71" t="str">
        <f t="shared" si="131"/>
        <v>28 de febrero de 2018</v>
      </c>
      <c r="N866" s="39">
        <f t="shared" si="132"/>
        <v>43132</v>
      </c>
      <c r="O866" s="9" t="str">
        <f t="shared" si="137"/>
        <v>200.000,00</v>
      </c>
      <c r="P866" s="8" t="str">
        <f t="shared" si="138"/>
        <v>Doscientos Mil Bolívares con 00/100</v>
      </c>
      <c r="Q866" s="403" t="str">
        <f t="shared" si="133"/>
        <v/>
      </c>
    </row>
    <row r="867" spans="1:17" ht="15.75" thickBot="1" x14ac:dyDescent="0.3">
      <c r="A867" s="1">
        <f t="shared" si="134"/>
        <v>866</v>
      </c>
      <c r="C867" s="12" t="s">
        <v>17</v>
      </c>
      <c r="D867" s="2">
        <v>43159</v>
      </c>
      <c r="E867" s="3">
        <v>80000</v>
      </c>
      <c r="F867" t="s">
        <v>134</v>
      </c>
      <c r="G867" t="s">
        <v>135</v>
      </c>
      <c r="H867" t="s">
        <v>136</v>
      </c>
      <c r="I867" s="10" t="s">
        <v>616</v>
      </c>
      <c r="J867" s="167" t="s">
        <v>22</v>
      </c>
      <c r="L867" s="9" t="str">
        <f t="shared" si="130"/>
        <v>00866</v>
      </c>
      <c r="M867" s="71" t="str">
        <f t="shared" si="131"/>
        <v>28 de febrero de 2018</v>
      </c>
      <c r="N867" s="39">
        <f t="shared" si="132"/>
        <v>43132</v>
      </c>
      <c r="O867" s="9" t="str">
        <f t="shared" si="137"/>
        <v>80.000,00</v>
      </c>
      <c r="P867" s="8" t="str">
        <f t="shared" si="138"/>
        <v>Ochenta Mil Bolívares con 00/100</v>
      </c>
      <c r="Q867" s="403" t="str">
        <f t="shared" si="133"/>
        <v/>
      </c>
    </row>
    <row r="868" spans="1:17" ht="15.75" thickBot="1" x14ac:dyDescent="0.3">
      <c r="A868" s="1">
        <f t="shared" si="134"/>
        <v>867</v>
      </c>
      <c r="C868" s="12" t="s">
        <v>17</v>
      </c>
      <c r="D868" s="2">
        <v>43159</v>
      </c>
      <c r="E868" s="3">
        <v>180000</v>
      </c>
      <c r="F868" t="s">
        <v>239</v>
      </c>
      <c r="G868" s="225" t="s">
        <v>240</v>
      </c>
      <c r="H868" t="s">
        <v>241</v>
      </c>
      <c r="I868" s="10" t="s">
        <v>608</v>
      </c>
      <c r="J868" s="167" t="s">
        <v>22</v>
      </c>
      <c r="L868" s="9" t="str">
        <f t="shared" si="130"/>
        <v>00867</v>
      </c>
      <c r="M868" s="71" t="str">
        <f t="shared" si="131"/>
        <v>28 de febrero de 2018</v>
      </c>
      <c r="N868" s="39">
        <f t="shared" si="132"/>
        <v>43132</v>
      </c>
      <c r="O868" s="9" t="str">
        <f t="shared" si="137"/>
        <v>180.000,00</v>
      </c>
      <c r="P868" s="8" t="str">
        <f t="shared" si="138"/>
        <v>Ciento Ochenta Mil Bolívares con 00/100</v>
      </c>
      <c r="Q868" s="403" t="str">
        <f t="shared" si="133"/>
        <v/>
      </c>
    </row>
    <row r="869" spans="1:17" x14ac:dyDescent="0.25">
      <c r="A869" s="1">
        <f t="shared" si="134"/>
        <v>868</v>
      </c>
      <c r="C869" s="12" t="s">
        <v>17</v>
      </c>
      <c r="D869" s="2">
        <v>43159</v>
      </c>
      <c r="E869" s="3">
        <v>160000</v>
      </c>
      <c r="F869" t="s">
        <v>484</v>
      </c>
      <c r="G869" t="s">
        <v>485</v>
      </c>
      <c r="H869" t="s">
        <v>486</v>
      </c>
      <c r="I869" s="10" t="s">
        <v>640</v>
      </c>
      <c r="J869" s="167" t="s">
        <v>22</v>
      </c>
      <c r="L869" s="9" t="str">
        <f t="shared" si="130"/>
        <v>00868</v>
      </c>
      <c r="M869" s="71" t="str">
        <f t="shared" si="131"/>
        <v>28 de febrero de 2018</v>
      </c>
      <c r="N869" s="39">
        <f t="shared" si="132"/>
        <v>43132</v>
      </c>
      <c r="O869" s="9" t="str">
        <f t="shared" si="137"/>
        <v>160.000,00</v>
      </c>
      <c r="P869" s="8" t="str">
        <f t="shared" si="138"/>
        <v>Ciento Sesenta Mil Bolívares con 00/100</v>
      </c>
      <c r="Q869" s="403" t="str">
        <f t="shared" si="133"/>
        <v/>
      </c>
    </row>
    <row r="870" spans="1:17" x14ac:dyDescent="0.25">
      <c r="A870" s="1">
        <f t="shared" si="134"/>
        <v>869</v>
      </c>
      <c r="C870" s="12" t="s">
        <v>17</v>
      </c>
      <c r="D870" s="2">
        <v>43160</v>
      </c>
      <c r="E870" s="3">
        <v>130000</v>
      </c>
      <c r="F870" t="s">
        <v>107</v>
      </c>
      <c r="G870" t="s">
        <v>108</v>
      </c>
      <c r="H870" t="s">
        <v>109</v>
      </c>
      <c r="I870" s="10" t="s">
        <v>641</v>
      </c>
      <c r="J870" s="167" t="s">
        <v>22</v>
      </c>
      <c r="L870" s="9" t="str">
        <f t="shared" si="130"/>
        <v>00869</v>
      </c>
      <c r="M870" s="71" t="str">
        <f t="shared" si="131"/>
        <v>01 de marzo de 2018</v>
      </c>
      <c r="N870" s="39">
        <f t="shared" si="132"/>
        <v>43160</v>
      </c>
      <c r="O870" s="9" t="str">
        <f t="shared" si="137"/>
        <v>130.000,00</v>
      </c>
      <c r="P870" s="8" t="str">
        <f t="shared" si="138"/>
        <v>Ciento Treinta Mil Bolívares con 00/100</v>
      </c>
      <c r="Q870" s="403" t="str">
        <f t="shared" si="133"/>
        <v/>
      </c>
    </row>
    <row r="871" spans="1:17" x14ac:dyDescent="0.25">
      <c r="A871" s="1">
        <f t="shared" si="134"/>
        <v>870</v>
      </c>
      <c r="C871" s="12" t="s">
        <v>17</v>
      </c>
      <c r="D871" s="2">
        <v>43160</v>
      </c>
      <c r="E871" s="3">
        <v>140000</v>
      </c>
      <c r="F871" t="s">
        <v>558</v>
      </c>
      <c r="G871" t="s">
        <v>559</v>
      </c>
      <c r="H871" t="s">
        <v>560</v>
      </c>
      <c r="I871" s="10" t="s">
        <v>630</v>
      </c>
      <c r="J871" s="167" t="s">
        <v>22</v>
      </c>
      <c r="L871" s="9" t="str">
        <f t="shared" si="130"/>
        <v>00870</v>
      </c>
      <c r="M871" s="71" t="str">
        <f t="shared" si="131"/>
        <v>01 de marzo de 2018</v>
      </c>
      <c r="N871" s="39">
        <f t="shared" si="132"/>
        <v>43160</v>
      </c>
      <c r="O871" s="9" t="str">
        <f t="shared" si="137"/>
        <v>140.000,00</v>
      </c>
      <c r="P871" s="8" t="str">
        <f t="shared" si="138"/>
        <v>Ciento Cuarenta Mil Bolívares con 00/100</v>
      </c>
      <c r="Q871" s="403" t="str">
        <f t="shared" si="133"/>
        <v/>
      </c>
    </row>
    <row r="872" spans="1:17" x14ac:dyDescent="0.25">
      <c r="A872" s="1">
        <f t="shared" si="134"/>
        <v>871</v>
      </c>
      <c r="C872" s="12" t="s">
        <v>17</v>
      </c>
      <c r="D872" s="2">
        <v>43161</v>
      </c>
      <c r="E872" s="3">
        <v>10000</v>
      </c>
      <c r="F872" t="s">
        <v>107</v>
      </c>
      <c r="G872" t="s">
        <v>108</v>
      </c>
      <c r="H872" t="s">
        <v>109</v>
      </c>
      <c r="I872" s="10" t="s">
        <v>642</v>
      </c>
      <c r="J872" s="167" t="s">
        <v>22</v>
      </c>
      <c r="L872" s="9" t="str">
        <f t="shared" si="130"/>
        <v>00871</v>
      </c>
      <c r="M872" s="71" t="str">
        <f t="shared" si="131"/>
        <v>02 de marzo de 2018</v>
      </c>
      <c r="N872" s="39">
        <f t="shared" si="132"/>
        <v>43160</v>
      </c>
      <c r="O872" s="9" t="str">
        <f t="shared" ref="O872:O906" si="139">TEXT(E872,"#.##0,00")</f>
        <v>10.000,00</v>
      </c>
      <c r="P872" s="8" t="str">
        <f t="shared" ref="P872:P906" si="140">CONVERTIRNUM(E872)</f>
        <v>Diez Mil Bolívares con 00/100</v>
      </c>
      <c r="Q872" s="403" t="str">
        <f t="shared" si="133"/>
        <v/>
      </c>
    </row>
    <row r="873" spans="1:17" ht="15.75" thickBot="1" x14ac:dyDescent="0.3">
      <c r="A873" s="1">
        <f t="shared" si="134"/>
        <v>872</v>
      </c>
      <c r="C873" s="12" t="s">
        <v>17</v>
      </c>
      <c r="D873" s="2">
        <v>43161</v>
      </c>
      <c r="E873" s="3">
        <v>140000</v>
      </c>
      <c r="F873" t="s">
        <v>80</v>
      </c>
      <c r="G873" t="s">
        <v>81</v>
      </c>
      <c r="H873" t="s">
        <v>82</v>
      </c>
      <c r="I873" s="10" t="s">
        <v>630</v>
      </c>
      <c r="J873" s="167" t="s">
        <v>22</v>
      </c>
      <c r="L873" s="9" t="str">
        <f t="shared" si="130"/>
        <v>00872</v>
      </c>
      <c r="M873" s="71" t="str">
        <f t="shared" si="131"/>
        <v>02 de marzo de 2018</v>
      </c>
      <c r="N873" s="39">
        <f t="shared" si="132"/>
        <v>43160</v>
      </c>
      <c r="O873" s="9" t="str">
        <f t="shared" si="139"/>
        <v>140.000,00</v>
      </c>
      <c r="P873" s="8" t="str">
        <f t="shared" si="140"/>
        <v>Ciento Cuarenta Mil Bolívares con 00/100</v>
      </c>
      <c r="Q873" s="403" t="str">
        <f t="shared" si="133"/>
        <v/>
      </c>
    </row>
    <row r="874" spans="1:17" ht="15.75" thickBot="1" x14ac:dyDescent="0.3">
      <c r="A874" s="1">
        <f t="shared" si="134"/>
        <v>873</v>
      </c>
      <c r="C874" s="12" t="s">
        <v>17</v>
      </c>
      <c r="D874" s="2">
        <v>43161</v>
      </c>
      <c r="E874" s="3">
        <f>60000+120000</f>
        <v>180000</v>
      </c>
      <c r="F874" t="s">
        <v>280</v>
      </c>
      <c r="G874" s="27" t="s">
        <v>58</v>
      </c>
      <c r="H874" t="s">
        <v>282</v>
      </c>
      <c r="I874" s="10" t="s">
        <v>643</v>
      </c>
      <c r="J874" s="167" t="s">
        <v>22</v>
      </c>
      <c r="L874" s="9" t="str">
        <f t="shared" si="130"/>
        <v>00873</v>
      </c>
      <c r="M874" s="71" t="str">
        <f t="shared" si="131"/>
        <v>02 de marzo de 2018</v>
      </c>
      <c r="N874" s="39">
        <f t="shared" si="132"/>
        <v>43160</v>
      </c>
      <c r="O874" s="9" t="str">
        <f t="shared" si="139"/>
        <v>180.000,00</v>
      </c>
      <c r="P874" s="8" t="str">
        <f t="shared" si="140"/>
        <v>Ciento Ochenta Mil Bolívares con 00/100</v>
      </c>
      <c r="Q874" s="403" t="str">
        <f t="shared" si="133"/>
        <v/>
      </c>
    </row>
    <row r="875" spans="1:17" ht="15.75" thickBot="1" x14ac:dyDescent="0.3">
      <c r="A875" s="1">
        <f t="shared" si="134"/>
        <v>874</v>
      </c>
      <c r="C875" s="12" t="s">
        <v>17</v>
      </c>
      <c r="D875" s="2">
        <v>43161</v>
      </c>
      <c r="E875" s="3">
        <v>170000</v>
      </c>
      <c r="F875" t="s">
        <v>177</v>
      </c>
      <c r="G875" s="27" t="s">
        <v>58</v>
      </c>
      <c r="H875" t="s">
        <v>179</v>
      </c>
      <c r="I875" s="10" t="s">
        <v>644</v>
      </c>
      <c r="J875" s="167" t="s">
        <v>22</v>
      </c>
      <c r="L875" s="9" t="str">
        <f t="shared" si="130"/>
        <v>00874</v>
      </c>
      <c r="M875" s="71" t="str">
        <f t="shared" si="131"/>
        <v>02 de marzo de 2018</v>
      </c>
      <c r="N875" s="39">
        <f t="shared" si="132"/>
        <v>43160</v>
      </c>
      <c r="O875" s="9" t="str">
        <f t="shared" si="139"/>
        <v>170.000,00</v>
      </c>
      <c r="P875" s="8" t="str">
        <f t="shared" si="140"/>
        <v>Ciento Setenta Mil Bolívares con 00/100</v>
      </c>
      <c r="Q875" s="403" t="str">
        <f t="shared" si="133"/>
        <v/>
      </c>
    </row>
    <row r="876" spans="1:17" x14ac:dyDescent="0.25">
      <c r="A876" s="1">
        <f t="shared" si="134"/>
        <v>875</v>
      </c>
      <c r="C876" s="12" t="s">
        <v>17</v>
      </c>
      <c r="D876" s="2">
        <v>43161</v>
      </c>
      <c r="E876" s="3">
        <v>80000</v>
      </c>
      <c r="F876" t="s">
        <v>363</v>
      </c>
      <c r="G876" t="s">
        <v>364</v>
      </c>
      <c r="H876" t="s">
        <v>365</v>
      </c>
      <c r="I876" s="10" t="s">
        <v>616</v>
      </c>
      <c r="J876" s="167" t="s">
        <v>22</v>
      </c>
      <c r="L876" s="9" t="str">
        <f t="shared" si="130"/>
        <v>00875</v>
      </c>
      <c r="M876" s="71" t="str">
        <f t="shared" si="131"/>
        <v>02 de marzo de 2018</v>
      </c>
      <c r="N876" s="39">
        <f t="shared" si="132"/>
        <v>43160</v>
      </c>
      <c r="O876" s="9" t="str">
        <f t="shared" si="139"/>
        <v>80.000,00</v>
      </c>
      <c r="P876" s="8" t="str">
        <f t="shared" si="140"/>
        <v>Ochenta Mil Bolívares con 00/100</v>
      </c>
      <c r="Q876" s="403" t="str">
        <f t="shared" si="133"/>
        <v/>
      </c>
    </row>
    <row r="877" spans="1:17" x14ac:dyDescent="0.25">
      <c r="A877" s="1">
        <f t="shared" si="134"/>
        <v>876</v>
      </c>
      <c r="C877" s="12" t="s">
        <v>17</v>
      </c>
      <c r="D877" s="2">
        <v>43161</v>
      </c>
      <c r="E877" s="3">
        <v>100000</v>
      </c>
      <c r="F877" t="s">
        <v>84</v>
      </c>
      <c r="G877" t="s">
        <v>85</v>
      </c>
      <c r="H877" t="s">
        <v>86</v>
      </c>
      <c r="I877" s="10" t="s">
        <v>645</v>
      </c>
      <c r="J877" s="167" t="s">
        <v>22</v>
      </c>
      <c r="L877" s="9" t="str">
        <f t="shared" si="130"/>
        <v>00876</v>
      </c>
      <c r="M877" s="71" t="str">
        <f t="shared" si="131"/>
        <v>02 de marzo de 2018</v>
      </c>
      <c r="N877" s="39">
        <f t="shared" si="132"/>
        <v>43160</v>
      </c>
      <c r="O877" s="9" t="str">
        <f t="shared" si="139"/>
        <v>100.000,00</v>
      </c>
      <c r="P877" s="8" t="str">
        <f t="shared" si="140"/>
        <v>Cien Mil Bolívares con 00/100</v>
      </c>
      <c r="Q877" s="403" t="str">
        <f t="shared" si="133"/>
        <v/>
      </c>
    </row>
    <row r="878" spans="1:17" x14ac:dyDescent="0.25">
      <c r="A878" s="1">
        <f t="shared" si="134"/>
        <v>877</v>
      </c>
      <c r="C878" s="12" t="s">
        <v>17</v>
      </c>
      <c r="D878" s="2">
        <v>43161</v>
      </c>
      <c r="E878" s="3">
        <v>140000</v>
      </c>
      <c r="F878" t="s">
        <v>18</v>
      </c>
      <c r="G878" t="s">
        <v>19</v>
      </c>
      <c r="H878" t="s">
        <v>20</v>
      </c>
      <c r="I878" s="10" t="s">
        <v>646</v>
      </c>
      <c r="J878" s="167" t="s">
        <v>22</v>
      </c>
      <c r="L878" s="9" t="str">
        <f t="shared" si="130"/>
        <v>00877</v>
      </c>
      <c r="M878" s="71" t="str">
        <f t="shared" si="131"/>
        <v>02 de marzo de 2018</v>
      </c>
      <c r="N878" s="39">
        <f t="shared" si="132"/>
        <v>43160</v>
      </c>
      <c r="O878" s="9" t="str">
        <f t="shared" si="139"/>
        <v>140.000,00</v>
      </c>
      <c r="P878" s="8" t="str">
        <f t="shared" si="140"/>
        <v>Ciento Cuarenta Mil Bolívares con 00/100</v>
      </c>
      <c r="Q878" s="403" t="str">
        <f t="shared" si="133"/>
        <v/>
      </c>
    </row>
    <row r="879" spans="1:17" ht="15.75" thickBot="1" x14ac:dyDescent="0.3">
      <c r="A879" s="1">
        <f t="shared" si="134"/>
        <v>878</v>
      </c>
      <c r="C879" s="12" t="s">
        <v>17</v>
      </c>
      <c r="D879" s="2">
        <v>43164</v>
      </c>
      <c r="E879" s="3">
        <v>200000</v>
      </c>
      <c r="F879" t="s">
        <v>48</v>
      </c>
      <c r="G879" t="s">
        <v>49</v>
      </c>
      <c r="H879" t="s">
        <v>50</v>
      </c>
      <c r="I879" s="10" t="s">
        <v>647</v>
      </c>
      <c r="J879" s="167" t="s">
        <v>22</v>
      </c>
      <c r="L879" s="9" t="str">
        <f t="shared" si="130"/>
        <v>00878</v>
      </c>
      <c r="M879" s="71" t="str">
        <f t="shared" si="131"/>
        <v>05 de marzo de 2018</v>
      </c>
      <c r="N879" s="39">
        <f t="shared" si="132"/>
        <v>43160</v>
      </c>
      <c r="O879" s="9" t="str">
        <f t="shared" si="139"/>
        <v>200.000,00</v>
      </c>
      <c r="P879" s="8" t="str">
        <f t="shared" si="140"/>
        <v>Doscientos Mil Bolívares con 00/100</v>
      </c>
      <c r="Q879" s="403" t="str">
        <f t="shared" si="133"/>
        <v/>
      </c>
    </row>
    <row r="880" spans="1:17" ht="15.75" thickBot="1" x14ac:dyDescent="0.3">
      <c r="A880" s="1">
        <f t="shared" si="134"/>
        <v>879</v>
      </c>
      <c r="C880" s="12" t="s">
        <v>17</v>
      </c>
      <c r="D880" s="2">
        <v>43122</v>
      </c>
      <c r="E880" s="3">
        <v>80000</v>
      </c>
      <c r="F880" t="s">
        <v>319</v>
      </c>
      <c r="G880" s="27" t="s">
        <v>58</v>
      </c>
      <c r="H880" t="s">
        <v>320</v>
      </c>
      <c r="I880" s="10" t="s">
        <v>616</v>
      </c>
      <c r="J880" s="167" t="s">
        <v>22</v>
      </c>
      <c r="L880" s="9" t="str">
        <f t="shared" si="130"/>
        <v>00879</v>
      </c>
      <c r="M880" s="71" t="str">
        <f t="shared" si="131"/>
        <v>22 de enero de 2018</v>
      </c>
      <c r="N880" s="39">
        <f t="shared" si="132"/>
        <v>43101</v>
      </c>
      <c r="O880" s="9" t="str">
        <f t="shared" si="139"/>
        <v>80.000,00</v>
      </c>
      <c r="P880" s="8" t="str">
        <f t="shared" si="140"/>
        <v>Ochenta Mil Bolívares con 00/100</v>
      </c>
      <c r="Q880" s="403" t="str">
        <f t="shared" si="133"/>
        <v/>
      </c>
    </row>
    <row r="881" spans="1:17" ht="15.75" thickBot="1" x14ac:dyDescent="0.3">
      <c r="A881" s="1">
        <f t="shared" si="134"/>
        <v>880</v>
      </c>
      <c r="C881" s="12" t="s">
        <v>17</v>
      </c>
      <c r="D881" s="2">
        <v>43166</v>
      </c>
      <c r="E881" s="3">
        <v>140000</v>
      </c>
      <c r="F881" t="s">
        <v>70</v>
      </c>
      <c r="G881" t="s">
        <v>71</v>
      </c>
      <c r="H881" t="s">
        <v>72</v>
      </c>
      <c r="I881" s="10" t="s">
        <v>648</v>
      </c>
      <c r="J881" s="167" t="s">
        <v>22</v>
      </c>
      <c r="L881" s="9" t="str">
        <f t="shared" si="130"/>
        <v>00880</v>
      </c>
      <c r="M881" s="71" t="str">
        <f t="shared" si="131"/>
        <v>07 de marzo de 2018</v>
      </c>
      <c r="N881" s="39">
        <f t="shared" si="132"/>
        <v>43160</v>
      </c>
      <c r="O881" s="9" t="str">
        <f t="shared" si="139"/>
        <v>140.000,00</v>
      </c>
      <c r="P881" s="8" t="str">
        <f t="shared" si="140"/>
        <v>Ciento Cuarenta Mil Bolívares con 00/100</v>
      </c>
      <c r="Q881" s="403" t="str">
        <f t="shared" si="133"/>
        <v/>
      </c>
    </row>
    <row r="882" spans="1:17" ht="15.75" thickBot="1" x14ac:dyDescent="0.3">
      <c r="A882" s="1">
        <f t="shared" si="134"/>
        <v>881</v>
      </c>
      <c r="C882" s="12" t="s">
        <v>17</v>
      </c>
      <c r="D882" s="2">
        <v>43166</v>
      </c>
      <c r="E882" s="3">
        <f>80000*2</f>
        <v>160000</v>
      </c>
      <c r="F882" t="s">
        <v>259</v>
      </c>
      <c r="G882" s="27" t="s">
        <v>58</v>
      </c>
      <c r="H882" t="s">
        <v>261</v>
      </c>
      <c r="I882" s="10" t="s">
        <v>608</v>
      </c>
      <c r="J882" s="167" t="s">
        <v>22</v>
      </c>
      <c r="L882" s="9" t="str">
        <f t="shared" si="130"/>
        <v>00881</v>
      </c>
      <c r="M882" s="71" t="str">
        <f t="shared" si="131"/>
        <v>07 de marzo de 2018</v>
      </c>
      <c r="N882" s="39">
        <f t="shared" si="132"/>
        <v>43160</v>
      </c>
      <c r="O882" s="9" t="str">
        <f t="shared" si="139"/>
        <v>160.000,00</v>
      </c>
      <c r="P882" s="8" t="str">
        <f t="shared" si="140"/>
        <v>Ciento Sesenta Mil Bolívares con 00/100</v>
      </c>
      <c r="Q882" s="403" t="str">
        <f t="shared" si="133"/>
        <v/>
      </c>
    </row>
    <row r="883" spans="1:17" x14ac:dyDescent="0.25">
      <c r="A883" s="1">
        <f t="shared" si="134"/>
        <v>882</v>
      </c>
      <c r="C883" s="12" t="s">
        <v>17</v>
      </c>
      <c r="D883" s="2">
        <v>43166</v>
      </c>
      <c r="E883" s="3">
        <v>140000</v>
      </c>
      <c r="F883" t="s">
        <v>24</v>
      </c>
      <c r="G883" t="s">
        <v>25</v>
      </c>
      <c r="H883" t="s">
        <v>26</v>
      </c>
      <c r="I883" s="10" t="s">
        <v>630</v>
      </c>
      <c r="J883" s="167" t="s">
        <v>22</v>
      </c>
      <c r="L883" s="9" t="str">
        <f t="shared" si="130"/>
        <v>00882</v>
      </c>
      <c r="M883" s="71" t="str">
        <f t="shared" si="131"/>
        <v>07 de marzo de 2018</v>
      </c>
      <c r="N883" s="39">
        <f t="shared" si="132"/>
        <v>43160</v>
      </c>
      <c r="O883" s="9" t="str">
        <f t="shared" si="139"/>
        <v>140.000,00</v>
      </c>
      <c r="P883" s="8" t="str">
        <f t="shared" si="140"/>
        <v>Ciento Cuarenta Mil Bolívares con 00/100</v>
      </c>
      <c r="Q883" s="403" t="str">
        <f t="shared" si="133"/>
        <v/>
      </c>
    </row>
    <row r="884" spans="1:17" x14ac:dyDescent="0.25">
      <c r="A884" s="1">
        <f t="shared" si="134"/>
        <v>883</v>
      </c>
      <c r="C884" s="12" t="s">
        <v>17</v>
      </c>
      <c r="D884" s="2">
        <v>43168</v>
      </c>
      <c r="E884" s="3">
        <v>140000</v>
      </c>
      <c r="F884" t="s">
        <v>40</v>
      </c>
      <c r="G884" t="s">
        <v>41</v>
      </c>
      <c r="H884" t="s">
        <v>42</v>
      </c>
      <c r="I884" s="10" t="s">
        <v>630</v>
      </c>
      <c r="J884" s="167" t="s">
        <v>22</v>
      </c>
      <c r="L884" s="9" t="str">
        <f t="shared" si="130"/>
        <v>00883</v>
      </c>
      <c r="M884" s="71" t="str">
        <f t="shared" si="131"/>
        <v>09 de marzo de 2018</v>
      </c>
      <c r="N884" s="39">
        <f t="shared" si="132"/>
        <v>43160</v>
      </c>
      <c r="O884" s="9" t="str">
        <f t="shared" si="139"/>
        <v>140.000,00</v>
      </c>
      <c r="P884" s="8" t="str">
        <f t="shared" si="140"/>
        <v>Ciento Cuarenta Mil Bolívares con 00/100</v>
      </c>
      <c r="Q884" s="403" t="str">
        <f t="shared" si="133"/>
        <v/>
      </c>
    </row>
    <row r="885" spans="1:17" x14ac:dyDescent="0.25">
      <c r="A885" s="390">
        <f t="shared" si="134"/>
        <v>884</v>
      </c>
      <c r="C885" s="12" t="s">
        <v>17</v>
      </c>
      <c r="D885" s="2">
        <v>43168</v>
      </c>
      <c r="E885" s="3">
        <v>140000</v>
      </c>
      <c r="F885" t="s">
        <v>439</v>
      </c>
      <c r="G885" t="s">
        <v>440</v>
      </c>
      <c r="H885" t="s">
        <v>441</v>
      </c>
      <c r="I885" s="10" t="s">
        <v>649</v>
      </c>
      <c r="J885" s="167" t="s">
        <v>22</v>
      </c>
      <c r="L885" s="9" t="str">
        <f t="shared" si="130"/>
        <v>00884</v>
      </c>
      <c r="M885" s="71" t="str">
        <f t="shared" si="131"/>
        <v>09 de marzo de 2018</v>
      </c>
      <c r="N885" s="39">
        <f t="shared" si="132"/>
        <v>43160</v>
      </c>
      <c r="O885" s="9" t="str">
        <f t="shared" si="139"/>
        <v>140.000,00</v>
      </c>
      <c r="P885" s="8" t="str">
        <f t="shared" si="140"/>
        <v>Ciento Cuarenta Mil Bolívares con 00/100</v>
      </c>
      <c r="Q885" s="403" t="str">
        <f t="shared" si="133"/>
        <v/>
      </c>
    </row>
    <row r="886" spans="1:17" x14ac:dyDescent="0.25">
      <c r="A886" s="1">
        <f t="shared" si="134"/>
        <v>885</v>
      </c>
      <c r="C886" s="12" t="s">
        <v>17</v>
      </c>
      <c r="D886" s="2">
        <v>43171</v>
      </c>
      <c r="E886" s="3">
        <v>140000</v>
      </c>
      <c r="F886" t="s">
        <v>181</v>
      </c>
      <c r="G886" t="s">
        <v>182</v>
      </c>
      <c r="H886" t="s">
        <v>183</v>
      </c>
      <c r="I886" s="10" t="s">
        <v>630</v>
      </c>
      <c r="J886" s="167" t="s">
        <v>22</v>
      </c>
      <c r="L886" s="9" t="str">
        <f t="shared" si="130"/>
        <v>00885</v>
      </c>
      <c r="M886" s="71" t="str">
        <f t="shared" si="131"/>
        <v>12 de marzo de 2018</v>
      </c>
      <c r="N886" s="39">
        <f t="shared" si="132"/>
        <v>43160</v>
      </c>
      <c r="O886" s="9" t="str">
        <f t="shared" si="139"/>
        <v>140.000,00</v>
      </c>
      <c r="P886" s="8" t="str">
        <f t="shared" si="140"/>
        <v>Ciento Cuarenta Mil Bolívares con 00/100</v>
      </c>
      <c r="Q886" s="403" t="str">
        <f t="shared" si="133"/>
        <v/>
      </c>
    </row>
    <row r="887" spans="1:17" x14ac:dyDescent="0.25">
      <c r="A887" s="1">
        <f t="shared" si="134"/>
        <v>886</v>
      </c>
      <c r="C887" s="12" t="s">
        <v>17</v>
      </c>
      <c r="D887" s="2">
        <v>43171</v>
      </c>
      <c r="E887" s="3">
        <v>80000</v>
      </c>
      <c r="F887" t="s">
        <v>118</v>
      </c>
      <c r="G887" t="s">
        <v>119</v>
      </c>
      <c r="H887" t="s">
        <v>120</v>
      </c>
      <c r="I887" s="10" t="s">
        <v>616</v>
      </c>
      <c r="J887" s="167" t="s">
        <v>22</v>
      </c>
      <c r="L887" s="9" t="str">
        <f t="shared" si="130"/>
        <v>00886</v>
      </c>
      <c r="M887" s="71" t="str">
        <f t="shared" si="131"/>
        <v>12 de marzo de 2018</v>
      </c>
      <c r="N887" s="39">
        <f t="shared" si="132"/>
        <v>43160</v>
      </c>
      <c r="O887" s="9" t="str">
        <f t="shared" si="139"/>
        <v>80.000,00</v>
      </c>
      <c r="P887" s="8" t="str">
        <f t="shared" si="140"/>
        <v>Ochenta Mil Bolívares con 00/100</v>
      </c>
      <c r="Q887" s="403" t="str">
        <f t="shared" si="133"/>
        <v/>
      </c>
    </row>
    <row r="888" spans="1:17" ht="15.75" thickBot="1" x14ac:dyDescent="0.3">
      <c r="A888" s="1">
        <f t="shared" si="134"/>
        <v>887</v>
      </c>
      <c r="C888" s="12" t="s">
        <v>17</v>
      </c>
      <c r="D888" s="2">
        <v>43171</v>
      </c>
      <c r="E888" s="3">
        <f>80000+140000</f>
        <v>220000</v>
      </c>
      <c r="F888" t="s">
        <v>264</v>
      </c>
      <c r="G888" t="s">
        <v>265</v>
      </c>
      <c r="H888" t="s">
        <v>266</v>
      </c>
      <c r="I888" s="10" t="s">
        <v>640</v>
      </c>
      <c r="J888" s="167" t="s">
        <v>22</v>
      </c>
      <c r="L888" s="9" t="str">
        <f t="shared" si="130"/>
        <v>00887</v>
      </c>
      <c r="M888" s="71" t="str">
        <f t="shared" si="131"/>
        <v>12 de marzo de 2018</v>
      </c>
      <c r="N888" s="39">
        <f t="shared" si="132"/>
        <v>43160</v>
      </c>
      <c r="O888" s="9" t="str">
        <f t="shared" si="139"/>
        <v>220.000,00</v>
      </c>
      <c r="P888" s="8" t="str">
        <f t="shared" si="140"/>
        <v>Doscientos Veinte Mil Bolívares con 00/100</v>
      </c>
      <c r="Q888" s="403" t="str">
        <f t="shared" si="133"/>
        <v/>
      </c>
    </row>
    <row r="889" spans="1:17" ht="15.75" thickBot="1" x14ac:dyDescent="0.3">
      <c r="A889" s="1">
        <f t="shared" si="134"/>
        <v>888</v>
      </c>
      <c r="C889" s="12" t="s">
        <v>17</v>
      </c>
      <c r="D889" s="2">
        <v>43153</v>
      </c>
      <c r="E889" s="3">
        <v>30000</v>
      </c>
      <c r="F889" t="s">
        <v>303</v>
      </c>
      <c r="G889" s="27" t="s">
        <v>58</v>
      </c>
      <c r="H889" t="s">
        <v>304</v>
      </c>
      <c r="I889" s="10" t="s">
        <v>601</v>
      </c>
      <c r="J889" s="167" t="s">
        <v>22</v>
      </c>
      <c r="L889" s="9" t="str">
        <f t="shared" si="130"/>
        <v>00888</v>
      </c>
      <c r="M889" s="71" t="str">
        <f t="shared" si="131"/>
        <v>22 de febrero de 2018</v>
      </c>
      <c r="N889" s="39">
        <f t="shared" si="132"/>
        <v>43132</v>
      </c>
      <c r="O889" s="9" t="str">
        <f t="shared" si="139"/>
        <v>30.000,00</v>
      </c>
      <c r="P889" s="8" t="str">
        <f t="shared" si="140"/>
        <v>Treinta Mil Bolívares con 00/100</v>
      </c>
      <c r="Q889" s="403" t="str">
        <f t="shared" si="133"/>
        <v/>
      </c>
    </row>
    <row r="890" spans="1:17" x14ac:dyDescent="0.25">
      <c r="A890" s="1">
        <f t="shared" si="134"/>
        <v>889</v>
      </c>
      <c r="C890" s="12" t="s">
        <v>17</v>
      </c>
      <c r="D890" s="2">
        <v>43161</v>
      </c>
      <c r="E890" s="3">
        <v>140000</v>
      </c>
      <c r="F890" t="s">
        <v>103</v>
      </c>
      <c r="G890" t="s">
        <v>104</v>
      </c>
      <c r="H890" t="s">
        <v>105</v>
      </c>
      <c r="I890" s="10" t="s">
        <v>630</v>
      </c>
      <c r="J890" s="167" t="s">
        <v>22</v>
      </c>
      <c r="L890" s="9" t="str">
        <f t="shared" si="130"/>
        <v>00889</v>
      </c>
      <c r="M890" s="71" t="str">
        <f t="shared" si="131"/>
        <v>02 de marzo de 2018</v>
      </c>
      <c r="N890" s="39">
        <f t="shared" si="132"/>
        <v>43160</v>
      </c>
      <c r="O890" s="9" t="str">
        <f t="shared" si="139"/>
        <v>140.000,00</v>
      </c>
      <c r="P890" s="8" t="str">
        <f t="shared" si="140"/>
        <v>Ciento Cuarenta Mil Bolívares con 00/100</v>
      </c>
      <c r="Q890" s="403" t="str">
        <f t="shared" si="133"/>
        <v/>
      </c>
    </row>
    <row r="891" spans="1:17" x14ac:dyDescent="0.25">
      <c r="A891" s="1">
        <f>A890+1</f>
        <v>890</v>
      </c>
      <c r="C891" s="12" t="s">
        <v>17</v>
      </c>
      <c r="D891" s="2">
        <v>43172</v>
      </c>
      <c r="E891" s="3">
        <v>450000</v>
      </c>
      <c r="F891" t="s">
        <v>334</v>
      </c>
      <c r="G891" t="s">
        <v>85</v>
      </c>
      <c r="H891" t="s">
        <v>335</v>
      </c>
      <c r="I891" s="10" t="s">
        <v>650</v>
      </c>
      <c r="J891" s="167" t="s">
        <v>22</v>
      </c>
      <c r="L891" s="9" t="str">
        <f t="shared" si="130"/>
        <v>00890</v>
      </c>
      <c r="M891" s="71" t="str">
        <f t="shared" si="131"/>
        <v>13 de marzo de 2018</v>
      </c>
      <c r="N891" s="39">
        <f t="shared" si="132"/>
        <v>43160</v>
      </c>
      <c r="O891" s="9" t="str">
        <f t="shared" si="139"/>
        <v>450.000,00</v>
      </c>
      <c r="P891" s="8" t="str">
        <f t="shared" si="140"/>
        <v>Cuatrocientos Cincuenta Mil Bolívares con 00/100</v>
      </c>
      <c r="Q891" s="403" t="str">
        <f t="shared" si="133"/>
        <v/>
      </c>
    </row>
    <row r="892" spans="1:17" x14ac:dyDescent="0.25">
      <c r="A892" s="1">
        <f t="shared" ref="A892:A936" si="141">A891+1</f>
        <v>891</v>
      </c>
      <c r="C892" s="12" t="s">
        <v>17</v>
      </c>
      <c r="D892" s="2">
        <v>43173</v>
      </c>
      <c r="E892" s="3">
        <v>140000</v>
      </c>
      <c r="F892" t="s">
        <v>201</v>
      </c>
      <c r="G892" t="s">
        <v>202</v>
      </c>
      <c r="H892" t="s">
        <v>203</v>
      </c>
      <c r="I892" s="10" t="s">
        <v>630</v>
      </c>
      <c r="J892" s="167" t="s">
        <v>22</v>
      </c>
      <c r="L892" s="9" t="str">
        <f t="shared" si="130"/>
        <v>00891</v>
      </c>
      <c r="M892" s="71" t="str">
        <f t="shared" si="131"/>
        <v>14 de marzo de 2018</v>
      </c>
      <c r="N892" s="39">
        <f t="shared" si="132"/>
        <v>43160</v>
      </c>
      <c r="O892" s="9" t="str">
        <f t="shared" si="139"/>
        <v>140.000,00</v>
      </c>
      <c r="P892" s="8" t="str">
        <f t="shared" si="140"/>
        <v>Ciento Cuarenta Mil Bolívares con 00/100</v>
      </c>
      <c r="Q892" s="403" t="str">
        <f t="shared" si="133"/>
        <v/>
      </c>
    </row>
    <row r="893" spans="1:17" x14ac:dyDescent="0.25">
      <c r="A893" s="1">
        <f t="shared" si="141"/>
        <v>892</v>
      </c>
      <c r="C893" s="12" t="s">
        <v>17</v>
      </c>
      <c r="D893" s="2">
        <v>43173</v>
      </c>
      <c r="E893" s="3">
        <v>140000</v>
      </c>
      <c r="F893" t="s">
        <v>126</v>
      </c>
      <c r="G893" t="s">
        <v>127</v>
      </c>
      <c r="H893" t="s">
        <v>128</v>
      </c>
      <c r="I893" s="10" t="s">
        <v>630</v>
      </c>
      <c r="J893" s="167" t="s">
        <v>22</v>
      </c>
      <c r="L893" s="9" t="str">
        <f t="shared" si="130"/>
        <v>00892</v>
      </c>
      <c r="M893" s="71" t="str">
        <f t="shared" si="131"/>
        <v>14 de marzo de 2018</v>
      </c>
      <c r="N893" s="39">
        <f t="shared" si="132"/>
        <v>43160</v>
      </c>
      <c r="O893" s="9" t="str">
        <f t="shared" si="139"/>
        <v>140.000,00</v>
      </c>
      <c r="P893" s="8" t="str">
        <f t="shared" si="140"/>
        <v>Ciento Cuarenta Mil Bolívares con 00/100</v>
      </c>
      <c r="Q893" s="403" t="str">
        <f t="shared" si="133"/>
        <v/>
      </c>
    </row>
    <row r="894" spans="1:17" x14ac:dyDescent="0.25">
      <c r="A894" s="1">
        <f t="shared" si="141"/>
        <v>893</v>
      </c>
      <c r="C894" s="12" t="s">
        <v>17</v>
      </c>
      <c r="D894" s="2">
        <v>43173</v>
      </c>
      <c r="E894" s="3">
        <v>300000</v>
      </c>
      <c r="F894" t="s">
        <v>126</v>
      </c>
      <c r="G894" t="s">
        <v>127</v>
      </c>
      <c r="H894" t="s">
        <v>128</v>
      </c>
      <c r="I894" s="10" t="s">
        <v>651</v>
      </c>
      <c r="J894" s="167" t="s">
        <v>652</v>
      </c>
      <c r="L894" s="9" t="str">
        <f t="shared" si="130"/>
        <v>00893</v>
      </c>
      <c r="M894" s="71" t="str">
        <f t="shared" si="131"/>
        <v>14 de marzo de 2018</v>
      </c>
      <c r="N894" s="39">
        <f t="shared" si="132"/>
        <v>43160</v>
      </c>
      <c r="O894" s="9" t="str">
        <f t="shared" si="139"/>
        <v>300.000,00</v>
      </c>
      <c r="P894" s="8" t="str">
        <f t="shared" si="140"/>
        <v>Trescientos Mil Bolívares con 00/100</v>
      </c>
      <c r="Q894" s="403" t="str">
        <f t="shared" si="133"/>
        <v/>
      </c>
    </row>
    <row r="895" spans="1:17" x14ac:dyDescent="0.25">
      <c r="A895" s="1">
        <f t="shared" si="141"/>
        <v>894</v>
      </c>
      <c r="C895" s="12" t="s">
        <v>17</v>
      </c>
      <c r="D895" s="2">
        <v>43173</v>
      </c>
      <c r="E895" s="3">
        <v>140000</v>
      </c>
      <c r="F895" t="s">
        <v>152</v>
      </c>
      <c r="G895" t="s">
        <v>153</v>
      </c>
      <c r="H895" t="s">
        <v>154</v>
      </c>
      <c r="I895" s="10" t="s">
        <v>630</v>
      </c>
      <c r="J895" s="167" t="s">
        <v>22</v>
      </c>
      <c r="L895" s="9" t="str">
        <f t="shared" si="130"/>
        <v>00894</v>
      </c>
      <c r="M895" s="71" t="str">
        <f t="shared" si="131"/>
        <v>14 de marzo de 2018</v>
      </c>
      <c r="N895" s="39">
        <f t="shared" si="132"/>
        <v>43160</v>
      </c>
      <c r="O895" s="9" t="str">
        <f t="shared" si="139"/>
        <v>140.000,00</v>
      </c>
      <c r="P895" s="8" t="str">
        <f t="shared" si="140"/>
        <v>Ciento Cuarenta Mil Bolívares con 00/100</v>
      </c>
      <c r="Q895" s="403" t="str">
        <f t="shared" si="133"/>
        <v/>
      </c>
    </row>
    <row r="896" spans="1:17" x14ac:dyDescent="0.25">
      <c r="A896" s="1">
        <f t="shared" si="141"/>
        <v>895</v>
      </c>
      <c r="C896" s="12" t="s">
        <v>17</v>
      </c>
      <c r="D896" s="2">
        <v>43173</v>
      </c>
      <c r="E896" s="3">
        <v>40000</v>
      </c>
      <c r="F896" t="s">
        <v>324</v>
      </c>
      <c r="G896" t="s">
        <v>325</v>
      </c>
      <c r="H896" t="s">
        <v>326</v>
      </c>
      <c r="I896" s="10" t="s">
        <v>653</v>
      </c>
      <c r="J896" s="167" t="s">
        <v>22</v>
      </c>
      <c r="L896" s="9" t="str">
        <f t="shared" si="130"/>
        <v>00895</v>
      </c>
      <c r="M896" s="71" t="str">
        <f t="shared" si="131"/>
        <v>14 de marzo de 2018</v>
      </c>
      <c r="N896" s="39">
        <f t="shared" si="132"/>
        <v>43160</v>
      </c>
      <c r="O896" s="9" t="str">
        <f t="shared" si="139"/>
        <v>40.000,00</v>
      </c>
      <c r="P896" s="8" t="str">
        <f t="shared" si="140"/>
        <v>Cuarenta Mil Bolívares con 00/100</v>
      </c>
      <c r="Q896" s="403" t="str">
        <f t="shared" si="133"/>
        <v/>
      </c>
    </row>
    <row r="897" spans="1:17" ht="15.75" thickBot="1" x14ac:dyDescent="0.3">
      <c r="A897" s="1">
        <f t="shared" si="141"/>
        <v>896</v>
      </c>
      <c r="C897" s="12" t="s">
        <v>17</v>
      </c>
      <c r="D897" s="2">
        <v>43175</v>
      </c>
      <c r="E897" s="3">
        <v>140000</v>
      </c>
      <c r="F897" t="s">
        <v>36</v>
      </c>
      <c r="G897" t="s">
        <v>37</v>
      </c>
      <c r="H897" t="s">
        <v>38</v>
      </c>
      <c r="I897" s="10" t="s">
        <v>630</v>
      </c>
      <c r="J897" s="167" t="s">
        <v>22</v>
      </c>
      <c r="L897" s="9" t="str">
        <f t="shared" si="130"/>
        <v>00896</v>
      </c>
      <c r="M897" s="71" t="str">
        <f t="shared" si="131"/>
        <v>16 de marzo de 2018</v>
      </c>
      <c r="N897" s="39">
        <f t="shared" si="132"/>
        <v>43160</v>
      </c>
      <c r="O897" s="9" t="str">
        <f t="shared" si="139"/>
        <v>140.000,00</v>
      </c>
      <c r="P897" s="8" t="str">
        <f t="shared" si="140"/>
        <v>Ciento Cuarenta Mil Bolívares con 00/100</v>
      </c>
      <c r="Q897" s="403" t="str">
        <f t="shared" si="133"/>
        <v/>
      </c>
    </row>
    <row r="898" spans="1:17" ht="15.75" thickBot="1" x14ac:dyDescent="0.3">
      <c r="A898" s="1">
        <f t="shared" si="141"/>
        <v>897</v>
      </c>
      <c r="C898" s="12" t="s">
        <v>17</v>
      </c>
      <c r="D898" s="2">
        <v>43175</v>
      </c>
      <c r="E898" s="3">
        <v>155000</v>
      </c>
      <c r="F898" s="31" t="s">
        <v>57</v>
      </c>
      <c r="G898" s="27" t="s">
        <v>58</v>
      </c>
      <c r="H898" s="32" t="s">
        <v>59</v>
      </c>
      <c r="I898" s="10" t="s">
        <v>630</v>
      </c>
      <c r="J898" s="167" t="s">
        <v>22</v>
      </c>
      <c r="K898" s="33"/>
      <c r="L898" s="9" t="str">
        <f t="shared" ref="L898:L961" si="142">IF(ISBLANK(A898),"",TEXT(A898,"00000"))</f>
        <v>00897</v>
      </c>
      <c r="M898" s="71" t="str">
        <f t="shared" ref="M898:M961" si="143">IF(ISBLANK(D898),"",TEXT(D898,"dd")&amp;" de "&amp;TEXT(D898,"mmmm")&amp;" de "&amp;TEXT(YEAR(D898),"0"))</f>
        <v>16 de marzo de 2018</v>
      </c>
      <c r="N898" s="39">
        <f t="shared" ref="N898:N961" si="144">DATE(YEAR(D898),MONTH(D898),1)</f>
        <v>43160</v>
      </c>
      <c r="O898" s="9" t="str">
        <f t="shared" si="139"/>
        <v>155.000,00</v>
      </c>
      <c r="P898" s="8" t="str">
        <f t="shared" si="140"/>
        <v>Ciento Cincuenta y Cinco Mil Bolívares con 00/100</v>
      </c>
      <c r="Q898" s="403" t="str">
        <f t="shared" si="133"/>
        <v/>
      </c>
    </row>
    <row r="899" spans="1:17" x14ac:dyDescent="0.25">
      <c r="A899" s="1">
        <f t="shared" si="141"/>
        <v>898</v>
      </c>
      <c r="C899" s="12" t="s">
        <v>17</v>
      </c>
      <c r="D899" s="2">
        <v>43178</v>
      </c>
      <c r="E899" s="3">
        <v>80000</v>
      </c>
      <c r="F899" t="s">
        <v>402</v>
      </c>
      <c r="G899" t="s">
        <v>403</v>
      </c>
      <c r="H899" t="s">
        <v>404</v>
      </c>
      <c r="I899" s="10" t="s">
        <v>632</v>
      </c>
      <c r="J899" s="167" t="s">
        <v>22</v>
      </c>
      <c r="L899" s="9" t="str">
        <f t="shared" si="142"/>
        <v>00898</v>
      </c>
      <c r="M899" s="71" t="str">
        <f t="shared" si="143"/>
        <v>19 de marzo de 2018</v>
      </c>
      <c r="N899" s="39">
        <f t="shared" si="144"/>
        <v>43160</v>
      </c>
      <c r="O899" s="9" t="str">
        <f t="shared" si="139"/>
        <v>80.000,00</v>
      </c>
      <c r="P899" s="8" t="str">
        <f t="shared" si="140"/>
        <v>Ochenta Mil Bolívares con 00/100</v>
      </c>
      <c r="Q899" s="403" t="str">
        <f t="shared" ref="Q899:Q962" si="145">IF(C899="û","Anulado","")</f>
        <v/>
      </c>
    </row>
    <row r="900" spans="1:17" x14ac:dyDescent="0.25">
      <c r="A900" s="1">
        <f t="shared" si="141"/>
        <v>899</v>
      </c>
      <c r="C900" s="12" t="s">
        <v>17</v>
      </c>
      <c r="D900" s="2">
        <v>43179</v>
      </c>
      <c r="E900" s="3">
        <v>470000</v>
      </c>
      <c r="F900" t="s">
        <v>337</v>
      </c>
      <c r="G900" t="s">
        <v>338</v>
      </c>
      <c r="H900" t="s">
        <v>339</v>
      </c>
      <c r="I900" s="10" t="s">
        <v>654</v>
      </c>
      <c r="J900" s="167" t="s">
        <v>22</v>
      </c>
      <c r="L900" s="9" t="str">
        <f t="shared" si="142"/>
        <v>00899</v>
      </c>
      <c r="M900" s="71" t="str">
        <f t="shared" si="143"/>
        <v>20 de marzo de 2018</v>
      </c>
      <c r="N900" s="39">
        <f t="shared" si="144"/>
        <v>43160</v>
      </c>
      <c r="O900" s="9" t="str">
        <f t="shared" si="139"/>
        <v>470.000,00</v>
      </c>
      <c r="P900" s="8" t="str">
        <f t="shared" si="140"/>
        <v>Cuatrocientos Setenta Mil Bolívares con 00/100</v>
      </c>
      <c r="Q900" s="403" t="str">
        <f t="shared" si="145"/>
        <v/>
      </c>
    </row>
    <row r="901" spans="1:17" x14ac:dyDescent="0.25">
      <c r="A901" s="1">
        <f t="shared" si="141"/>
        <v>900</v>
      </c>
      <c r="C901" s="12" t="s">
        <v>17</v>
      </c>
      <c r="D901" s="2">
        <v>43179</v>
      </c>
      <c r="E901" s="3">
        <v>140000</v>
      </c>
      <c r="F901" t="s">
        <v>243</v>
      </c>
      <c r="G901" t="s">
        <v>244</v>
      </c>
      <c r="H901" t="s">
        <v>245</v>
      </c>
      <c r="I901" s="10" t="s">
        <v>630</v>
      </c>
      <c r="J901" s="167" t="s">
        <v>22</v>
      </c>
      <c r="L901" s="9" t="str">
        <f t="shared" si="142"/>
        <v>00900</v>
      </c>
      <c r="M901" s="71" t="str">
        <f t="shared" si="143"/>
        <v>20 de marzo de 2018</v>
      </c>
      <c r="N901" s="39">
        <f t="shared" si="144"/>
        <v>43160</v>
      </c>
      <c r="O901" s="9" t="str">
        <f t="shared" si="139"/>
        <v>140.000,00</v>
      </c>
      <c r="P901" s="8" t="str">
        <f t="shared" si="140"/>
        <v>Ciento Cuarenta Mil Bolívares con 00/100</v>
      </c>
      <c r="Q901" s="403" t="str">
        <f t="shared" si="145"/>
        <v/>
      </c>
    </row>
    <row r="902" spans="1:17" ht="15.75" thickBot="1" x14ac:dyDescent="0.3">
      <c r="A902" s="1">
        <f t="shared" si="141"/>
        <v>901</v>
      </c>
      <c r="C902" s="12" t="s">
        <v>17</v>
      </c>
      <c r="D902" s="2">
        <v>43159</v>
      </c>
      <c r="E902" s="3">
        <v>80000</v>
      </c>
      <c r="F902" t="s">
        <v>62</v>
      </c>
      <c r="G902" t="s">
        <v>63</v>
      </c>
      <c r="H902" t="s">
        <v>64</v>
      </c>
      <c r="I902" s="10" t="s">
        <v>616</v>
      </c>
      <c r="J902" s="167" t="s">
        <v>22</v>
      </c>
      <c r="L902" s="9" t="str">
        <f t="shared" si="142"/>
        <v>00901</v>
      </c>
      <c r="M902" s="71" t="str">
        <f t="shared" si="143"/>
        <v>28 de febrero de 2018</v>
      </c>
      <c r="N902" s="39">
        <f t="shared" si="144"/>
        <v>43132</v>
      </c>
      <c r="O902" s="9" t="str">
        <f t="shared" si="139"/>
        <v>80.000,00</v>
      </c>
      <c r="P902" s="8" t="str">
        <f t="shared" si="140"/>
        <v>Ochenta Mil Bolívares con 00/100</v>
      </c>
      <c r="Q902" s="403" t="str">
        <f t="shared" si="145"/>
        <v/>
      </c>
    </row>
    <row r="903" spans="1:17" ht="15.75" thickBot="1" x14ac:dyDescent="0.3">
      <c r="A903" s="1">
        <f t="shared" si="141"/>
        <v>902</v>
      </c>
      <c r="C903" s="12" t="s">
        <v>17</v>
      </c>
      <c r="D903" s="2">
        <v>43180</v>
      </c>
      <c r="E903" s="3">
        <v>200000</v>
      </c>
      <c r="F903" s="36" t="s">
        <v>423</v>
      </c>
      <c r="G903" s="27" t="s">
        <v>58</v>
      </c>
      <c r="H903" t="s">
        <v>424</v>
      </c>
      <c r="I903" s="10" t="s">
        <v>630</v>
      </c>
      <c r="J903" s="167" t="s">
        <v>22</v>
      </c>
      <c r="L903" s="9" t="str">
        <f t="shared" si="142"/>
        <v>00902</v>
      </c>
      <c r="M903" s="71" t="str">
        <f t="shared" si="143"/>
        <v>21 de marzo de 2018</v>
      </c>
      <c r="N903" s="39">
        <f t="shared" si="144"/>
        <v>43160</v>
      </c>
      <c r="O903" s="9" t="str">
        <f t="shared" si="139"/>
        <v>200.000,00</v>
      </c>
      <c r="P903" s="8" t="str">
        <f t="shared" si="140"/>
        <v>Doscientos Mil Bolívares con 00/100</v>
      </c>
      <c r="Q903" s="403" t="str">
        <f t="shared" si="145"/>
        <v/>
      </c>
    </row>
    <row r="904" spans="1:17" x14ac:dyDescent="0.25">
      <c r="A904" s="1">
        <f t="shared" si="141"/>
        <v>903</v>
      </c>
      <c r="C904" s="12" t="s">
        <v>17</v>
      </c>
      <c r="D904" s="2">
        <v>43180</v>
      </c>
      <c r="E904" s="3">
        <v>300000</v>
      </c>
      <c r="F904" t="s">
        <v>114</v>
      </c>
      <c r="G904" t="s">
        <v>115</v>
      </c>
      <c r="H904" t="s">
        <v>116</v>
      </c>
      <c r="I904" s="10" t="s">
        <v>655</v>
      </c>
      <c r="J904" s="167" t="s">
        <v>22</v>
      </c>
      <c r="L904" s="9" t="str">
        <f t="shared" si="142"/>
        <v>00903</v>
      </c>
      <c r="M904" s="71" t="str">
        <f t="shared" si="143"/>
        <v>21 de marzo de 2018</v>
      </c>
      <c r="N904" s="39">
        <f t="shared" si="144"/>
        <v>43160</v>
      </c>
      <c r="O904" s="9" t="str">
        <f t="shared" si="139"/>
        <v>300.000,00</v>
      </c>
      <c r="P904" s="8" t="str">
        <f t="shared" si="140"/>
        <v>Trescientos Mil Bolívares con 00/100</v>
      </c>
      <c r="Q904" s="403" t="str">
        <f t="shared" si="145"/>
        <v/>
      </c>
    </row>
    <row r="905" spans="1:17" x14ac:dyDescent="0.25">
      <c r="A905" s="1">
        <f t="shared" si="141"/>
        <v>904</v>
      </c>
      <c r="C905" s="12" t="s">
        <v>17</v>
      </c>
      <c r="D905" s="2">
        <v>43180</v>
      </c>
      <c r="E905" s="3">
        <v>220000</v>
      </c>
      <c r="F905" t="s">
        <v>94</v>
      </c>
      <c r="G905" t="s">
        <v>607</v>
      </c>
      <c r="H905" t="s">
        <v>96</v>
      </c>
      <c r="I905" s="10" t="s">
        <v>640</v>
      </c>
      <c r="J905" s="167" t="s">
        <v>22</v>
      </c>
      <c r="L905" s="9" t="str">
        <f t="shared" si="142"/>
        <v>00904</v>
      </c>
      <c r="M905" s="71" t="str">
        <f t="shared" si="143"/>
        <v>21 de marzo de 2018</v>
      </c>
      <c r="N905" s="39">
        <f t="shared" si="144"/>
        <v>43160</v>
      </c>
      <c r="O905" s="9" t="str">
        <f t="shared" si="139"/>
        <v>220.000,00</v>
      </c>
      <c r="P905" s="8" t="str">
        <f t="shared" si="140"/>
        <v>Doscientos Veinte Mil Bolívares con 00/100</v>
      </c>
      <c r="Q905" s="403" t="str">
        <f t="shared" si="145"/>
        <v/>
      </c>
    </row>
    <row r="906" spans="1:17" ht="15.75" thickBot="1" x14ac:dyDescent="0.3">
      <c r="A906" s="1">
        <f t="shared" si="141"/>
        <v>905</v>
      </c>
      <c r="C906" s="12" t="s">
        <v>17</v>
      </c>
      <c r="D906" s="2">
        <v>43180</v>
      </c>
      <c r="E906" s="3">
        <v>250000</v>
      </c>
      <c r="F906" t="s">
        <v>162</v>
      </c>
      <c r="G906" t="s">
        <v>163</v>
      </c>
      <c r="H906" t="s">
        <v>164</v>
      </c>
      <c r="I906" s="10" t="s">
        <v>656</v>
      </c>
      <c r="J906" s="167" t="s">
        <v>22</v>
      </c>
      <c r="L906" s="9" t="str">
        <f t="shared" si="142"/>
        <v>00905</v>
      </c>
      <c r="M906" s="71" t="str">
        <f t="shared" si="143"/>
        <v>21 de marzo de 2018</v>
      </c>
      <c r="N906" s="39">
        <f t="shared" si="144"/>
        <v>43160</v>
      </c>
      <c r="O906" s="9" t="str">
        <f t="shared" si="139"/>
        <v>250.000,00</v>
      </c>
      <c r="P906" s="8" t="str">
        <f t="shared" si="140"/>
        <v>Doscientos Cincuenta Mil Bolívares con 00/100</v>
      </c>
      <c r="Q906" s="403" t="str">
        <f t="shared" si="145"/>
        <v/>
      </c>
    </row>
    <row r="907" spans="1:17" ht="15.75" thickBot="1" x14ac:dyDescent="0.3">
      <c r="A907" s="1">
        <f t="shared" si="141"/>
        <v>906</v>
      </c>
      <c r="C907" s="12" t="s">
        <v>17</v>
      </c>
      <c r="D907" s="2">
        <v>43182</v>
      </c>
      <c r="E907" s="3">
        <v>180000</v>
      </c>
      <c r="F907" t="s">
        <v>319</v>
      </c>
      <c r="G907" s="27" t="s">
        <v>58</v>
      </c>
      <c r="H907" t="s">
        <v>320</v>
      </c>
      <c r="I907" s="10" t="s">
        <v>657</v>
      </c>
      <c r="J907" s="167" t="s">
        <v>22</v>
      </c>
      <c r="L907" s="9" t="str">
        <f t="shared" si="142"/>
        <v>00906</v>
      </c>
      <c r="M907" s="71" t="str">
        <f t="shared" si="143"/>
        <v>23 de marzo de 2018</v>
      </c>
      <c r="N907" s="39">
        <f t="shared" si="144"/>
        <v>43160</v>
      </c>
      <c r="O907" s="9" t="str">
        <f t="shared" ref="O907:O921" si="146">TEXT(E907,"#.##0,00")</f>
        <v>180.000,00</v>
      </c>
      <c r="P907" s="8" t="str">
        <f t="shared" ref="P907:P921" si="147">CONVERTIRNUM(E907)</f>
        <v>Ciento Ochenta Mil Bolívares con 00/100</v>
      </c>
      <c r="Q907" s="403" t="str">
        <f t="shared" si="145"/>
        <v/>
      </c>
    </row>
    <row r="908" spans="1:17" x14ac:dyDescent="0.25">
      <c r="A908" s="1">
        <f t="shared" si="141"/>
        <v>907</v>
      </c>
      <c r="C908" s="12" t="s">
        <v>17</v>
      </c>
      <c r="D908" s="2">
        <v>43182</v>
      </c>
      <c r="E908" s="3">
        <v>140000</v>
      </c>
      <c r="F908" t="s">
        <v>122</v>
      </c>
      <c r="G908" t="s">
        <v>123</v>
      </c>
      <c r="H908" t="s">
        <v>124</v>
      </c>
      <c r="I908" s="10" t="s">
        <v>630</v>
      </c>
      <c r="J908" s="167" t="s">
        <v>22</v>
      </c>
      <c r="L908" s="9" t="str">
        <f t="shared" si="142"/>
        <v>00907</v>
      </c>
      <c r="M908" s="71" t="str">
        <f t="shared" si="143"/>
        <v>23 de marzo de 2018</v>
      </c>
      <c r="N908" s="39">
        <f t="shared" si="144"/>
        <v>43160</v>
      </c>
      <c r="O908" s="9" t="str">
        <f t="shared" si="146"/>
        <v>140.000,00</v>
      </c>
      <c r="P908" s="8" t="str">
        <f t="shared" si="147"/>
        <v>Ciento Cuarenta Mil Bolívares con 00/100</v>
      </c>
      <c r="Q908" s="403" t="str">
        <f t="shared" si="145"/>
        <v/>
      </c>
    </row>
    <row r="909" spans="1:17" x14ac:dyDescent="0.25">
      <c r="A909" s="1">
        <f t="shared" si="141"/>
        <v>908</v>
      </c>
      <c r="C909" s="12" t="s">
        <v>17</v>
      </c>
      <c r="D909" s="2">
        <v>43185</v>
      </c>
      <c r="E909" s="3">
        <v>120000</v>
      </c>
      <c r="F909" t="s">
        <v>408</v>
      </c>
      <c r="G909" t="s">
        <v>409</v>
      </c>
      <c r="H909" t="s">
        <v>410</v>
      </c>
      <c r="I909" s="10" t="s">
        <v>658</v>
      </c>
      <c r="J909" s="167" t="s">
        <v>22</v>
      </c>
      <c r="L909" s="9" t="str">
        <f t="shared" si="142"/>
        <v>00908</v>
      </c>
      <c r="M909" s="71" t="str">
        <f t="shared" si="143"/>
        <v>26 de marzo de 2018</v>
      </c>
      <c r="N909" s="39">
        <f t="shared" si="144"/>
        <v>43160</v>
      </c>
      <c r="O909" s="9" t="str">
        <f t="shared" si="146"/>
        <v>120.000,00</v>
      </c>
      <c r="P909" s="8" t="str">
        <f t="shared" si="147"/>
        <v>Ciento Veinte Mil Bolívares con 00/100</v>
      </c>
      <c r="Q909" s="403" t="str">
        <f t="shared" si="145"/>
        <v/>
      </c>
    </row>
    <row r="910" spans="1:17" x14ac:dyDescent="0.25">
      <c r="A910" s="1">
        <f t="shared" si="141"/>
        <v>909</v>
      </c>
      <c r="C910" s="12" t="s">
        <v>17</v>
      </c>
      <c r="D910" s="2">
        <v>43185</v>
      </c>
      <c r="E910" s="3">
        <v>140000</v>
      </c>
      <c r="F910" t="s">
        <v>134</v>
      </c>
      <c r="G910" t="s">
        <v>135</v>
      </c>
      <c r="H910" t="s">
        <v>136</v>
      </c>
      <c r="I910" s="10" t="s">
        <v>630</v>
      </c>
      <c r="J910" s="167" t="s">
        <v>22</v>
      </c>
      <c r="L910" s="9" t="str">
        <f t="shared" si="142"/>
        <v>00909</v>
      </c>
      <c r="M910" s="71" t="str">
        <f t="shared" si="143"/>
        <v>26 de marzo de 2018</v>
      </c>
      <c r="N910" s="39">
        <f t="shared" si="144"/>
        <v>43160</v>
      </c>
      <c r="O910" s="9" t="str">
        <f t="shared" si="146"/>
        <v>140.000,00</v>
      </c>
      <c r="P910" s="8" t="str">
        <f t="shared" si="147"/>
        <v>Ciento Cuarenta Mil Bolívares con 00/100</v>
      </c>
      <c r="Q910" s="403" t="str">
        <f t="shared" si="145"/>
        <v/>
      </c>
    </row>
    <row r="911" spans="1:17" x14ac:dyDescent="0.25">
      <c r="A911" s="1">
        <f t="shared" si="141"/>
        <v>910</v>
      </c>
      <c r="C911" s="12" t="s">
        <v>17</v>
      </c>
      <c r="D911" s="2">
        <v>43185</v>
      </c>
      <c r="E911" s="3">
        <v>300000</v>
      </c>
      <c r="F911" t="s">
        <v>252</v>
      </c>
      <c r="G911" t="s">
        <v>253</v>
      </c>
      <c r="H911" t="s">
        <v>254</v>
      </c>
      <c r="I911" s="10" t="s">
        <v>659</v>
      </c>
      <c r="J911" s="167" t="s">
        <v>22</v>
      </c>
      <c r="L911" s="9" t="str">
        <f t="shared" si="142"/>
        <v>00910</v>
      </c>
      <c r="M911" s="71" t="str">
        <f t="shared" si="143"/>
        <v>26 de marzo de 2018</v>
      </c>
      <c r="N911" s="39">
        <f t="shared" si="144"/>
        <v>43160</v>
      </c>
      <c r="O911" s="9" t="str">
        <f t="shared" si="146"/>
        <v>300.000,00</v>
      </c>
      <c r="P911" s="8" t="str">
        <f t="shared" si="147"/>
        <v>Trescientos Mil Bolívares con 00/100</v>
      </c>
      <c r="Q911" s="403" t="str">
        <f t="shared" si="145"/>
        <v/>
      </c>
    </row>
    <row r="912" spans="1:17" x14ac:dyDescent="0.25">
      <c r="A912" s="1">
        <f t="shared" si="141"/>
        <v>911</v>
      </c>
      <c r="C912" s="12" t="s">
        <v>17</v>
      </c>
      <c r="D912" s="2">
        <v>43185</v>
      </c>
      <c r="E912" s="3">
        <v>280000</v>
      </c>
      <c r="F912" t="s">
        <v>138</v>
      </c>
      <c r="G912" t="s">
        <v>139</v>
      </c>
      <c r="H912" t="s">
        <v>140</v>
      </c>
      <c r="I912" s="10" t="s">
        <v>660</v>
      </c>
      <c r="J912" s="167" t="s">
        <v>22</v>
      </c>
      <c r="L912" s="9" t="str">
        <f t="shared" si="142"/>
        <v>00911</v>
      </c>
      <c r="M912" s="71" t="str">
        <f t="shared" si="143"/>
        <v>26 de marzo de 2018</v>
      </c>
      <c r="N912" s="39">
        <f t="shared" si="144"/>
        <v>43160</v>
      </c>
      <c r="O912" s="9" t="str">
        <f t="shared" si="146"/>
        <v>280.000,00</v>
      </c>
      <c r="P912" s="8" t="str">
        <f t="shared" si="147"/>
        <v>Doscientos Ochenta Mil Bolívares con 00/100</v>
      </c>
      <c r="Q912" s="403" t="str">
        <f t="shared" si="145"/>
        <v/>
      </c>
    </row>
    <row r="913" spans="1:17" x14ac:dyDescent="0.25">
      <c r="A913" s="1">
        <f t="shared" si="141"/>
        <v>912</v>
      </c>
      <c r="C913" s="12" t="s">
        <v>17</v>
      </c>
      <c r="D913" s="2">
        <v>43185</v>
      </c>
      <c r="E913" s="3">
        <v>300000</v>
      </c>
      <c r="F913" t="s">
        <v>144</v>
      </c>
      <c r="G913" t="s">
        <v>661</v>
      </c>
      <c r="H913" t="s">
        <v>146</v>
      </c>
      <c r="I913" s="10" t="s">
        <v>662</v>
      </c>
      <c r="J913" s="167" t="s">
        <v>22</v>
      </c>
      <c r="L913" s="9" t="str">
        <f t="shared" si="142"/>
        <v>00912</v>
      </c>
      <c r="M913" s="71" t="str">
        <f t="shared" si="143"/>
        <v>26 de marzo de 2018</v>
      </c>
      <c r="N913" s="39">
        <f t="shared" si="144"/>
        <v>43160</v>
      </c>
      <c r="O913" s="9" t="str">
        <f t="shared" si="146"/>
        <v>300.000,00</v>
      </c>
      <c r="P913" s="8" t="str">
        <f t="shared" si="147"/>
        <v>Trescientos Mil Bolívares con 00/100</v>
      </c>
      <c r="Q913" s="403" t="str">
        <f t="shared" si="145"/>
        <v/>
      </c>
    </row>
    <row r="914" spans="1:17" x14ac:dyDescent="0.25">
      <c r="A914" s="1">
        <f t="shared" si="141"/>
        <v>913</v>
      </c>
      <c r="C914" s="12" t="s">
        <v>17</v>
      </c>
      <c r="D914" s="2">
        <v>43185</v>
      </c>
      <c r="E914" s="3">
        <v>140000</v>
      </c>
      <c r="F914" t="s">
        <v>185</v>
      </c>
      <c r="G914" t="s">
        <v>186</v>
      </c>
      <c r="H914" t="s">
        <v>187</v>
      </c>
      <c r="I914" s="10" t="s">
        <v>630</v>
      </c>
      <c r="J914" s="167" t="s">
        <v>22</v>
      </c>
      <c r="L914" s="9" t="str">
        <f t="shared" si="142"/>
        <v>00913</v>
      </c>
      <c r="M914" s="71" t="str">
        <f t="shared" si="143"/>
        <v>26 de marzo de 2018</v>
      </c>
      <c r="N914" s="39">
        <f t="shared" si="144"/>
        <v>43160</v>
      </c>
      <c r="O914" s="9" t="str">
        <f t="shared" si="146"/>
        <v>140.000,00</v>
      </c>
      <c r="P914" s="8" t="str">
        <f t="shared" si="147"/>
        <v>Ciento Cuarenta Mil Bolívares con 00/100</v>
      </c>
      <c r="Q914" s="403" t="str">
        <f t="shared" si="145"/>
        <v/>
      </c>
    </row>
    <row r="915" spans="1:17" x14ac:dyDescent="0.25">
      <c r="A915" s="1">
        <f t="shared" si="141"/>
        <v>914</v>
      </c>
      <c r="C915" s="12" t="s">
        <v>17</v>
      </c>
      <c r="D915" s="2">
        <v>43187</v>
      </c>
      <c r="E915" s="3">
        <v>140000</v>
      </c>
      <c r="F915" t="s">
        <v>230</v>
      </c>
      <c r="G915" t="s">
        <v>231</v>
      </c>
      <c r="H915" t="s">
        <v>232</v>
      </c>
      <c r="I915" s="10" t="s">
        <v>630</v>
      </c>
      <c r="J915" s="167" t="s">
        <v>22</v>
      </c>
      <c r="L915" s="9" t="str">
        <f t="shared" si="142"/>
        <v>00914</v>
      </c>
      <c r="M915" s="71" t="str">
        <f t="shared" si="143"/>
        <v>28 de marzo de 2018</v>
      </c>
      <c r="N915" s="39">
        <f t="shared" si="144"/>
        <v>43160</v>
      </c>
      <c r="O915" s="9" t="str">
        <f t="shared" si="146"/>
        <v>140.000,00</v>
      </c>
      <c r="P915" s="8" t="str">
        <f t="shared" si="147"/>
        <v>Ciento Cuarenta Mil Bolívares con 00/100</v>
      </c>
      <c r="Q915" s="403" t="str">
        <f t="shared" si="145"/>
        <v/>
      </c>
    </row>
    <row r="916" spans="1:17" x14ac:dyDescent="0.25">
      <c r="A916" s="1">
        <f t="shared" si="141"/>
        <v>915</v>
      </c>
      <c r="C916" s="12" t="s">
        <v>17</v>
      </c>
      <c r="D916" s="2">
        <v>43187</v>
      </c>
      <c r="E916" s="3">
        <v>400000</v>
      </c>
      <c r="F916" t="s">
        <v>537</v>
      </c>
      <c r="G916" t="s">
        <v>538</v>
      </c>
      <c r="H916" t="s">
        <v>539</v>
      </c>
      <c r="I916" s="10" t="s">
        <v>663</v>
      </c>
      <c r="J916" s="167" t="s">
        <v>22</v>
      </c>
      <c r="L916" s="9" t="str">
        <f t="shared" si="142"/>
        <v>00915</v>
      </c>
      <c r="M916" s="71" t="str">
        <f t="shared" si="143"/>
        <v>28 de marzo de 2018</v>
      </c>
      <c r="N916" s="39">
        <f t="shared" si="144"/>
        <v>43160</v>
      </c>
      <c r="O916" s="9" t="str">
        <f t="shared" si="146"/>
        <v>400.000,00</v>
      </c>
      <c r="P916" s="8" t="str">
        <f t="shared" si="147"/>
        <v>Cuatrocientos Mil Bolívares con 00/100</v>
      </c>
      <c r="Q916" s="403" t="str">
        <f t="shared" si="145"/>
        <v/>
      </c>
    </row>
    <row r="917" spans="1:17" x14ac:dyDescent="0.25">
      <c r="A917" s="1">
        <f t="shared" si="141"/>
        <v>916</v>
      </c>
      <c r="C917" s="12" t="s">
        <v>17</v>
      </c>
      <c r="D917" s="2">
        <v>43187</v>
      </c>
      <c r="E917" s="3">
        <f>180000+97550</f>
        <v>277550</v>
      </c>
      <c r="F917" t="s">
        <v>287</v>
      </c>
      <c r="G917" t="s">
        <v>288</v>
      </c>
      <c r="H917" t="s">
        <v>289</v>
      </c>
      <c r="I917" s="10" t="s">
        <v>664</v>
      </c>
      <c r="J917" s="167" t="s">
        <v>22</v>
      </c>
      <c r="L917" s="9" t="str">
        <f t="shared" si="142"/>
        <v>00916</v>
      </c>
      <c r="M917" s="71" t="str">
        <f t="shared" si="143"/>
        <v>28 de marzo de 2018</v>
      </c>
      <c r="N917" s="39">
        <f t="shared" si="144"/>
        <v>43160</v>
      </c>
      <c r="O917" s="9" t="str">
        <f t="shared" si="146"/>
        <v>277.550,00</v>
      </c>
      <c r="P917" s="8" t="str">
        <f t="shared" si="147"/>
        <v>Doscientos Setenta y Siete Mil Quinientos Cincuenta Bolívares con 00/100</v>
      </c>
      <c r="Q917" s="403" t="str">
        <f t="shared" si="145"/>
        <v/>
      </c>
    </row>
    <row r="918" spans="1:17" x14ac:dyDescent="0.25">
      <c r="A918" s="1">
        <f t="shared" si="141"/>
        <v>917</v>
      </c>
      <c r="C918" s="12" t="s">
        <v>17</v>
      </c>
      <c r="D918" s="2">
        <v>43187</v>
      </c>
      <c r="E918" s="3">
        <v>140000</v>
      </c>
      <c r="F918" t="s">
        <v>296</v>
      </c>
      <c r="G918" t="s">
        <v>297</v>
      </c>
      <c r="H918" t="s">
        <v>298</v>
      </c>
      <c r="I918" s="10" t="s">
        <v>630</v>
      </c>
      <c r="J918" s="167" t="s">
        <v>22</v>
      </c>
      <c r="L918" s="9" t="str">
        <f t="shared" si="142"/>
        <v>00917</v>
      </c>
      <c r="M918" s="71" t="str">
        <f t="shared" si="143"/>
        <v>28 de marzo de 2018</v>
      </c>
      <c r="N918" s="39">
        <f t="shared" si="144"/>
        <v>43160</v>
      </c>
      <c r="O918" s="9" t="str">
        <f t="shared" si="146"/>
        <v>140.000,00</v>
      </c>
      <c r="P918" s="8" t="str">
        <f t="shared" si="147"/>
        <v>Ciento Cuarenta Mil Bolívares con 00/100</v>
      </c>
      <c r="Q918" s="403" t="str">
        <f t="shared" si="145"/>
        <v/>
      </c>
    </row>
    <row r="919" spans="1:17" x14ac:dyDescent="0.25">
      <c r="A919" s="1">
        <f t="shared" si="141"/>
        <v>918</v>
      </c>
      <c r="C919" s="12" t="s">
        <v>17</v>
      </c>
      <c r="D919" s="2">
        <v>43189</v>
      </c>
      <c r="E919" s="3">
        <v>140000</v>
      </c>
      <c r="F919" t="s">
        <v>219</v>
      </c>
      <c r="G919" t="s">
        <v>220</v>
      </c>
      <c r="H919" t="s">
        <v>221</v>
      </c>
      <c r="I919" s="10" t="s">
        <v>665</v>
      </c>
      <c r="J919" s="167" t="s">
        <v>22</v>
      </c>
      <c r="L919" s="9" t="str">
        <f t="shared" si="142"/>
        <v>00918</v>
      </c>
      <c r="M919" s="71" t="str">
        <f t="shared" si="143"/>
        <v>30 de marzo de 2018</v>
      </c>
      <c r="N919" s="39">
        <f t="shared" si="144"/>
        <v>43160</v>
      </c>
      <c r="O919" s="9" t="str">
        <f t="shared" si="146"/>
        <v>140.000,00</v>
      </c>
      <c r="P919" s="8" t="str">
        <f t="shared" si="147"/>
        <v>Ciento Cuarenta Mil Bolívares con 00/100</v>
      </c>
      <c r="Q919" s="403" t="str">
        <f t="shared" si="145"/>
        <v/>
      </c>
    </row>
    <row r="920" spans="1:17" x14ac:dyDescent="0.25">
      <c r="A920" s="1">
        <f t="shared" si="141"/>
        <v>919</v>
      </c>
      <c r="C920" s="12" t="s">
        <v>17</v>
      </c>
      <c r="D920" s="2">
        <v>43189</v>
      </c>
      <c r="E920" s="3">
        <v>50000</v>
      </c>
      <c r="F920" t="s">
        <v>28</v>
      </c>
      <c r="G920" t="s">
        <v>29</v>
      </c>
      <c r="H920" t="s">
        <v>30</v>
      </c>
      <c r="I920" s="10" t="s">
        <v>632</v>
      </c>
      <c r="J920" s="167" t="s">
        <v>22</v>
      </c>
      <c r="L920" s="9" t="str">
        <f t="shared" si="142"/>
        <v>00919</v>
      </c>
      <c r="M920" s="71" t="str">
        <f t="shared" si="143"/>
        <v>30 de marzo de 2018</v>
      </c>
      <c r="N920" s="39">
        <f t="shared" si="144"/>
        <v>43160</v>
      </c>
      <c r="O920" s="9" t="str">
        <f t="shared" si="146"/>
        <v>50.000,00</v>
      </c>
      <c r="P920" s="8" t="str">
        <f t="shared" si="147"/>
        <v>Cincuenta Mil Bolívares con 00/100</v>
      </c>
      <c r="Q920" s="403" t="str">
        <f t="shared" si="145"/>
        <v/>
      </c>
    </row>
    <row r="921" spans="1:17" x14ac:dyDescent="0.25">
      <c r="A921" s="1">
        <f t="shared" si="141"/>
        <v>920</v>
      </c>
      <c r="C921" s="12" t="s">
        <v>17</v>
      </c>
      <c r="D921" s="2">
        <v>43189</v>
      </c>
      <c r="E921" s="3">
        <v>420000</v>
      </c>
      <c r="F921" t="s">
        <v>66</v>
      </c>
      <c r="G921" t="s">
        <v>67</v>
      </c>
      <c r="H921" t="s">
        <v>68</v>
      </c>
      <c r="I921" s="10" t="s">
        <v>629</v>
      </c>
      <c r="J921" s="167" t="s">
        <v>22</v>
      </c>
      <c r="L921" s="9" t="str">
        <f t="shared" si="142"/>
        <v>00920</v>
      </c>
      <c r="M921" s="71" t="str">
        <f t="shared" si="143"/>
        <v>30 de marzo de 2018</v>
      </c>
      <c r="N921" s="39">
        <f t="shared" si="144"/>
        <v>43160</v>
      </c>
      <c r="O921" s="9" t="str">
        <f t="shared" si="146"/>
        <v>420.000,00</v>
      </c>
      <c r="P921" s="8" t="str">
        <f t="shared" si="147"/>
        <v>Cuatrocientos Veinte Mil Bolívares con 00/100</v>
      </c>
      <c r="Q921" s="403" t="str">
        <f t="shared" si="145"/>
        <v/>
      </c>
    </row>
    <row r="922" spans="1:17" x14ac:dyDescent="0.25">
      <c r="A922" s="1">
        <f t="shared" si="141"/>
        <v>921</v>
      </c>
      <c r="C922" s="12" t="s">
        <v>17</v>
      </c>
      <c r="D922" s="2">
        <v>43192</v>
      </c>
      <c r="E922" s="3">
        <v>50000</v>
      </c>
      <c r="F922" t="s">
        <v>28</v>
      </c>
      <c r="G922" t="s">
        <v>29</v>
      </c>
      <c r="H922" t="s">
        <v>30</v>
      </c>
      <c r="I922" s="10" t="s">
        <v>666</v>
      </c>
      <c r="J922" s="167" t="s">
        <v>22</v>
      </c>
      <c r="L922" s="9" t="str">
        <f t="shared" si="142"/>
        <v>00921</v>
      </c>
      <c r="M922" s="71" t="str">
        <f t="shared" si="143"/>
        <v>02 de abril de 2018</v>
      </c>
      <c r="N922" s="39">
        <f t="shared" si="144"/>
        <v>43191</v>
      </c>
      <c r="O922" s="9" t="str">
        <f t="shared" ref="O922:O931" si="148">TEXT(E922,"#.##0,00")</f>
        <v>50.000,00</v>
      </c>
      <c r="P922" s="8" t="str">
        <f t="shared" ref="P922:P931" si="149">CONVERTIRNUM(E922)</f>
        <v>Cincuenta Mil Bolívares con 00/100</v>
      </c>
      <c r="Q922" s="403" t="str">
        <f t="shared" si="145"/>
        <v/>
      </c>
    </row>
    <row r="923" spans="1:17" x14ac:dyDescent="0.25">
      <c r="A923" s="1">
        <f t="shared" si="141"/>
        <v>922</v>
      </c>
      <c r="C923" s="12" t="s">
        <v>17</v>
      </c>
      <c r="D923" s="2">
        <v>43194</v>
      </c>
      <c r="E923" s="3">
        <f>60000+140000</f>
        <v>200000</v>
      </c>
      <c r="F923" t="s">
        <v>100</v>
      </c>
      <c r="G923" t="s">
        <v>95</v>
      </c>
      <c r="H923" t="s">
        <v>101</v>
      </c>
      <c r="I923" s="10" t="s">
        <v>667</v>
      </c>
      <c r="J923" s="167" t="s">
        <v>22</v>
      </c>
      <c r="L923" s="9" t="str">
        <f t="shared" si="142"/>
        <v>00922</v>
      </c>
      <c r="M923" s="71" t="str">
        <f t="shared" si="143"/>
        <v>04 de abril de 2018</v>
      </c>
      <c r="N923" s="39">
        <f t="shared" si="144"/>
        <v>43191</v>
      </c>
      <c r="O923" s="9" t="str">
        <f t="shared" si="148"/>
        <v>200.000,00</v>
      </c>
      <c r="P923" s="8" t="str">
        <f t="shared" si="149"/>
        <v>Doscientos Mil Bolívares con 00/100</v>
      </c>
      <c r="Q923" s="403" t="str">
        <f t="shared" si="145"/>
        <v/>
      </c>
    </row>
    <row r="924" spans="1:17" x14ac:dyDescent="0.25">
      <c r="A924" s="1">
        <f t="shared" si="141"/>
        <v>923</v>
      </c>
      <c r="C924" s="12" t="s">
        <v>17</v>
      </c>
      <c r="D924" s="2">
        <v>43193</v>
      </c>
      <c r="E924" s="3">
        <v>280000</v>
      </c>
      <c r="F924" t="s">
        <v>444</v>
      </c>
      <c r="G924" t="s">
        <v>445</v>
      </c>
      <c r="H924" t="s">
        <v>75</v>
      </c>
      <c r="I924" s="10" t="s">
        <v>660</v>
      </c>
      <c r="J924" s="167" t="s">
        <v>22</v>
      </c>
      <c r="L924" s="9" t="str">
        <f t="shared" si="142"/>
        <v>00923</v>
      </c>
      <c r="M924" s="71" t="str">
        <f t="shared" si="143"/>
        <v>03 de abril de 2018</v>
      </c>
      <c r="N924" s="39">
        <f t="shared" si="144"/>
        <v>43191</v>
      </c>
      <c r="O924" s="9" t="str">
        <f t="shared" si="148"/>
        <v>280.000,00</v>
      </c>
      <c r="P924" s="8" t="str">
        <f t="shared" si="149"/>
        <v>Doscientos Ochenta Mil Bolívares con 00/100</v>
      </c>
      <c r="Q924" s="403" t="str">
        <f t="shared" si="145"/>
        <v/>
      </c>
    </row>
    <row r="925" spans="1:17" x14ac:dyDescent="0.25">
      <c r="A925" s="1">
        <f t="shared" si="141"/>
        <v>924</v>
      </c>
      <c r="C925" s="12" t="s">
        <v>17</v>
      </c>
      <c r="D925" s="2">
        <v>43194</v>
      </c>
      <c r="E925" s="3">
        <v>140000</v>
      </c>
      <c r="F925" t="s">
        <v>24</v>
      </c>
      <c r="G925" t="s">
        <v>25</v>
      </c>
      <c r="H925" t="s">
        <v>26</v>
      </c>
      <c r="I925" s="10" t="s">
        <v>668</v>
      </c>
      <c r="J925" s="167" t="s">
        <v>22</v>
      </c>
      <c r="L925" s="9" t="str">
        <f t="shared" si="142"/>
        <v>00924</v>
      </c>
      <c r="M925" s="71" t="str">
        <f t="shared" si="143"/>
        <v>04 de abril de 2018</v>
      </c>
      <c r="N925" s="39">
        <f t="shared" si="144"/>
        <v>43191</v>
      </c>
      <c r="O925" s="9" t="str">
        <f t="shared" si="148"/>
        <v>140.000,00</v>
      </c>
      <c r="P925" s="8" t="str">
        <f t="shared" si="149"/>
        <v>Ciento Cuarenta Mil Bolívares con 00/100</v>
      </c>
      <c r="Q925" s="403" t="str">
        <f t="shared" si="145"/>
        <v/>
      </c>
    </row>
    <row r="926" spans="1:17" x14ac:dyDescent="0.25">
      <c r="A926" s="1">
        <f t="shared" si="141"/>
        <v>925</v>
      </c>
      <c r="C926" s="12" t="s">
        <v>17</v>
      </c>
      <c r="D926" s="2">
        <v>43194</v>
      </c>
      <c r="E926" s="3">
        <v>50000</v>
      </c>
      <c r="F926" t="s">
        <v>594</v>
      </c>
      <c r="G926" t="s">
        <v>595</v>
      </c>
      <c r="H926" t="s">
        <v>596</v>
      </c>
      <c r="I926" s="10" t="s">
        <v>669</v>
      </c>
      <c r="J926" s="167" t="s">
        <v>22</v>
      </c>
      <c r="L926" s="9" t="str">
        <f t="shared" si="142"/>
        <v>00925</v>
      </c>
      <c r="M926" s="71" t="str">
        <f t="shared" si="143"/>
        <v>04 de abril de 2018</v>
      </c>
      <c r="N926" s="39">
        <f t="shared" si="144"/>
        <v>43191</v>
      </c>
      <c r="O926" s="9" t="str">
        <f t="shared" si="148"/>
        <v>50.000,00</v>
      </c>
      <c r="P926" s="8" t="str">
        <f t="shared" si="149"/>
        <v>Cincuenta Mil Bolívares con 00/100</v>
      </c>
      <c r="Q926" s="403" t="str">
        <f t="shared" si="145"/>
        <v/>
      </c>
    </row>
    <row r="927" spans="1:17" x14ac:dyDescent="0.25">
      <c r="A927" s="1">
        <f t="shared" si="141"/>
        <v>926</v>
      </c>
      <c r="C927" s="12" t="s">
        <v>17</v>
      </c>
      <c r="D927" s="2">
        <v>43194</v>
      </c>
      <c r="E927" s="3">
        <v>140000</v>
      </c>
      <c r="F927" t="s">
        <v>107</v>
      </c>
      <c r="G927" t="s">
        <v>108</v>
      </c>
      <c r="H927" t="s">
        <v>109</v>
      </c>
      <c r="I927" s="10" t="s">
        <v>668</v>
      </c>
      <c r="J927" s="167" t="s">
        <v>22</v>
      </c>
      <c r="L927" s="9" t="str">
        <f t="shared" si="142"/>
        <v>00926</v>
      </c>
      <c r="M927" s="71" t="str">
        <f t="shared" si="143"/>
        <v>04 de abril de 2018</v>
      </c>
      <c r="N927" s="39">
        <f t="shared" si="144"/>
        <v>43191</v>
      </c>
      <c r="O927" s="9" t="str">
        <f t="shared" si="148"/>
        <v>140.000,00</v>
      </c>
      <c r="P927" s="8" t="str">
        <f t="shared" si="149"/>
        <v>Ciento Cuarenta Mil Bolívares con 00/100</v>
      </c>
      <c r="Q927" s="403" t="str">
        <f t="shared" si="145"/>
        <v/>
      </c>
    </row>
    <row r="928" spans="1:17" x14ac:dyDescent="0.25">
      <c r="A928" s="1">
        <f t="shared" si="141"/>
        <v>927</v>
      </c>
      <c r="C928" s="12" t="s">
        <v>17</v>
      </c>
      <c r="D928" s="2">
        <v>43194</v>
      </c>
      <c r="E928" s="3">
        <v>60000</v>
      </c>
      <c r="F928" t="s">
        <v>107</v>
      </c>
      <c r="G928" t="s">
        <v>108</v>
      </c>
      <c r="H928" t="s">
        <v>109</v>
      </c>
      <c r="I928" s="10" t="s">
        <v>670</v>
      </c>
      <c r="J928" s="167" t="s">
        <v>22</v>
      </c>
      <c r="L928" s="9" t="str">
        <f t="shared" si="142"/>
        <v>00927</v>
      </c>
      <c r="M928" s="71" t="str">
        <f t="shared" si="143"/>
        <v>04 de abril de 2018</v>
      </c>
      <c r="N928" s="39">
        <f t="shared" si="144"/>
        <v>43191</v>
      </c>
      <c r="O928" s="9" t="str">
        <f t="shared" si="148"/>
        <v>60.000,00</v>
      </c>
      <c r="P928" s="8" t="str">
        <f t="shared" si="149"/>
        <v>Sesenta Mil Bolívares con 00/100</v>
      </c>
      <c r="Q928" s="403" t="str">
        <f t="shared" si="145"/>
        <v/>
      </c>
    </row>
    <row r="929" spans="1:17" x14ac:dyDescent="0.25">
      <c r="A929" s="1">
        <f t="shared" si="141"/>
        <v>928</v>
      </c>
      <c r="C929" s="12" t="s">
        <v>17</v>
      </c>
      <c r="D929" s="2">
        <v>43194</v>
      </c>
      <c r="E929" s="3">
        <v>250000</v>
      </c>
      <c r="F929" t="s">
        <v>44</v>
      </c>
      <c r="G929" t="s">
        <v>45</v>
      </c>
      <c r="H929" t="s">
        <v>46</v>
      </c>
      <c r="I929" s="10" t="s">
        <v>671</v>
      </c>
      <c r="J929" s="167" t="s">
        <v>22</v>
      </c>
      <c r="L929" s="9" t="str">
        <f t="shared" si="142"/>
        <v>00928</v>
      </c>
      <c r="M929" s="71" t="str">
        <f t="shared" si="143"/>
        <v>04 de abril de 2018</v>
      </c>
      <c r="N929" s="39">
        <f t="shared" si="144"/>
        <v>43191</v>
      </c>
      <c r="O929" s="9" t="str">
        <f t="shared" si="148"/>
        <v>250.000,00</v>
      </c>
      <c r="P929" s="8" t="str">
        <f t="shared" si="149"/>
        <v>Doscientos Cincuenta Mil Bolívares con 00/100</v>
      </c>
      <c r="Q929" s="403" t="str">
        <f t="shared" si="145"/>
        <v/>
      </c>
    </row>
    <row r="930" spans="1:17" x14ac:dyDescent="0.25">
      <c r="A930" s="1">
        <f t="shared" si="141"/>
        <v>929</v>
      </c>
      <c r="C930" s="12" t="s">
        <v>17</v>
      </c>
      <c r="D930" s="2">
        <v>43194</v>
      </c>
      <c r="E930" s="3">
        <v>140000</v>
      </c>
      <c r="F930" t="s">
        <v>558</v>
      </c>
      <c r="G930" t="s">
        <v>559</v>
      </c>
      <c r="H930" t="s">
        <v>560</v>
      </c>
      <c r="I930" s="10" t="s">
        <v>668</v>
      </c>
      <c r="J930" s="167" t="s">
        <v>22</v>
      </c>
      <c r="L930" s="9" t="str">
        <f t="shared" si="142"/>
        <v>00929</v>
      </c>
      <c r="M930" s="71" t="str">
        <f t="shared" si="143"/>
        <v>04 de abril de 2018</v>
      </c>
      <c r="N930" s="39">
        <f t="shared" si="144"/>
        <v>43191</v>
      </c>
      <c r="O930" s="9" t="str">
        <f t="shared" si="148"/>
        <v>140.000,00</v>
      </c>
      <c r="P930" s="8" t="str">
        <f t="shared" si="149"/>
        <v>Ciento Cuarenta Mil Bolívares con 00/100</v>
      </c>
      <c r="Q930" s="403" t="str">
        <f t="shared" si="145"/>
        <v/>
      </c>
    </row>
    <row r="931" spans="1:17" x14ac:dyDescent="0.25">
      <c r="A931" s="1">
        <f t="shared" si="141"/>
        <v>930</v>
      </c>
      <c r="C931" s="12" t="s">
        <v>17</v>
      </c>
      <c r="D931" s="2">
        <v>43194</v>
      </c>
      <c r="E931" s="3">
        <v>280000</v>
      </c>
      <c r="F931" t="s">
        <v>90</v>
      </c>
      <c r="G931" t="s">
        <v>91</v>
      </c>
      <c r="H931" t="s">
        <v>92</v>
      </c>
      <c r="I931" s="10" t="s">
        <v>660</v>
      </c>
      <c r="J931" s="167" t="s">
        <v>22</v>
      </c>
      <c r="L931" s="9" t="str">
        <f t="shared" si="142"/>
        <v>00930</v>
      </c>
      <c r="M931" s="71" t="str">
        <f t="shared" si="143"/>
        <v>04 de abril de 2018</v>
      </c>
      <c r="N931" s="39">
        <f t="shared" si="144"/>
        <v>43191</v>
      </c>
      <c r="O931" s="9" t="str">
        <f t="shared" si="148"/>
        <v>280.000,00</v>
      </c>
      <c r="P931" s="8" t="str">
        <f t="shared" si="149"/>
        <v>Doscientos Ochenta Mil Bolívares con 00/100</v>
      </c>
      <c r="Q931" s="403" t="str">
        <f t="shared" si="145"/>
        <v/>
      </c>
    </row>
    <row r="932" spans="1:17" x14ac:dyDescent="0.25">
      <c r="A932" s="1">
        <f t="shared" si="141"/>
        <v>931</v>
      </c>
      <c r="C932" s="12" t="s">
        <v>17</v>
      </c>
      <c r="D932" s="2">
        <v>43194</v>
      </c>
      <c r="E932" s="3">
        <v>120000</v>
      </c>
      <c r="F932" t="s">
        <v>90</v>
      </c>
      <c r="G932" t="s">
        <v>91</v>
      </c>
      <c r="H932" t="s">
        <v>92</v>
      </c>
      <c r="I932" s="10" t="s">
        <v>672</v>
      </c>
      <c r="J932" s="167" t="s">
        <v>673</v>
      </c>
      <c r="L932" s="9" t="str">
        <f t="shared" si="142"/>
        <v>00931</v>
      </c>
      <c r="M932" s="71" t="str">
        <f t="shared" si="143"/>
        <v>04 de abril de 2018</v>
      </c>
      <c r="N932" s="39">
        <f t="shared" si="144"/>
        <v>43191</v>
      </c>
      <c r="O932" s="9" t="str">
        <f t="shared" ref="O932:O959" si="150">TEXT(E932,"#.##0,00")</f>
        <v>120.000,00</v>
      </c>
      <c r="P932" s="8" t="str">
        <f t="shared" ref="P932:P959" si="151">CONVERTIRNUM(E932)</f>
        <v>Ciento Veinte Mil Bolívares con 00/100</v>
      </c>
      <c r="Q932" s="403" t="str">
        <f t="shared" si="145"/>
        <v/>
      </c>
    </row>
    <row r="933" spans="1:17" x14ac:dyDescent="0.25">
      <c r="A933" s="1">
        <f t="shared" si="141"/>
        <v>932</v>
      </c>
      <c r="C933" s="12" t="s">
        <v>17</v>
      </c>
      <c r="D933" s="2">
        <v>43195</v>
      </c>
      <c r="E933" s="3">
        <v>140000</v>
      </c>
      <c r="F933" t="s">
        <v>18</v>
      </c>
      <c r="G933" t="s">
        <v>19</v>
      </c>
      <c r="H933" t="s">
        <v>20</v>
      </c>
      <c r="I933" s="10" t="s">
        <v>674</v>
      </c>
      <c r="J933" s="167" t="s">
        <v>22</v>
      </c>
      <c r="L933" s="9" t="str">
        <f t="shared" si="142"/>
        <v>00932</v>
      </c>
      <c r="M933" s="71" t="str">
        <f t="shared" si="143"/>
        <v>05 de abril de 2018</v>
      </c>
      <c r="N933" s="39">
        <f t="shared" si="144"/>
        <v>43191</v>
      </c>
      <c r="O933" s="9" t="str">
        <f t="shared" si="150"/>
        <v>140.000,00</v>
      </c>
      <c r="P933" s="8" t="str">
        <f t="shared" si="151"/>
        <v>Ciento Cuarenta Mil Bolívares con 00/100</v>
      </c>
      <c r="Q933" s="403" t="str">
        <f t="shared" si="145"/>
        <v/>
      </c>
    </row>
    <row r="934" spans="1:17" x14ac:dyDescent="0.25">
      <c r="A934" s="390">
        <f t="shared" si="141"/>
        <v>933</v>
      </c>
      <c r="C934" s="12" t="s">
        <v>17</v>
      </c>
      <c r="D934" s="2">
        <v>43195</v>
      </c>
      <c r="E934" s="3">
        <v>140000</v>
      </c>
      <c r="F934" t="s">
        <v>439</v>
      </c>
      <c r="G934" t="s">
        <v>440</v>
      </c>
      <c r="H934" t="s">
        <v>441</v>
      </c>
      <c r="I934" s="10" t="s">
        <v>675</v>
      </c>
      <c r="J934" s="167" t="s">
        <v>22</v>
      </c>
      <c r="L934" s="9" t="str">
        <f t="shared" si="142"/>
        <v>00933</v>
      </c>
      <c r="M934" s="71" t="str">
        <f t="shared" si="143"/>
        <v>05 de abril de 2018</v>
      </c>
      <c r="N934" s="39">
        <f t="shared" si="144"/>
        <v>43191</v>
      </c>
      <c r="O934" s="9" t="str">
        <f t="shared" si="150"/>
        <v>140.000,00</v>
      </c>
      <c r="P934" s="8" t="str">
        <f t="shared" si="151"/>
        <v>Ciento Cuarenta Mil Bolívares con 00/100</v>
      </c>
      <c r="Q934" s="403" t="str">
        <f t="shared" si="145"/>
        <v/>
      </c>
    </row>
    <row r="935" spans="1:17" x14ac:dyDescent="0.25">
      <c r="A935" s="1">
        <f t="shared" si="141"/>
        <v>934</v>
      </c>
      <c r="C935" s="12" t="s">
        <v>17</v>
      </c>
      <c r="D935" s="2">
        <v>43195</v>
      </c>
      <c r="E935" s="3">
        <v>140000</v>
      </c>
      <c r="F935" t="s">
        <v>219</v>
      </c>
      <c r="G935" t="s">
        <v>220</v>
      </c>
      <c r="H935" t="s">
        <v>221</v>
      </c>
      <c r="I935" s="10" t="s">
        <v>676</v>
      </c>
      <c r="J935" s="167" t="s">
        <v>22</v>
      </c>
      <c r="L935" s="9" t="str">
        <f t="shared" si="142"/>
        <v>00934</v>
      </c>
      <c r="M935" s="71" t="str">
        <f t="shared" si="143"/>
        <v>05 de abril de 2018</v>
      </c>
      <c r="N935" s="39">
        <f t="shared" si="144"/>
        <v>43191</v>
      </c>
      <c r="O935" s="9" t="str">
        <f t="shared" si="150"/>
        <v>140.000,00</v>
      </c>
      <c r="P935" s="8" t="str">
        <f t="shared" si="151"/>
        <v>Ciento Cuarenta Mil Bolívares con 00/100</v>
      </c>
      <c r="Q935" s="403" t="str">
        <f t="shared" si="145"/>
        <v/>
      </c>
    </row>
    <row r="936" spans="1:17" x14ac:dyDescent="0.25">
      <c r="A936" s="1">
        <f t="shared" si="141"/>
        <v>935</v>
      </c>
      <c r="C936" s="12" t="s">
        <v>17</v>
      </c>
      <c r="D936" s="2">
        <v>43195</v>
      </c>
      <c r="E936" s="3">
        <v>300000</v>
      </c>
      <c r="F936" t="s">
        <v>53</v>
      </c>
      <c r="G936" t="s">
        <v>677</v>
      </c>
      <c r="H936" t="s">
        <v>55</v>
      </c>
      <c r="I936" s="10" t="s">
        <v>678</v>
      </c>
      <c r="J936" s="167" t="s">
        <v>22</v>
      </c>
      <c r="L936" s="9" t="str">
        <f t="shared" si="142"/>
        <v>00935</v>
      </c>
      <c r="M936" s="71" t="str">
        <f t="shared" si="143"/>
        <v>05 de abril de 2018</v>
      </c>
      <c r="N936" s="39">
        <f t="shared" si="144"/>
        <v>43191</v>
      </c>
      <c r="O936" s="9" t="str">
        <f t="shared" si="150"/>
        <v>300.000,00</v>
      </c>
      <c r="P936" s="8" t="str">
        <f t="shared" si="151"/>
        <v>Trescientos Mil Bolívares con 00/100</v>
      </c>
      <c r="Q936" s="403" t="str">
        <f t="shared" si="145"/>
        <v/>
      </c>
    </row>
    <row r="937" spans="1:17" ht="15.75" thickBot="1" x14ac:dyDescent="0.3">
      <c r="A937" s="1">
        <f>A936+1</f>
        <v>936</v>
      </c>
      <c r="C937" s="12" t="s">
        <v>17</v>
      </c>
      <c r="D937" s="2">
        <v>43195</v>
      </c>
      <c r="E937" s="3">
        <v>140000</v>
      </c>
      <c r="F937" t="s">
        <v>70</v>
      </c>
      <c r="G937" t="s">
        <v>71</v>
      </c>
      <c r="H937" t="s">
        <v>72</v>
      </c>
      <c r="I937" s="10" t="s">
        <v>668</v>
      </c>
      <c r="J937" s="167" t="s">
        <v>22</v>
      </c>
      <c r="L937" s="9" t="str">
        <f t="shared" si="142"/>
        <v>00936</v>
      </c>
      <c r="M937" s="71" t="str">
        <f t="shared" si="143"/>
        <v>05 de abril de 2018</v>
      </c>
      <c r="N937" s="39">
        <f t="shared" si="144"/>
        <v>43191</v>
      </c>
      <c r="O937" s="9" t="str">
        <f t="shared" si="150"/>
        <v>140.000,00</v>
      </c>
      <c r="P937" s="8" t="str">
        <f t="shared" si="151"/>
        <v>Ciento Cuarenta Mil Bolívares con 00/100</v>
      </c>
      <c r="Q937" s="403" t="str">
        <f t="shared" si="145"/>
        <v/>
      </c>
    </row>
    <row r="938" spans="1:17" ht="15.75" thickBot="1" x14ac:dyDescent="0.3">
      <c r="A938" s="1">
        <f t="shared" ref="A938:A1001" si="152">A937+1</f>
        <v>937</v>
      </c>
      <c r="C938" s="12" t="s">
        <v>17</v>
      </c>
      <c r="D938" s="2">
        <v>43195</v>
      </c>
      <c r="E938" s="3">
        <v>140000</v>
      </c>
      <c r="F938" t="s">
        <v>239</v>
      </c>
      <c r="G938" s="225" t="s">
        <v>240</v>
      </c>
      <c r="H938" t="s">
        <v>241</v>
      </c>
      <c r="I938" s="10" t="s">
        <v>632</v>
      </c>
      <c r="J938" s="167" t="s">
        <v>22</v>
      </c>
      <c r="L938" s="9" t="str">
        <f t="shared" si="142"/>
        <v>00937</v>
      </c>
      <c r="M938" s="71" t="str">
        <f t="shared" si="143"/>
        <v>05 de abril de 2018</v>
      </c>
      <c r="N938" s="39">
        <f t="shared" si="144"/>
        <v>43191</v>
      </c>
      <c r="O938" s="9" t="str">
        <f t="shared" si="150"/>
        <v>140.000,00</v>
      </c>
      <c r="P938" s="8" t="str">
        <f t="shared" si="151"/>
        <v>Ciento Cuarenta Mil Bolívares con 00/100</v>
      </c>
      <c r="Q938" s="403" t="str">
        <f t="shared" si="145"/>
        <v/>
      </c>
    </row>
    <row r="939" spans="1:17" x14ac:dyDescent="0.25">
      <c r="A939" s="1">
        <f t="shared" si="152"/>
        <v>938</v>
      </c>
      <c r="C939" s="12" t="s">
        <v>17</v>
      </c>
      <c r="D939" s="2">
        <v>43195</v>
      </c>
      <c r="E939" s="3">
        <v>280000</v>
      </c>
      <c r="F939" t="s">
        <v>633</v>
      </c>
      <c r="G939" t="s">
        <v>634</v>
      </c>
      <c r="H939" t="s">
        <v>635</v>
      </c>
      <c r="I939" s="10" t="s">
        <v>660</v>
      </c>
      <c r="J939" s="167" t="s">
        <v>22</v>
      </c>
      <c r="L939" s="9" t="str">
        <f t="shared" si="142"/>
        <v>00938</v>
      </c>
      <c r="M939" s="71" t="str">
        <f t="shared" si="143"/>
        <v>05 de abril de 2018</v>
      </c>
      <c r="N939" s="39">
        <f t="shared" si="144"/>
        <v>43191</v>
      </c>
      <c r="O939" s="9" t="str">
        <f t="shared" si="150"/>
        <v>280.000,00</v>
      </c>
      <c r="P939" s="8" t="str">
        <f t="shared" si="151"/>
        <v>Doscientos Ochenta Mil Bolívares con 00/100</v>
      </c>
      <c r="Q939" s="403" t="str">
        <f t="shared" si="145"/>
        <v/>
      </c>
    </row>
    <row r="940" spans="1:17" x14ac:dyDescent="0.25">
      <c r="A940" s="1">
        <f t="shared" si="152"/>
        <v>939</v>
      </c>
      <c r="C940" s="12" t="s">
        <v>17</v>
      </c>
      <c r="D940" s="2">
        <v>43195</v>
      </c>
      <c r="E940" s="3">
        <v>80000</v>
      </c>
      <c r="F940" t="s">
        <v>84</v>
      </c>
      <c r="G940" t="s">
        <v>85</v>
      </c>
      <c r="H940" t="s">
        <v>86</v>
      </c>
      <c r="I940" s="10" t="s">
        <v>669</v>
      </c>
      <c r="J940" s="167" t="s">
        <v>22</v>
      </c>
      <c r="L940" s="9" t="str">
        <f t="shared" si="142"/>
        <v>00939</v>
      </c>
      <c r="M940" s="71" t="str">
        <f t="shared" si="143"/>
        <v>05 de abril de 2018</v>
      </c>
      <c r="N940" s="39">
        <f t="shared" si="144"/>
        <v>43191</v>
      </c>
      <c r="O940" s="9" t="str">
        <f t="shared" si="150"/>
        <v>80.000,00</v>
      </c>
      <c r="P940" s="8" t="str">
        <f t="shared" si="151"/>
        <v>Ochenta Mil Bolívares con 00/100</v>
      </c>
      <c r="Q940" s="403" t="str">
        <f t="shared" si="145"/>
        <v/>
      </c>
    </row>
    <row r="941" spans="1:17" x14ac:dyDescent="0.25">
      <c r="A941" s="1">
        <f t="shared" si="152"/>
        <v>940</v>
      </c>
      <c r="C941" s="12" t="s">
        <v>17</v>
      </c>
      <c r="D941" s="2">
        <v>43195</v>
      </c>
      <c r="E941" s="3">
        <v>140000</v>
      </c>
      <c r="F941" t="s">
        <v>40</v>
      </c>
      <c r="G941" t="s">
        <v>41</v>
      </c>
      <c r="H941" t="s">
        <v>42</v>
      </c>
      <c r="I941" s="10" t="s">
        <v>668</v>
      </c>
      <c r="J941" s="167" t="s">
        <v>22</v>
      </c>
      <c r="L941" s="9" t="str">
        <f t="shared" si="142"/>
        <v>00940</v>
      </c>
      <c r="M941" s="71" t="str">
        <f t="shared" si="143"/>
        <v>05 de abril de 2018</v>
      </c>
      <c r="N941" s="39">
        <f t="shared" si="144"/>
        <v>43191</v>
      </c>
      <c r="O941" s="9" t="str">
        <f t="shared" si="150"/>
        <v>140.000,00</v>
      </c>
      <c r="P941" s="8" t="str">
        <f t="shared" si="151"/>
        <v>Ciento Cuarenta Mil Bolívares con 00/100</v>
      </c>
      <c r="Q941" s="403" t="str">
        <f t="shared" si="145"/>
        <v/>
      </c>
    </row>
    <row r="942" spans="1:17" x14ac:dyDescent="0.25">
      <c r="A942" s="1">
        <f t="shared" si="152"/>
        <v>941</v>
      </c>
      <c r="C942" s="12" t="s">
        <v>17</v>
      </c>
      <c r="D942" s="2">
        <v>43195</v>
      </c>
      <c r="E942" s="3">
        <v>60000</v>
      </c>
      <c r="F942" t="s">
        <v>40</v>
      </c>
      <c r="G942" t="s">
        <v>41</v>
      </c>
      <c r="H942" t="s">
        <v>42</v>
      </c>
      <c r="I942" s="10" t="s">
        <v>672</v>
      </c>
      <c r="J942" s="167" t="s">
        <v>673</v>
      </c>
      <c r="L942" s="9" t="str">
        <f t="shared" si="142"/>
        <v>00941</v>
      </c>
      <c r="M942" s="71" t="str">
        <f t="shared" si="143"/>
        <v>05 de abril de 2018</v>
      </c>
      <c r="N942" s="39">
        <f t="shared" si="144"/>
        <v>43191</v>
      </c>
      <c r="O942" s="9" t="str">
        <f t="shared" si="150"/>
        <v>60.000,00</v>
      </c>
      <c r="P942" s="8" t="str">
        <f t="shared" si="151"/>
        <v>Sesenta Mil Bolívares con 00/100</v>
      </c>
      <c r="Q942" s="403" t="str">
        <f t="shared" si="145"/>
        <v/>
      </c>
    </row>
    <row r="943" spans="1:17" x14ac:dyDescent="0.25">
      <c r="A943" s="1">
        <f t="shared" si="152"/>
        <v>942</v>
      </c>
      <c r="C943" s="12" t="s">
        <v>17</v>
      </c>
      <c r="D943" s="2">
        <v>43078</v>
      </c>
      <c r="E943" s="3">
        <v>50000</v>
      </c>
      <c r="F943" t="s">
        <v>134</v>
      </c>
      <c r="G943" t="s">
        <v>135</v>
      </c>
      <c r="H943" t="s">
        <v>136</v>
      </c>
      <c r="I943" s="10" t="s">
        <v>575</v>
      </c>
      <c r="J943" s="167" t="s">
        <v>22</v>
      </c>
      <c r="L943" s="9" t="str">
        <f t="shared" si="142"/>
        <v>00942</v>
      </c>
      <c r="M943" s="71" t="str">
        <f t="shared" si="143"/>
        <v>09 de diciembre de 2017</v>
      </c>
      <c r="N943" s="39">
        <f t="shared" si="144"/>
        <v>43070</v>
      </c>
      <c r="O943" s="9" t="str">
        <f t="shared" si="150"/>
        <v>50.000,00</v>
      </c>
      <c r="P943" s="8" t="str">
        <f t="shared" si="151"/>
        <v>Cincuenta Mil Bolívares con 00/100</v>
      </c>
      <c r="Q943" s="403" t="str">
        <f t="shared" si="145"/>
        <v/>
      </c>
    </row>
    <row r="944" spans="1:17" x14ac:dyDescent="0.25">
      <c r="A944" s="1">
        <f t="shared" si="152"/>
        <v>943</v>
      </c>
      <c r="C944" s="12" t="s">
        <v>17</v>
      </c>
      <c r="D944" s="2">
        <v>43196</v>
      </c>
      <c r="E944" s="3">
        <v>140000</v>
      </c>
      <c r="F944" t="s">
        <v>62</v>
      </c>
      <c r="G944" t="s">
        <v>63</v>
      </c>
      <c r="H944" t="s">
        <v>64</v>
      </c>
      <c r="I944" s="10" t="s">
        <v>630</v>
      </c>
      <c r="J944" s="167" t="s">
        <v>22</v>
      </c>
      <c r="L944" s="9" t="str">
        <f t="shared" si="142"/>
        <v>00943</v>
      </c>
      <c r="M944" s="71" t="str">
        <f t="shared" si="143"/>
        <v>06 de abril de 2018</v>
      </c>
      <c r="N944" s="39">
        <f t="shared" si="144"/>
        <v>43191</v>
      </c>
      <c r="O944" s="9" t="str">
        <f t="shared" si="150"/>
        <v>140.000,00</v>
      </c>
      <c r="P944" s="8" t="str">
        <f t="shared" si="151"/>
        <v>Ciento Cuarenta Mil Bolívares con 00/100</v>
      </c>
      <c r="Q944" s="403" t="str">
        <f t="shared" si="145"/>
        <v/>
      </c>
    </row>
    <row r="945" spans="1:17" x14ac:dyDescent="0.25">
      <c r="A945" s="1">
        <f t="shared" si="152"/>
        <v>944</v>
      </c>
      <c r="C945" s="12" t="s">
        <v>17</v>
      </c>
      <c r="D945" s="2">
        <v>43196</v>
      </c>
      <c r="E945" s="3">
        <v>260000</v>
      </c>
      <c r="F945" t="s">
        <v>197</v>
      </c>
      <c r="G945" t="s">
        <v>198</v>
      </c>
      <c r="H945" t="s">
        <v>199</v>
      </c>
      <c r="I945" s="10" t="s">
        <v>660</v>
      </c>
      <c r="J945" s="167" t="s">
        <v>22</v>
      </c>
      <c r="L945" s="9" t="str">
        <f t="shared" si="142"/>
        <v>00944</v>
      </c>
      <c r="M945" s="71" t="str">
        <f t="shared" si="143"/>
        <v>06 de abril de 2018</v>
      </c>
      <c r="N945" s="39">
        <f t="shared" si="144"/>
        <v>43191</v>
      </c>
      <c r="O945" s="9" t="str">
        <f t="shared" si="150"/>
        <v>260.000,00</v>
      </c>
      <c r="P945" s="8" t="str">
        <f t="shared" si="151"/>
        <v>Doscientos Sesenta Mil Bolívares con 00/100</v>
      </c>
      <c r="Q945" s="403" t="str">
        <f t="shared" si="145"/>
        <v/>
      </c>
    </row>
    <row r="946" spans="1:17" x14ac:dyDescent="0.25">
      <c r="A946" s="1">
        <f t="shared" si="152"/>
        <v>945</v>
      </c>
      <c r="C946" s="12" t="s">
        <v>17</v>
      </c>
      <c r="D946" s="2">
        <v>43197</v>
      </c>
      <c r="E946" s="3">
        <v>80000</v>
      </c>
      <c r="F946" t="s">
        <v>48</v>
      </c>
      <c r="G946" t="s">
        <v>49</v>
      </c>
      <c r="H946" t="s">
        <v>50</v>
      </c>
      <c r="I946" s="10" t="s">
        <v>679</v>
      </c>
      <c r="J946" s="167" t="s">
        <v>22</v>
      </c>
      <c r="L946" s="9" t="str">
        <f t="shared" si="142"/>
        <v>00945</v>
      </c>
      <c r="M946" s="71" t="str">
        <f t="shared" si="143"/>
        <v>07 de abril de 2018</v>
      </c>
      <c r="N946" s="39">
        <f t="shared" si="144"/>
        <v>43191</v>
      </c>
      <c r="O946" s="9" t="str">
        <f t="shared" si="150"/>
        <v>80.000,00</v>
      </c>
      <c r="P946" s="8" t="str">
        <f t="shared" si="151"/>
        <v>Ochenta Mil Bolívares con 00/100</v>
      </c>
      <c r="Q946" s="403" t="str">
        <f t="shared" si="145"/>
        <v/>
      </c>
    </row>
    <row r="947" spans="1:17" ht="15.75" thickBot="1" x14ac:dyDescent="0.3">
      <c r="A947" s="1">
        <f t="shared" si="152"/>
        <v>946</v>
      </c>
      <c r="C947" s="12" t="s">
        <v>17</v>
      </c>
      <c r="D947" s="2">
        <v>43198</v>
      </c>
      <c r="E947" s="3">
        <v>200000</v>
      </c>
      <c r="F947" t="s">
        <v>118</v>
      </c>
      <c r="G947" t="s">
        <v>119</v>
      </c>
      <c r="H947" t="s">
        <v>120</v>
      </c>
      <c r="I947" s="10" t="s">
        <v>680</v>
      </c>
      <c r="J947" s="167" t="s">
        <v>22</v>
      </c>
      <c r="L947" s="9" t="str">
        <f t="shared" si="142"/>
        <v>00946</v>
      </c>
      <c r="M947" s="71" t="str">
        <f t="shared" si="143"/>
        <v>08 de abril de 2018</v>
      </c>
      <c r="N947" s="39">
        <f t="shared" si="144"/>
        <v>43191</v>
      </c>
      <c r="O947" s="9" t="str">
        <f t="shared" si="150"/>
        <v>200.000,00</v>
      </c>
      <c r="P947" s="8" t="str">
        <f t="shared" si="151"/>
        <v>Doscientos Mil Bolívares con 00/100</v>
      </c>
      <c r="Q947" s="403" t="str">
        <f t="shared" si="145"/>
        <v/>
      </c>
    </row>
    <row r="948" spans="1:17" ht="15.75" thickBot="1" x14ac:dyDescent="0.3">
      <c r="A948" s="1">
        <f t="shared" si="152"/>
        <v>947</v>
      </c>
      <c r="C948" s="12" t="s">
        <v>17</v>
      </c>
      <c r="D948" s="2">
        <v>43198</v>
      </c>
      <c r="E948" s="3">
        <v>140000</v>
      </c>
      <c r="F948" t="s">
        <v>177</v>
      </c>
      <c r="G948" s="27" t="s">
        <v>58</v>
      </c>
      <c r="H948" t="s">
        <v>179</v>
      </c>
      <c r="I948" s="10" t="s">
        <v>668</v>
      </c>
      <c r="J948" s="167" t="s">
        <v>22</v>
      </c>
      <c r="L948" s="9" t="str">
        <f t="shared" si="142"/>
        <v>00947</v>
      </c>
      <c r="M948" s="71" t="str">
        <f t="shared" si="143"/>
        <v>08 de abril de 2018</v>
      </c>
      <c r="N948" s="39">
        <f t="shared" si="144"/>
        <v>43191</v>
      </c>
      <c r="O948" s="9" t="str">
        <f t="shared" si="150"/>
        <v>140.000,00</v>
      </c>
      <c r="P948" s="8" t="str">
        <f t="shared" si="151"/>
        <v>Ciento Cuarenta Mil Bolívares con 00/100</v>
      </c>
      <c r="Q948" s="403" t="str">
        <f t="shared" si="145"/>
        <v/>
      </c>
    </row>
    <row r="949" spans="1:17" x14ac:dyDescent="0.25">
      <c r="A949" s="1">
        <f t="shared" si="152"/>
        <v>948</v>
      </c>
      <c r="C949" s="12" t="s">
        <v>17</v>
      </c>
      <c r="D949" s="2">
        <v>43200</v>
      </c>
      <c r="E949" s="3">
        <v>280000</v>
      </c>
      <c r="F949" t="s">
        <v>363</v>
      </c>
      <c r="G949" t="s">
        <v>364</v>
      </c>
      <c r="H949" t="s">
        <v>365</v>
      </c>
      <c r="I949" s="10" t="s">
        <v>660</v>
      </c>
      <c r="J949" s="167" t="s">
        <v>22</v>
      </c>
      <c r="L949" s="9" t="str">
        <f t="shared" si="142"/>
        <v>00948</v>
      </c>
      <c r="M949" s="71" t="str">
        <f t="shared" si="143"/>
        <v>10 de abril de 2018</v>
      </c>
      <c r="N949" s="39">
        <f t="shared" si="144"/>
        <v>43191</v>
      </c>
      <c r="O949" s="9" t="str">
        <f t="shared" si="150"/>
        <v>280.000,00</v>
      </c>
      <c r="P949" s="8" t="str">
        <f t="shared" si="151"/>
        <v>Doscientos Ochenta Mil Bolívares con 00/100</v>
      </c>
      <c r="Q949" s="403" t="str">
        <f t="shared" si="145"/>
        <v/>
      </c>
    </row>
    <row r="950" spans="1:17" ht="15.75" thickBot="1" x14ac:dyDescent="0.3">
      <c r="A950" s="1">
        <f t="shared" si="152"/>
        <v>949</v>
      </c>
      <c r="C950" s="12" t="s">
        <v>17</v>
      </c>
      <c r="D950" s="2">
        <v>43200</v>
      </c>
      <c r="E950" s="3">
        <v>200000</v>
      </c>
      <c r="F950" t="s">
        <v>484</v>
      </c>
      <c r="G950" t="s">
        <v>485</v>
      </c>
      <c r="H950" t="s">
        <v>486</v>
      </c>
      <c r="I950" s="10" t="s">
        <v>681</v>
      </c>
      <c r="J950" s="167" t="s">
        <v>22</v>
      </c>
      <c r="L950" s="9" t="str">
        <f t="shared" si="142"/>
        <v>00949</v>
      </c>
      <c r="M950" s="71" t="str">
        <f t="shared" si="143"/>
        <v>10 de abril de 2018</v>
      </c>
      <c r="N950" s="39">
        <f t="shared" si="144"/>
        <v>43191</v>
      </c>
      <c r="O950" s="9" t="str">
        <f t="shared" si="150"/>
        <v>200.000,00</v>
      </c>
      <c r="P950" s="8" t="str">
        <f t="shared" si="151"/>
        <v>Doscientos Mil Bolívares con 00/100</v>
      </c>
      <c r="Q950" s="403" t="str">
        <f t="shared" si="145"/>
        <v/>
      </c>
    </row>
    <row r="951" spans="1:17" ht="15.75" thickBot="1" x14ac:dyDescent="0.3">
      <c r="A951" s="1">
        <f t="shared" si="152"/>
        <v>950</v>
      </c>
      <c r="C951" s="12" t="s">
        <v>17</v>
      </c>
      <c r="D951" s="2">
        <v>43201</v>
      </c>
      <c r="E951" s="3">
        <v>200000</v>
      </c>
      <c r="F951" s="36" t="s">
        <v>423</v>
      </c>
      <c r="G951" s="27" t="s">
        <v>58</v>
      </c>
      <c r="H951" t="s">
        <v>424</v>
      </c>
      <c r="I951" s="10" t="s">
        <v>668</v>
      </c>
      <c r="J951" s="167" t="s">
        <v>22</v>
      </c>
      <c r="L951" s="9" t="str">
        <f t="shared" si="142"/>
        <v>00950</v>
      </c>
      <c r="M951" s="71" t="str">
        <f t="shared" si="143"/>
        <v>11 de abril de 2018</v>
      </c>
      <c r="N951" s="39">
        <f t="shared" si="144"/>
        <v>43191</v>
      </c>
      <c r="O951" s="9" t="str">
        <f t="shared" si="150"/>
        <v>200.000,00</v>
      </c>
      <c r="P951" s="8" t="str">
        <f t="shared" si="151"/>
        <v>Doscientos Mil Bolívares con 00/100</v>
      </c>
      <c r="Q951" s="403" t="str">
        <f t="shared" si="145"/>
        <v/>
      </c>
    </row>
    <row r="952" spans="1:17" x14ac:dyDescent="0.25">
      <c r="A952" s="1">
        <f t="shared" si="152"/>
        <v>951</v>
      </c>
      <c r="C952" s="12" t="s">
        <v>17</v>
      </c>
      <c r="D952" s="2">
        <v>43201</v>
      </c>
      <c r="E952" s="3">
        <v>140000</v>
      </c>
      <c r="F952" t="s">
        <v>152</v>
      </c>
      <c r="G952" t="s">
        <v>153</v>
      </c>
      <c r="H952" t="s">
        <v>154</v>
      </c>
      <c r="I952" s="10" t="s">
        <v>668</v>
      </c>
      <c r="J952" s="167" t="s">
        <v>22</v>
      </c>
      <c r="L952" s="9" t="str">
        <f t="shared" si="142"/>
        <v>00951</v>
      </c>
      <c r="M952" s="71" t="str">
        <f t="shared" si="143"/>
        <v>11 de abril de 2018</v>
      </c>
      <c r="N952" s="39">
        <f t="shared" si="144"/>
        <v>43191</v>
      </c>
      <c r="O952" s="9" t="str">
        <f t="shared" si="150"/>
        <v>140.000,00</v>
      </c>
      <c r="P952" s="8" t="str">
        <f t="shared" si="151"/>
        <v>Ciento Cuarenta Mil Bolívares con 00/100</v>
      </c>
      <c r="Q952" s="403" t="str">
        <f t="shared" si="145"/>
        <v/>
      </c>
    </row>
    <row r="953" spans="1:17" x14ac:dyDescent="0.25">
      <c r="A953" s="1">
        <f t="shared" si="152"/>
        <v>952</v>
      </c>
      <c r="C953" s="12" t="s">
        <v>17</v>
      </c>
      <c r="D953" s="2">
        <v>43201</v>
      </c>
      <c r="E953" s="3">
        <v>140000</v>
      </c>
      <c r="F953" t="s">
        <v>107</v>
      </c>
      <c r="G953" t="s">
        <v>108</v>
      </c>
      <c r="H953" t="s">
        <v>109</v>
      </c>
      <c r="I953" s="10" t="s">
        <v>670</v>
      </c>
      <c r="J953" s="167" t="s">
        <v>22</v>
      </c>
      <c r="L953" s="9" t="str">
        <f t="shared" si="142"/>
        <v>00952</v>
      </c>
      <c r="M953" s="71" t="str">
        <f t="shared" si="143"/>
        <v>11 de abril de 2018</v>
      </c>
      <c r="N953" s="39">
        <f t="shared" si="144"/>
        <v>43191</v>
      </c>
      <c r="O953" s="9" t="str">
        <f t="shared" si="150"/>
        <v>140.000,00</v>
      </c>
      <c r="P953" s="8" t="str">
        <f t="shared" si="151"/>
        <v>Ciento Cuarenta Mil Bolívares con 00/100</v>
      </c>
      <c r="Q953" s="403" t="str">
        <f t="shared" si="145"/>
        <v/>
      </c>
    </row>
    <row r="954" spans="1:17" x14ac:dyDescent="0.25">
      <c r="A954" s="1">
        <f t="shared" si="152"/>
        <v>953</v>
      </c>
      <c r="C954" s="12" t="s">
        <v>17</v>
      </c>
      <c r="D954" s="2">
        <v>43203</v>
      </c>
      <c r="E954" s="3">
        <v>140000</v>
      </c>
      <c r="F954" t="s">
        <v>201</v>
      </c>
      <c r="G954" t="s">
        <v>202</v>
      </c>
      <c r="H954" t="s">
        <v>203</v>
      </c>
      <c r="I954" s="10" t="s">
        <v>668</v>
      </c>
      <c r="J954" s="167" t="s">
        <v>22</v>
      </c>
      <c r="L954" s="9" t="str">
        <f t="shared" si="142"/>
        <v>00953</v>
      </c>
      <c r="M954" s="71" t="str">
        <f t="shared" si="143"/>
        <v>13 de abril de 2018</v>
      </c>
      <c r="N954" s="39">
        <f t="shared" si="144"/>
        <v>43191</v>
      </c>
      <c r="O954" s="9" t="str">
        <f t="shared" si="150"/>
        <v>140.000,00</v>
      </c>
      <c r="P954" s="8" t="str">
        <f t="shared" si="151"/>
        <v>Ciento Cuarenta Mil Bolívares con 00/100</v>
      </c>
      <c r="Q954" s="403" t="str">
        <f t="shared" si="145"/>
        <v/>
      </c>
    </row>
    <row r="955" spans="1:17" x14ac:dyDescent="0.25">
      <c r="A955" s="1">
        <f t="shared" si="152"/>
        <v>954</v>
      </c>
      <c r="C955" s="12" t="s">
        <v>17</v>
      </c>
      <c r="D955" s="2">
        <v>43203</v>
      </c>
      <c r="E955" s="3">
        <v>60000</v>
      </c>
      <c r="F955" t="s">
        <v>201</v>
      </c>
      <c r="G955" t="s">
        <v>202</v>
      </c>
      <c r="H955" t="s">
        <v>203</v>
      </c>
      <c r="I955" s="10" t="s">
        <v>672</v>
      </c>
      <c r="J955" s="167" t="s">
        <v>673</v>
      </c>
      <c r="L955" s="9" t="str">
        <f t="shared" si="142"/>
        <v>00954</v>
      </c>
      <c r="M955" s="71" t="str">
        <f t="shared" si="143"/>
        <v>13 de abril de 2018</v>
      </c>
      <c r="N955" s="39">
        <f t="shared" si="144"/>
        <v>43191</v>
      </c>
      <c r="O955" s="9" t="str">
        <f t="shared" si="150"/>
        <v>60.000,00</v>
      </c>
      <c r="P955" s="8" t="str">
        <f t="shared" si="151"/>
        <v>Sesenta Mil Bolívares con 00/100</v>
      </c>
      <c r="Q955" s="403" t="str">
        <f t="shared" si="145"/>
        <v/>
      </c>
    </row>
    <row r="956" spans="1:17" x14ac:dyDescent="0.25">
      <c r="A956" s="1">
        <f t="shared" si="152"/>
        <v>955</v>
      </c>
      <c r="C956" s="12" t="s">
        <v>17</v>
      </c>
      <c r="D956" s="2">
        <v>43203</v>
      </c>
      <c r="E956" s="3">
        <v>140000</v>
      </c>
      <c r="F956" t="s">
        <v>243</v>
      </c>
      <c r="G956" t="s">
        <v>244</v>
      </c>
      <c r="H956" t="s">
        <v>245</v>
      </c>
      <c r="I956" s="10" t="s">
        <v>668</v>
      </c>
      <c r="J956" s="167" t="s">
        <v>22</v>
      </c>
      <c r="L956" s="9" t="str">
        <f t="shared" si="142"/>
        <v>00955</v>
      </c>
      <c r="M956" s="71" t="str">
        <f t="shared" si="143"/>
        <v>13 de abril de 2018</v>
      </c>
      <c r="N956" s="39">
        <f t="shared" si="144"/>
        <v>43191</v>
      </c>
      <c r="O956" s="9" t="str">
        <f t="shared" si="150"/>
        <v>140.000,00</v>
      </c>
      <c r="P956" s="8" t="str">
        <f t="shared" si="151"/>
        <v>Ciento Cuarenta Mil Bolívares con 00/100</v>
      </c>
      <c r="Q956" s="403" t="str">
        <f t="shared" si="145"/>
        <v/>
      </c>
    </row>
    <row r="957" spans="1:17" x14ac:dyDescent="0.25">
      <c r="A957" s="1">
        <f t="shared" si="152"/>
        <v>956</v>
      </c>
      <c r="C957" s="12" t="s">
        <v>17</v>
      </c>
      <c r="D957" s="2">
        <v>43203</v>
      </c>
      <c r="E957" s="3">
        <v>60000</v>
      </c>
      <c r="F957" t="s">
        <v>243</v>
      </c>
      <c r="G957" t="s">
        <v>244</v>
      </c>
      <c r="H957" t="s">
        <v>245</v>
      </c>
      <c r="I957" s="10" t="s">
        <v>672</v>
      </c>
      <c r="J957" s="167" t="s">
        <v>673</v>
      </c>
      <c r="L957" s="9" t="str">
        <f t="shared" si="142"/>
        <v>00956</v>
      </c>
      <c r="M957" s="71" t="str">
        <f t="shared" si="143"/>
        <v>13 de abril de 2018</v>
      </c>
      <c r="N957" s="39">
        <f t="shared" si="144"/>
        <v>43191</v>
      </c>
      <c r="O957" s="9" t="str">
        <f t="shared" si="150"/>
        <v>60.000,00</v>
      </c>
      <c r="P957" s="8" t="str">
        <f t="shared" si="151"/>
        <v>Sesenta Mil Bolívares con 00/100</v>
      </c>
      <c r="Q957" s="403" t="str">
        <f t="shared" si="145"/>
        <v/>
      </c>
    </row>
    <row r="958" spans="1:17" x14ac:dyDescent="0.25">
      <c r="A958" s="1">
        <f t="shared" si="152"/>
        <v>957</v>
      </c>
      <c r="C958" s="12" t="s">
        <v>17</v>
      </c>
      <c r="D958" s="2">
        <v>43203</v>
      </c>
      <c r="E958" s="3">
        <v>140000</v>
      </c>
      <c r="F958" t="s">
        <v>211</v>
      </c>
      <c r="G958" t="s">
        <v>212</v>
      </c>
      <c r="H958" t="s">
        <v>213</v>
      </c>
      <c r="I958" s="10" t="s">
        <v>630</v>
      </c>
      <c r="J958" s="167" t="s">
        <v>22</v>
      </c>
      <c r="L958" s="9" t="str">
        <f t="shared" si="142"/>
        <v>00957</v>
      </c>
      <c r="M958" s="71" t="str">
        <f t="shared" si="143"/>
        <v>13 de abril de 2018</v>
      </c>
      <c r="N958" s="39">
        <f t="shared" si="144"/>
        <v>43191</v>
      </c>
      <c r="O958" s="9" t="str">
        <f t="shared" si="150"/>
        <v>140.000,00</v>
      </c>
      <c r="P958" s="8" t="str">
        <f t="shared" si="151"/>
        <v>Ciento Cuarenta Mil Bolívares con 00/100</v>
      </c>
      <c r="Q958" s="403" t="str">
        <f t="shared" si="145"/>
        <v/>
      </c>
    </row>
    <row r="959" spans="1:17" x14ac:dyDescent="0.25">
      <c r="A959" s="1">
        <f t="shared" si="152"/>
        <v>958</v>
      </c>
      <c r="C959" s="12" t="s">
        <v>17</v>
      </c>
      <c r="D959" s="2">
        <v>43203</v>
      </c>
      <c r="E959" s="3">
        <v>140000</v>
      </c>
      <c r="F959" t="s">
        <v>181</v>
      </c>
      <c r="G959" t="s">
        <v>182</v>
      </c>
      <c r="H959" t="s">
        <v>183</v>
      </c>
      <c r="I959" s="10" t="s">
        <v>668</v>
      </c>
      <c r="J959" s="167" t="s">
        <v>22</v>
      </c>
      <c r="L959" s="9" t="str">
        <f t="shared" si="142"/>
        <v>00958</v>
      </c>
      <c r="M959" s="71" t="str">
        <f t="shared" si="143"/>
        <v>13 de abril de 2018</v>
      </c>
      <c r="N959" s="39">
        <f t="shared" si="144"/>
        <v>43191</v>
      </c>
      <c r="O959" s="9" t="str">
        <f t="shared" si="150"/>
        <v>140.000,00</v>
      </c>
      <c r="P959" s="8" t="str">
        <f t="shared" si="151"/>
        <v>Ciento Cuarenta Mil Bolívares con 00/100</v>
      </c>
      <c r="Q959" s="403" t="str">
        <f t="shared" si="145"/>
        <v/>
      </c>
    </row>
    <row r="960" spans="1:17" x14ac:dyDescent="0.25">
      <c r="A960" s="1">
        <f t="shared" si="152"/>
        <v>959</v>
      </c>
      <c r="C960" s="12" t="s">
        <v>17</v>
      </c>
      <c r="D960" s="2">
        <v>43206</v>
      </c>
      <c r="E960" s="3">
        <v>140000</v>
      </c>
      <c r="F960" t="s">
        <v>134</v>
      </c>
      <c r="G960" t="s">
        <v>135</v>
      </c>
      <c r="H960" t="s">
        <v>136</v>
      </c>
      <c r="I960" s="10" t="s">
        <v>668</v>
      </c>
      <c r="J960" s="167" t="s">
        <v>22</v>
      </c>
      <c r="L960" s="9" t="str">
        <f t="shared" si="142"/>
        <v>00959</v>
      </c>
      <c r="M960" s="71" t="str">
        <f t="shared" si="143"/>
        <v>16 de abril de 2018</v>
      </c>
      <c r="N960" s="39">
        <f t="shared" si="144"/>
        <v>43191</v>
      </c>
      <c r="O960" s="9" t="str">
        <f t="shared" ref="O960:O984" si="153">TEXT(E960,"#.##0,00")</f>
        <v>140.000,00</v>
      </c>
      <c r="P960" s="8" t="str">
        <f t="shared" ref="P960:P984" si="154">CONVERTIRNUM(E960)</f>
        <v>Ciento Cuarenta Mil Bolívares con 00/100</v>
      </c>
      <c r="Q960" s="403" t="str">
        <f t="shared" si="145"/>
        <v/>
      </c>
    </row>
    <row r="961" spans="1:17" x14ac:dyDescent="0.25">
      <c r="A961" s="1">
        <f t="shared" si="152"/>
        <v>960</v>
      </c>
      <c r="C961" s="12" t="s">
        <v>17</v>
      </c>
      <c r="D961" s="2">
        <v>43207</v>
      </c>
      <c r="E961" s="3">
        <v>80000</v>
      </c>
      <c r="F961" t="s">
        <v>402</v>
      </c>
      <c r="G961" t="s">
        <v>403</v>
      </c>
      <c r="H961" t="s">
        <v>404</v>
      </c>
      <c r="I961" s="10" t="s">
        <v>669</v>
      </c>
      <c r="J961" s="167" t="s">
        <v>22</v>
      </c>
      <c r="L961" s="9" t="str">
        <f t="shared" si="142"/>
        <v>00960</v>
      </c>
      <c r="M961" s="71" t="str">
        <f t="shared" si="143"/>
        <v>17 de abril de 2018</v>
      </c>
      <c r="N961" s="39">
        <f t="shared" si="144"/>
        <v>43191</v>
      </c>
      <c r="O961" s="9" t="str">
        <f t="shared" si="153"/>
        <v>80.000,00</v>
      </c>
      <c r="P961" s="8" t="str">
        <f t="shared" si="154"/>
        <v>Ochenta Mil Bolívares con 00/100</v>
      </c>
      <c r="Q961" s="403" t="str">
        <f t="shared" si="145"/>
        <v/>
      </c>
    </row>
    <row r="962" spans="1:17" x14ac:dyDescent="0.25">
      <c r="A962" s="1">
        <f t="shared" si="152"/>
        <v>961</v>
      </c>
      <c r="C962" s="12" t="s">
        <v>17</v>
      </c>
      <c r="D962" s="2">
        <v>43207</v>
      </c>
      <c r="E962" s="3">
        <v>140000</v>
      </c>
      <c r="F962" t="s">
        <v>103</v>
      </c>
      <c r="G962" t="s">
        <v>104</v>
      </c>
      <c r="H962" t="s">
        <v>105</v>
      </c>
      <c r="I962" s="10" t="s">
        <v>668</v>
      </c>
      <c r="J962" s="167" t="s">
        <v>22</v>
      </c>
      <c r="L962" s="9" t="str">
        <f t="shared" ref="L962:L1025" si="155">IF(ISBLANK(A962),"",TEXT(A962,"00000"))</f>
        <v>00961</v>
      </c>
      <c r="M962" s="71" t="str">
        <f t="shared" ref="M962:M1025" si="156">IF(ISBLANK(D962),"",TEXT(D962,"dd")&amp;" de "&amp;TEXT(D962,"mmmm")&amp;" de "&amp;TEXT(YEAR(D962),"0"))</f>
        <v>17 de abril de 2018</v>
      </c>
      <c r="N962" s="39">
        <f t="shared" ref="N962:N1025" si="157">DATE(YEAR(D962),MONTH(D962),1)</f>
        <v>43191</v>
      </c>
      <c r="O962" s="9" t="str">
        <f t="shared" si="153"/>
        <v>140.000,00</v>
      </c>
      <c r="P962" s="8" t="str">
        <f t="shared" si="154"/>
        <v>Ciento Cuarenta Mil Bolívares con 00/100</v>
      </c>
      <c r="Q962" s="403" t="str">
        <f t="shared" si="145"/>
        <v/>
      </c>
    </row>
    <row r="963" spans="1:17" x14ac:dyDescent="0.25">
      <c r="A963" s="1">
        <f t="shared" si="152"/>
        <v>962</v>
      </c>
      <c r="C963" s="12" t="s">
        <v>17</v>
      </c>
      <c r="D963" s="2">
        <v>43209</v>
      </c>
      <c r="E963" s="3">
        <v>140000</v>
      </c>
      <c r="F963" t="s">
        <v>122</v>
      </c>
      <c r="G963" t="s">
        <v>123</v>
      </c>
      <c r="H963" t="s">
        <v>124</v>
      </c>
      <c r="I963" s="10" t="s">
        <v>668</v>
      </c>
      <c r="J963" s="167" t="s">
        <v>22</v>
      </c>
      <c r="L963" s="9" t="str">
        <f t="shared" si="155"/>
        <v>00962</v>
      </c>
      <c r="M963" s="71" t="str">
        <f t="shared" si="156"/>
        <v>19 de abril de 2018</v>
      </c>
      <c r="N963" s="39">
        <f t="shared" si="157"/>
        <v>43191</v>
      </c>
      <c r="O963" s="9" t="str">
        <f t="shared" si="153"/>
        <v>140.000,00</v>
      </c>
      <c r="P963" s="8" t="str">
        <f t="shared" si="154"/>
        <v>Ciento Cuarenta Mil Bolívares con 00/100</v>
      </c>
      <c r="Q963" s="403" t="str">
        <f t="shared" ref="Q963:Q1026" si="158">IF(C963="û","Anulado","")</f>
        <v/>
      </c>
    </row>
    <row r="964" spans="1:17" x14ac:dyDescent="0.25">
      <c r="A964" s="1">
        <f t="shared" si="152"/>
        <v>963</v>
      </c>
      <c r="C964" s="12" t="s">
        <v>17</v>
      </c>
      <c r="D964" s="2">
        <v>43206</v>
      </c>
      <c r="E964" s="3">
        <v>140000</v>
      </c>
      <c r="F964" t="s">
        <v>36</v>
      </c>
      <c r="G964" t="s">
        <v>37</v>
      </c>
      <c r="H964" t="s">
        <v>38</v>
      </c>
      <c r="I964" s="10" t="s">
        <v>668</v>
      </c>
      <c r="J964" s="167" t="s">
        <v>22</v>
      </c>
      <c r="L964" s="9" t="str">
        <f t="shared" si="155"/>
        <v>00963</v>
      </c>
      <c r="M964" s="71" t="str">
        <f t="shared" si="156"/>
        <v>16 de abril de 2018</v>
      </c>
      <c r="N964" s="39">
        <f t="shared" si="157"/>
        <v>43191</v>
      </c>
      <c r="O964" s="9" t="str">
        <f t="shared" si="153"/>
        <v>140.000,00</v>
      </c>
      <c r="P964" s="8" t="str">
        <f t="shared" si="154"/>
        <v>Ciento Cuarenta Mil Bolívares con 00/100</v>
      </c>
      <c r="Q964" s="403" t="str">
        <f t="shared" si="158"/>
        <v/>
      </c>
    </row>
    <row r="965" spans="1:17" x14ac:dyDescent="0.25">
      <c r="A965" s="1">
        <f t="shared" si="152"/>
        <v>964</v>
      </c>
      <c r="C965" s="12" t="s">
        <v>17</v>
      </c>
      <c r="D965" s="2">
        <v>43210</v>
      </c>
      <c r="E965" s="3">
        <v>280000</v>
      </c>
      <c r="F965" t="s">
        <v>398</v>
      </c>
      <c r="G965" t="s">
        <v>682</v>
      </c>
      <c r="H965" t="s">
        <v>399</v>
      </c>
      <c r="I965" s="10" t="s">
        <v>660</v>
      </c>
      <c r="J965" s="167" t="s">
        <v>22</v>
      </c>
      <c r="L965" s="9" t="str">
        <f t="shared" si="155"/>
        <v>00964</v>
      </c>
      <c r="M965" s="71" t="str">
        <f t="shared" si="156"/>
        <v>20 de abril de 2018</v>
      </c>
      <c r="N965" s="39">
        <f t="shared" si="157"/>
        <v>43191</v>
      </c>
      <c r="O965" s="9" t="str">
        <f t="shared" si="153"/>
        <v>280.000,00</v>
      </c>
      <c r="P965" s="8" t="str">
        <f t="shared" si="154"/>
        <v>Doscientos Ochenta Mil Bolívares con 00/100</v>
      </c>
      <c r="Q965" s="403" t="str">
        <f t="shared" si="158"/>
        <v/>
      </c>
    </row>
    <row r="966" spans="1:17" x14ac:dyDescent="0.25">
      <c r="A966" s="1">
        <f t="shared" si="152"/>
        <v>965</v>
      </c>
      <c r="C966" s="12" t="s">
        <v>17</v>
      </c>
      <c r="D966" s="2">
        <v>43210</v>
      </c>
      <c r="E966" s="3">
        <v>500000</v>
      </c>
      <c r="F966" t="s">
        <v>324</v>
      </c>
      <c r="G966" t="s">
        <v>325</v>
      </c>
      <c r="H966" t="s">
        <v>326</v>
      </c>
      <c r="I966" s="10" t="s">
        <v>672</v>
      </c>
      <c r="J966" s="167" t="s">
        <v>673</v>
      </c>
      <c r="L966" s="9" t="str">
        <f t="shared" si="155"/>
        <v>00965</v>
      </c>
      <c r="M966" s="71" t="str">
        <f t="shared" si="156"/>
        <v>20 de abril de 2018</v>
      </c>
      <c r="N966" s="39">
        <f t="shared" si="157"/>
        <v>43191</v>
      </c>
      <c r="O966" s="9" t="str">
        <f t="shared" si="153"/>
        <v>500.000,00</v>
      </c>
      <c r="P966" s="8" t="str">
        <f t="shared" si="154"/>
        <v>Quinientos Mil Bolívares con 00/100</v>
      </c>
      <c r="Q966" s="403" t="str">
        <f t="shared" si="158"/>
        <v/>
      </c>
    </row>
    <row r="967" spans="1:17" ht="15.75" thickBot="1" x14ac:dyDescent="0.3">
      <c r="A967" s="1">
        <f t="shared" si="152"/>
        <v>966</v>
      </c>
      <c r="C967" s="12" t="s">
        <v>17</v>
      </c>
      <c r="D967" s="2">
        <v>43211</v>
      </c>
      <c r="E967" s="3">
        <v>200000</v>
      </c>
      <c r="F967" t="s">
        <v>413</v>
      </c>
      <c r="G967" t="s">
        <v>414</v>
      </c>
      <c r="H967" t="s">
        <v>415</v>
      </c>
      <c r="I967" s="10" t="s">
        <v>680</v>
      </c>
      <c r="J967" s="167" t="s">
        <v>22</v>
      </c>
      <c r="L967" s="9" t="str">
        <f t="shared" si="155"/>
        <v>00966</v>
      </c>
      <c r="M967" s="71" t="str">
        <f t="shared" si="156"/>
        <v>21 de abril de 2018</v>
      </c>
      <c r="N967" s="39">
        <f t="shared" si="157"/>
        <v>43191</v>
      </c>
      <c r="O967" s="9" t="str">
        <f t="shared" si="153"/>
        <v>200.000,00</v>
      </c>
      <c r="P967" s="8" t="str">
        <f t="shared" si="154"/>
        <v>Doscientos Mil Bolívares con 00/100</v>
      </c>
      <c r="Q967" s="403" t="str">
        <f t="shared" si="158"/>
        <v/>
      </c>
    </row>
    <row r="968" spans="1:17" ht="15.75" thickBot="1" x14ac:dyDescent="0.3">
      <c r="A968" s="1">
        <f t="shared" si="152"/>
        <v>967</v>
      </c>
      <c r="C968" s="12" t="s">
        <v>17</v>
      </c>
      <c r="D968" s="2">
        <v>43211</v>
      </c>
      <c r="E968" s="3">
        <v>100000</v>
      </c>
      <c r="F968" t="s">
        <v>319</v>
      </c>
      <c r="G968" s="27" t="s">
        <v>58</v>
      </c>
      <c r="H968" t="s">
        <v>320</v>
      </c>
      <c r="I968" s="10" t="s">
        <v>683</v>
      </c>
      <c r="J968" s="167" t="s">
        <v>22</v>
      </c>
      <c r="L968" s="9" t="str">
        <f t="shared" si="155"/>
        <v>00967</v>
      </c>
      <c r="M968" s="71" t="str">
        <f t="shared" si="156"/>
        <v>21 de abril de 2018</v>
      </c>
      <c r="N968" s="39">
        <f t="shared" si="157"/>
        <v>43191</v>
      </c>
      <c r="O968" s="9" t="str">
        <f t="shared" si="153"/>
        <v>100.000,00</v>
      </c>
      <c r="P968" s="8" t="str">
        <f t="shared" si="154"/>
        <v>Cien Mil Bolívares con 00/100</v>
      </c>
      <c r="Q968" s="403" t="str">
        <f t="shared" si="158"/>
        <v/>
      </c>
    </row>
    <row r="969" spans="1:17" x14ac:dyDescent="0.25">
      <c r="A969" s="1">
        <f t="shared" si="152"/>
        <v>968</v>
      </c>
      <c r="C969" s="12" t="s">
        <v>17</v>
      </c>
      <c r="D969" s="2">
        <v>43212</v>
      </c>
      <c r="E969" s="3">
        <v>140000</v>
      </c>
      <c r="F969" t="s">
        <v>126</v>
      </c>
      <c r="G969" t="s">
        <v>127</v>
      </c>
      <c r="H969" t="s">
        <v>128</v>
      </c>
      <c r="I969" s="10" t="s">
        <v>668</v>
      </c>
      <c r="J969" s="167" t="s">
        <v>22</v>
      </c>
      <c r="L969" s="9" t="str">
        <f t="shared" si="155"/>
        <v>00968</v>
      </c>
      <c r="M969" s="71" t="str">
        <f t="shared" si="156"/>
        <v>22 de abril de 2018</v>
      </c>
      <c r="N969" s="39">
        <f t="shared" si="157"/>
        <v>43191</v>
      </c>
      <c r="O969" s="9" t="str">
        <f t="shared" si="153"/>
        <v>140.000,00</v>
      </c>
      <c r="P969" s="8" t="str">
        <f t="shared" si="154"/>
        <v>Ciento Cuarenta Mil Bolívares con 00/100</v>
      </c>
      <c r="Q969" s="403" t="str">
        <f t="shared" si="158"/>
        <v/>
      </c>
    </row>
    <row r="970" spans="1:17" x14ac:dyDescent="0.25">
      <c r="A970" s="1">
        <f t="shared" si="152"/>
        <v>969</v>
      </c>
      <c r="C970" s="12" t="s">
        <v>17</v>
      </c>
      <c r="D970" s="2">
        <v>43212</v>
      </c>
      <c r="E970" s="3">
        <v>100000</v>
      </c>
      <c r="F970" t="s">
        <v>126</v>
      </c>
      <c r="G970" t="s">
        <v>127</v>
      </c>
      <c r="H970" t="s">
        <v>128</v>
      </c>
      <c r="I970" s="10" t="s">
        <v>672</v>
      </c>
      <c r="J970" s="167" t="s">
        <v>673</v>
      </c>
      <c r="L970" s="9" t="str">
        <f t="shared" si="155"/>
        <v>00969</v>
      </c>
      <c r="M970" s="71" t="str">
        <f t="shared" si="156"/>
        <v>22 de abril de 2018</v>
      </c>
      <c r="N970" s="39">
        <f t="shared" si="157"/>
        <v>43191</v>
      </c>
      <c r="O970" s="9" t="str">
        <f t="shared" si="153"/>
        <v>100.000,00</v>
      </c>
      <c r="P970" s="8" t="str">
        <f t="shared" si="154"/>
        <v>Cien Mil Bolívares con 00/100</v>
      </c>
      <c r="Q970" s="403" t="str">
        <f t="shared" si="158"/>
        <v/>
      </c>
    </row>
    <row r="971" spans="1:17" x14ac:dyDescent="0.25">
      <c r="A971" s="1">
        <f t="shared" si="152"/>
        <v>970</v>
      </c>
      <c r="C971" s="12" t="s">
        <v>17</v>
      </c>
      <c r="D971" s="2">
        <v>43213</v>
      </c>
      <c r="E971" s="3">
        <v>140000</v>
      </c>
      <c r="F971" t="s">
        <v>558</v>
      </c>
      <c r="G971" t="s">
        <v>559</v>
      </c>
      <c r="H971" t="s">
        <v>560</v>
      </c>
      <c r="I971" s="10" t="s">
        <v>684</v>
      </c>
      <c r="J971" s="167" t="s">
        <v>22</v>
      </c>
      <c r="L971" s="9" t="str">
        <f t="shared" si="155"/>
        <v>00970</v>
      </c>
      <c r="M971" s="71" t="str">
        <f t="shared" si="156"/>
        <v>23 de abril de 2018</v>
      </c>
      <c r="N971" s="39">
        <f t="shared" si="157"/>
        <v>43191</v>
      </c>
      <c r="O971" s="9" t="str">
        <f t="shared" si="153"/>
        <v>140.000,00</v>
      </c>
      <c r="P971" s="8" t="str">
        <f t="shared" si="154"/>
        <v>Ciento Cuarenta Mil Bolívares con 00/100</v>
      </c>
      <c r="Q971" s="403" t="str">
        <f t="shared" si="158"/>
        <v/>
      </c>
    </row>
    <row r="972" spans="1:17" x14ac:dyDescent="0.25">
      <c r="A972" s="1">
        <f t="shared" si="152"/>
        <v>971</v>
      </c>
      <c r="C972" s="12" t="s">
        <v>17</v>
      </c>
      <c r="D972" s="2">
        <v>43213</v>
      </c>
      <c r="E972" s="3">
        <v>60000</v>
      </c>
      <c r="F972" t="s">
        <v>558</v>
      </c>
      <c r="G972" t="s">
        <v>559</v>
      </c>
      <c r="H972" t="s">
        <v>560</v>
      </c>
      <c r="I972" s="10" t="s">
        <v>672</v>
      </c>
      <c r="J972" s="167" t="s">
        <v>673</v>
      </c>
      <c r="L972" s="9" t="str">
        <f t="shared" si="155"/>
        <v>00971</v>
      </c>
      <c r="M972" s="71" t="str">
        <f t="shared" si="156"/>
        <v>23 de abril de 2018</v>
      </c>
      <c r="N972" s="39">
        <f t="shared" si="157"/>
        <v>43191</v>
      </c>
      <c r="O972" s="9" t="str">
        <f t="shared" si="153"/>
        <v>60.000,00</v>
      </c>
      <c r="P972" s="8" t="str">
        <f t="shared" si="154"/>
        <v>Sesenta Mil Bolívares con 00/100</v>
      </c>
      <c r="Q972" s="403" t="str">
        <f t="shared" si="158"/>
        <v/>
      </c>
    </row>
    <row r="973" spans="1:17" x14ac:dyDescent="0.25">
      <c r="A973" s="1">
        <f t="shared" si="152"/>
        <v>972</v>
      </c>
      <c r="C973" s="12" t="s">
        <v>17</v>
      </c>
      <c r="D973" s="2">
        <v>43214</v>
      </c>
      <c r="E973" s="3">
        <v>60000</v>
      </c>
      <c r="F973" t="s">
        <v>434</v>
      </c>
      <c r="G973" t="s">
        <v>435</v>
      </c>
      <c r="H973" t="s">
        <v>436</v>
      </c>
      <c r="I973" s="10" t="s">
        <v>680</v>
      </c>
      <c r="J973" s="167" t="s">
        <v>22</v>
      </c>
      <c r="L973" s="9" t="str">
        <f t="shared" si="155"/>
        <v>00972</v>
      </c>
      <c r="M973" s="71" t="str">
        <f t="shared" si="156"/>
        <v>24 de abril de 2018</v>
      </c>
      <c r="N973" s="39">
        <f t="shared" si="157"/>
        <v>43191</v>
      </c>
      <c r="O973" s="9" t="str">
        <f t="shared" si="153"/>
        <v>60.000,00</v>
      </c>
      <c r="P973" s="8" t="str">
        <f t="shared" si="154"/>
        <v>Sesenta Mil Bolívares con 00/100</v>
      </c>
      <c r="Q973" s="403" t="str">
        <f t="shared" si="158"/>
        <v/>
      </c>
    </row>
    <row r="974" spans="1:17" x14ac:dyDescent="0.25">
      <c r="A974" s="1">
        <f t="shared" si="152"/>
        <v>973</v>
      </c>
      <c r="C974" s="12" t="s">
        <v>17</v>
      </c>
      <c r="D974" s="2">
        <v>43215</v>
      </c>
      <c r="E974" s="3">
        <v>140000</v>
      </c>
      <c r="F974" t="s">
        <v>185</v>
      </c>
      <c r="G974" t="s">
        <v>186</v>
      </c>
      <c r="H974" t="s">
        <v>187</v>
      </c>
      <c r="I974" s="10" t="s">
        <v>668</v>
      </c>
      <c r="J974" s="167" t="s">
        <v>22</v>
      </c>
      <c r="L974" s="9" t="str">
        <f t="shared" si="155"/>
        <v>00973</v>
      </c>
      <c r="M974" s="71" t="str">
        <f t="shared" si="156"/>
        <v>25 de abril de 2018</v>
      </c>
      <c r="N974" s="39">
        <f t="shared" si="157"/>
        <v>43191</v>
      </c>
      <c r="O974" s="9" t="str">
        <f t="shared" si="153"/>
        <v>140.000,00</v>
      </c>
      <c r="P974" s="8" t="str">
        <f t="shared" si="154"/>
        <v>Ciento Cuarenta Mil Bolívares con 00/100</v>
      </c>
      <c r="Q974" s="403" t="str">
        <f t="shared" si="158"/>
        <v/>
      </c>
    </row>
    <row r="975" spans="1:17" x14ac:dyDescent="0.25">
      <c r="A975" s="1">
        <f t="shared" si="152"/>
        <v>974</v>
      </c>
      <c r="C975" s="12" t="s">
        <v>17</v>
      </c>
      <c r="D975" s="2">
        <v>43216</v>
      </c>
      <c r="E975" s="3">
        <v>300000</v>
      </c>
      <c r="F975" t="s">
        <v>44</v>
      </c>
      <c r="G975" t="s">
        <v>45</v>
      </c>
      <c r="H975" t="s">
        <v>46</v>
      </c>
      <c r="I975" s="10" t="s">
        <v>685</v>
      </c>
      <c r="J975" s="167" t="s">
        <v>22</v>
      </c>
      <c r="L975" s="9" t="str">
        <f t="shared" si="155"/>
        <v>00974</v>
      </c>
      <c r="M975" s="71" t="str">
        <f t="shared" si="156"/>
        <v>26 de abril de 2018</v>
      </c>
      <c r="N975" s="39">
        <f t="shared" si="157"/>
        <v>43191</v>
      </c>
      <c r="O975" s="9" t="str">
        <f t="shared" si="153"/>
        <v>300.000,00</v>
      </c>
      <c r="P975" s="8" t="str">
        <f t="shared" si="154"/>
        <v>Trescientos Mil Bolívares con 00/100</v>
      </c>
      <c r="Q975" s="403" t="str">
        <f t="shared" si="158"/>
        <v/>
      </c>
    </row>
    <row r="976" spans="1:17" x14ac:dyDescent="0.25">
      <c r="A976" s="1">
        <f t="shared" si="152"/>
        <v>975</v>
      </c>
      <c r="C976" s="12" t="s">
        <v>17</v>
      </c>
      <c r="D976" s="2">
        <v>43216</v>
      </c>
      <c r="E976" s="3">
        <v>300000</v>
      </c>
      <c r="F976" t="s">
        <v>44</v>
      </c>
      <c r="G976" t="s">
        <v>45</v>
      </c>
      <c r="H976" t="s">
        <v>46</v>
      </c>
      <c r="I976" s="10" t="s">
        <v>670</v>
      </c>
      <c r="J976" s="167" t="s">
        <v>22</v>
      </c>
      <c r="L976" s="9" t="str">
        <f t="shared" si="155"/>
        <v>00975</v>
      </c>
      <c r="M976" s="71" t="str">
        <f t="shared" si="156"/>
        <v>26 de abril de 2018</v>
      </c>
      <c r="N976" s="39">
        <f t="shared" si="157"/>
        <v>43191</v>
      </c>
      <c r="O976" s="9" t="str">
        <f t="shared" si="153"/>
        <v>300.000,00</v>
      </c>
      <c r="P976" s="8" t="str">
        <f t="shared" si="154"/>
        <v>Trescientos Mil Bolívares con 00/100</v>
      </c>
      <c r="Q976" s="403" t="str">
        <f t="shared" si="158"/>
        <v/>
      </c>
    </row>
    <row r="977" spans="1:17" x14ac:dyDescent="0.25">
      <c r="A977" s="1">
        <f t="shared" si="152"/>
        <v>976</v>
      </c>
      <c r="C977" s="12" t="s">
        <v>17</v>
      </c>
      <c r="D977" s="2">
        <v>43216</v>
      </c>
      <c r="E977" s="3">
        <f>250000</f>
        <v>250000</v>
      </c>
      <c r="F977" t="s">
        <v>100</v>
      </c>
      <c r="G977" t="s">
        <v>95</v>
      </c>
      <c r="H977" t="s">
        <v>101</v>
      </c>
      <c r="I977" s="10" t="s">
        <v>684</v>
      </c>
      <c r="J977" s="167" t="s">
        <v>22</v>
      </c>
      <c r="L977" s="9" t="str">
        <f t="shared" si="155"/>
        <v>00976</v>
      </c>
      <c r="M977" s="71" t="str">
        <f t="shared" si="156"/>
        <v>26 de abril de 2018</v>
      </c>
      <c r="N977" s="39">
        <f t="shared" si="157"/>
        <v>43191</v>
      </c>
      <c r="O977" s="9" t="str">
        <f t="shared" si="153"/>
        <v>250.000,00</v>
      </c>
      <c r="P977" s="8" t="str">
        <f t="shared" si="154"/>
        <v>Doscientos Cincuenta Mil Bolívares con 00/100</v>
      </c>
      <c r="Q977" s="403" t="str">
        <f t="shared" si="158"/>
        <v/>
      </c>
    </row>
    <row r="978" spans="1:17" x14ac:dyDescent="0.25">
      <c r="A978" s="1">
        <f t="shared" si="152"/>
        <v>977</v>
      </c>
      <c r="C978" s="12" t="s">
        <v>17</v>
      </c>
      <c r="D978" s="2">
        <v>43216</v>
      </c>
      <c r="E978" s="3">
        <v>250000</v>
      </c>
      <c r="F978" t="s">
        <v>100</v>
      </c>
      <c r="G978" t="s">
        <v>95</v>
      </c>
      <c r="H978" t="s">
        <v>101</v>
      </c>
      <c r="I978" s="10" t="s">
        <v>672</v>
      </c>
      <c r="J978" s="167" t="s">
        <v>673</v>
      </c>
      <c r="L978" s="9" t="str">
        <f t="shared" si="155"/>
        <v>00977</v>
      </c>
      <c r="M978" s="71" t="str">
        <f t="shared" si="156"/>
        <v>26 de abril de 2018</v>
      </c>
      <c r="N978" s="39">
        <f t="shared" si="157"/>
        <v>43191</v>
      </c>
      <c r="O978" s="9" t="str">
        <f t="shared" si="153"/>
        <v>250.000,00</v>
      </c>
      <c r="P978" s="8" t="str">
        <f t="shared" si="154"/>
        <v>Doscientos Cincuenta Mil Bolívares con 00/100</v>
      </c>
      <c r="Q978" s="403" t="str">
        <f t="shared" si="158"/>
        <v/>
      </c>
    </row>
    <row r="979" spans="1:17" x14ac:dyDescent="0.25">
      <c r="A979" s="1">
        <f t="shared" si="152"/>
        <v>978</v>
      </c>
      <c r="C979" s="12" t="s">
        <v>17</v>
      </c>
      <c r="D979" s="2">
        <v>43216</v>
      </c>
      <c r="E979" s="3">
        <v>300000</v>
      </c>
      <c r="F979" t="s">
        <v>230</v>
      </c>
      <c r="G979" t="s">
        <v>231</v>
      </c>
      <c r="H979" t="s">
        <v>232</v>
      </c>
      <c r="I979" s="10" t="s">
        <v>668</v>
      </c>
      <c r="J979" s="167" t="s">
        <v>22</v>
      </c>
      <c r="L979" s="9" t="str">
        <f t="shared" si="155"/>
        <v>00978</v>
      </c>
      <c r="M979" s="71" t="str">
        <f t="shared" si="156"/>
        <v>26 de abril de 2018</v>
      </c>
      <c r="N979" s="39">
        <f t="shared" si="157"/>
        <v>43191</v>
      </c>
      <c r="O979" s="9" t="str">
        <f t="shared" si="153"/>
        <v>300.000,00</v>
      </c>
      <c r="P979" s="8" t="str">
        <f t="shared" si="154"/>
        <v>Trescientos Mil Bolívares con 00/100</v>
      </c>
      <c r="Q979" s="403" t="str">
        <f t="shared" si="158"/>
        <v/>
      </c>
    </row>
    <row r="980" spans="1:17" x14ac:dyDescent="0.25">
      <c r="A980" s="1">
        <f t="shared" si="152"/>
        <v>979</v>
      </c>
      <c r="C980" s="12" t="s">
        <v>225</v>
      </c>
      <c r="D980" s="2">
        <v>43216</v>
      </c>
      <c r="E980" s="3">
        <v>160000</v>
      </c>
      <c r="F980" t="s">
        <v>230</v>
      </c>
      <c r="G980" t="s">
        <v>231</v>
      </c>
      <c r="H980" t="s">
        <v>232</v>
      </c>
      <c r="I980" s="10" t="s">
        <v>686</v>
      </c>
      <c r="J980" s="167" t="s">
        <v>427</v>
      </c>
      <c r="L980" s="9" t="str">
        <f t="shared" si="155"/>
        <v>00979</v>
      </c>
      <c r="M980" s="71" t="str">
        <f t="shared" si="156"/>
        <v>26 de abril de 2018</v>
      </c>
      <c r="N980" s="39">
        <f t="shared" si="157"/>
        <v>43191</v>
      </c>
      <c r="O980" s="9" t="str">
        <f t="shared" si="153"/>
        <v>160.000,00</v>
      </c>
      <c r="P980" s="8" t="str">
        <f t="shared" si="154"/>
        <v>Ciento Sesenta Mil Bolívares con 00/100</v>
      </c>
      <c r="Q980" s="403" t="str">
        <f t="shared" si="158"/>
        <v>Anulado</v>
      </c>
    </row>
    <row r="981" spans="1:17" x14ac:dyDescent="0.25">
      <c r="A981" s="1">
        <f t="shared" si="152"/>
        <v>980</v>
      </c>
      <c r="C981" s="12" t="s">
        <v>17</v>
      </c>
      <c r="D981" s="2">
        <v>43216</v>
      </c>
      <c r="E981" s="3">
        <f>140000*2</f>
        <v>280000</v>
      </c>
      <c r="F981" t="s">
        <v>248</v>
      </c>
      <c r="G981" t="s">
        <v>249</v>
      </c>
      <c r="H981" t="s">
        <v>250</v>
      </c>
      <c r="I981" s="10" t="s">
        <v>660</v>
      </c>
      <c r="J981" s="167" t="s">
        <v>22</v>
      </c>
      <c r="L981" s="9" t="str">
        <f t="shared" si="155"/>
        <v>00980</v>
      </c>
      <c r="M981" s="71" t="str">
        <f t="shared" si="156"/>
        <v>26 de abril de 2018</v>
      </c>
      <c r="N981" s="39">
        <f t="shared" si="157"/>
        <v>43191</v>
      </c>
      <c r="O981" s="9" t="str">
        <f t="shared" si="153"/>
        <v>280.000,00</v>
      </c>
      <c r="P981" s="8" t="str">
        <f t="shared" si="154"/>
        <v>Doscientos Ochenta Mil Bolívares con 00/100</v>
      </c>
      <c r="Q981" s="403" t="str">
        <f t="shared" si="158"/>
        <v/>
      </c>
    </row>
    <row r="982" spans="1:17" x14ac:dyDescent="0.25">
      <c r="A982" s="1">
        <f t="shared" si="152"/>
        <v>981</v>
      </c>
      <c r="C982" s="12" t="s">
        <v>17</v>
      </c>
      <c r="D982" s="2">
        <v>43216</v>
      </c>
      <c r="E982" s="3">
        <v>280000</v>
      </c>
      <c r="F982" t="s">
        <v>612</v>
      </c>
      <c r="G982" t="s">
        <v>613</v>
      </c>
      <c r="H982" t="s">
        <v>614</v>
      </c>
      <c r="I982" s="10" t="s">
        <v>660</v>
      </c>
      <c r="J982" s="167" t="s">
        <v>22</v>
      </c>
      <c r="L982" s="9" t="str">
        <f t="shared" si="155"/>
        <v>00981</v>
      </c>
      <c r="M982" s="71" t="str">
        <f t="shared" si="156"/>
        <v>26 de abril de 2018</v>
      </c>
      <c r="N982" s="39">
        <f t="shared" si="157"/>
        <v>43191</v>
      </c>
      <c r="O982" s="9" t="str">
        <f t="shared" si="153"/>
        <v>280.000,00</v>
      </c>
      <c r="P982" s="8" t="str">
        <f t="shared" si="154"/>
        <v>Doscientos Ochenta Mil Bolívares con 00/100</v>
      </c>
      <c r="Q982" s="403" t="str">
        <f t="shared" si="158"/>
        <v/>
      </c>
    </row>
    <row r="983" spans="1:17" x14ac:dyDescent="0.25">
      <c r="A983" s="1">
        <f t="shared" si="152"/>
        <v>982</v>
      </c>
      <c r="C983" s="12" t="s">
        <v>17</v>
      </c>
      <c r="D983" s="2">
        <v>43220</v>
      </c>
      <c r="E983" s="3">
        <v>140000</v>
      </c>
      <c r="F983" t="s">
        <v>211</v>
      </c>
      <c r="G983" t="s">
        <v>212</v>
      </c>
      <c r="H983" t="s">
        <v>213</v>
      </c>
      <c r="I983" s="10" t="s">
        <v>668</v>
      </c>
      <c r="J983" s="167" t="s">
        <v>22</v>
      </c>
      <c r="L983" s="9" t="str">
        <f t="shared" si="155"/>
        <v>00982</v>
      </c>
      <c r="M983" s="71" t="str">
        <f t="shared" si="156"/>
        <v>30 de abril de 2018</v>
      </c>
      <c r="N983" s="39">
        <f t="shared" si="157"/>
        <v>43191</v>
      </c>
      <c r="O983" s="9" t="str">
        <f t="shared" si="153"/>
        <v>140.000,00</v>
      </c>
      <c r="P983" s="8" t="str">
        <f t="shared" si="154"/>
        <v>Ciento Cuarenta Mil Bolívares con 00/100</v>
      </c>
      <c r="Q983" s="403" t="str">
        <f t="shared" si="158"/>
        <v/>
      </c>
    </row>
    <row r="984" spans="1:17" x14ac:dyDescent="0.25">
      <c r="A984" s="1">
        <f t="shared" si="152"/>
        <v>983</v>
      </c>
      <c r="C984" s="12" t="s">
        <v>17</v>
      </c>
      <c r="D984" s="2">
        <v>43223</v>
      </c>
      <c r="E984" s="3">
        <v>500000</v>
      </c>
      <c r="F984" t="s">
        <v>284</v>
      </c>
      <c r="G984" t="s">
        <v>687</v>
      </c>
      <c r="H984" t="s">
        <v>285</v>
      </c>
      <c r="I984" s="10" t="s">
        <v>688</v>
      </c>
      <c r="J984" s="167" t="s">
        <v>22</v>
      </c>
      <c r="L984" s="9" t="str">
        <f t="shared" si="155"/>
        <v>00983</v>
      </c>
      <c r="M984" s="71" t="str">
        <f t="shared" si="156"/>
        <v>03 de mayo de 2018</v>
      </c>
      <c r="N984" s="39">
        <f t="shared" si="157"/>
        <v>43221</v>
      </c>
      <c r="O984" s="9" t="str">
        <f t="shared" si="153"/>
        <v>500.000,00</v>
      </c>
      <c r="P984" s="8" t="str">
        <f t="shared" si="154"/>
        <v>Quinientos Mil Bolívares con 00/100</v>
      </c>
      <c r="Q984" s="403" t="str">
        <f t="shared" si="158"/>
        <v/>
      </c>
    </row>
    <row r="985" spans="1:17" ht="15.75" thickBot="1" x14ac:dyDescent="0.3">
      <c r="A985" s="1">
        <f t="shared" si="152"/>
        <v>984</v>
      </c>
      <c r="C985" s="12" t="s">
        <v>17</v>
      </c>
      <c r="D985" s="2">
        <v>43223</v>
      </c>
      <c r="E985" s="3">
        <v>400000</v>
      </c>
      <c r="F985" t="s">
        <v>36</v>
      </c>
      <c r="G985" t="s">
        <v>37</v>
      </c>
      <c r="H985" t="s">
        <v>38</v>
      </c>
      <c r="I985" s="10" t="s">
        <v>689</v>
      </c>
      <c r="J985" s="167" t="s">
        <v>22</v>
      </c>
      <c r="L985" s="9" t="str">
        <f t="shared" si="155"/>
        <v>00984</v>
      </c>
      <c r="M985" s="71" t="str">
        <f t="shared" si="156"/>
        <v>03 de mayo de 2018</v>
      </c>
      <c r="N985" s="39">
        <f t="shared" si="157"/>
        <v>43221</v>
      </c>
      <c r="O985" s="9" t="str">
        <f t="shared" ref="O985:O1002" si="159">TEXT(E985,"#.##0,00")</f>
        <v>400.000,00</v>
      </c>
      <c r="P985" s="8" t="str">
        <f t="shared" ref="P985:P1002" si="160">CONVERTIRNUM(E985)</f>
        <v>Cuatrocientos Mil Bolívares con 00/100</v>
      </c>
      <c r="Q985" s="403" t="str">
        <f t="shared" si="158"/>
        <v/>
      </c>
    </row>
    <row r="986" spans="1:17" ht="15.75" thickBot="1" x14ac:dyDescent="0.3">
      <c r="A986" s="1">
        <f t="shared" si="152"/>
        <v>985</v>
      </c>
      <c r="C986" s="12" t="s">
        <v>17</v>
      </c>
      <c r="D986" s="2">
        <v>43223</v>
      </c>
      <c r="E986" s="3">
        <v>400000</v>
      </c>
      <c r="F986" t="s">
        <v>280</v>
      </c>
      <c r="G986" s="27" t="s">
        <v>58</v>
      </c>
      <c r="H986" t="s">
        <v>282</v>
      </c>
      <c r="I986" s="10" t="s">
        <v>690</v>
      </c>
      <c r="J986" s="167" t="s">
        <v>22</v>
      </c>
      <c r="L986" s="9" t="str">
        <f t="shared" si="155"/>
        <v>00985</v>
      </c>
      <c r="M986" s="71" t="str">
        <f t="shared" si="156"/>
        <v>03 de mayo de 2018</v>
      </c>
      <c r="N986" s="39">
        <f t="shared" si="157"/>
        <v>43221</v>
      </c>
      <c r="O986" s="9" t="str">
        <f t="shared" si="159"/>
        <v>400.000,00</v>
      </c>
      <c r="P986" s="8" t="str">
        <f t="shared" si="160"/>
        <v>Cuatrocientos Mil Bolívares con 00/100</v>
      </c>
      <c r="Q986" s="403" t="str">
        <f t="shared" si="158"/>
        <v/>
      </c>
    </row>
    <row r="987" spans="1:17" x14ac:dyDescent="0.25">
      <c r="A987" s="390">
        <f t="shared" si="152"/>
        <v>986</v>
      </c>
      <c r="C987" s="12" t="s">
        <v>17</v>
      </c>
      <c r="D987" s="2">
        <v>43223</v>
      </c>
      <c r="E987" s="3">
        <v>400000</v>
      </c>
      <c r="F987" t="s">
        <v>439</v>
      </c>
      <c r="G987" t="s">
        <v>440</v>
      </c>
      <c r="H987" t="s">
        <v>441</v>
      </c>
      <c r="I987" s="10" t="s">
        <v>691</v>
      </c>
      <c r="J987" s="167" t="s">
        <v>22</v>
      </c>
      <c r="L987" s="9" t="str">
        <f t="shared" si="155"/>
        <v>00986</v>
      </c>
      <c r="M987" s="71" t="str">
        <f t="shared" si="156"/>
        <v>03 de mayo de 2018</v>
      </c>
      <c r="N987" s="39">
        <f t="shared" si="157"/>
        <v>43221</v>
      </c>
      <c r="O987" s="9" t="str">
        <f t="shared" si="159"/>
        <v>400.000,00</v>
      </c>
      <c r="P987" s="8" t="str">
        <f t="shared" si="160"/>
        <v>Cuatrocientos Mil Bolívares con 00/100</v>
      </c>
      <c r="Q987" s="403" t="str">
        <f t="shared" si="158"/>
        <v/>
      </c>
    </row>
    <row r="988" spans="1:17" x14ac:dyDescent="0.25">
      <c r="A988" s="1">
        <f t="shared" si="152"/>
        <v>987</v>
      </c>
      <c r="C988" s="12" t="s">
        <v>17</v>
      </c>
      <c r="D988" s="2">
        <v>43223</v>
      </c>
      <c r="E988" s="3">
        <v>400000</v>
      </c>
      <c r="F988" t="s">
        <v>18</v>
      </c>
      <c r="G988" t="s">
        <v>19</v>
      </c>
      <c r="H988" t="s">
        <v>20</v>
      </c>
      <c r="I988" s="10" t="s">
        <v>692</v>
      </c>
      <c r="J988" s="167" t="s">
        <v>22</v>
      </c>
      <c r="L988" s="9" t="str">
        <f t="shared" si="155"/>
        <v>00987</v>
      </c>
      <c r="M988" s="71" t="str">
        <f t="shared" si="156"/>
        <v>03 de mayo de 2018</v>
      </c>
      <c r="N988" s="39">
        <f t="shared" si="157"/>
        <v>43221</v>
      </c>
      <c r="O988" s="9" t="str">
        <f t="shared" si="159"/>
        <v>400.000,00</v>
      </c>
      <c r="P988" s="8" t="str">
        <f t="shared" si="160"/>
        <v>Cuatrocientos Mil Bolívares con 00/100</v>
      </c>
      <c r="Q988" s="403" t="str">
        <f t="shared" si="158"/>
        <v/>
      </c>
    </row>
    <row r="989" spans="1:17" ht="15.75" thickBot="1" x14ac:dyDescent="0.3">
      <c r="A989" s="1">
        <f t="shared" si="152"/>
        <v>988</v>
      </c>
      <c r="C989" s="12" t="s">
        <v>17</v>
      </c>
      <c r="D989" s="2">
        <v>43223</v>
      </c>
      <c r="E989" s="3">
        <v>400000</v>
      </c>
      <c r="F989" t="s">
        <v>219</v>
      </c>
      <c r="G989" t="s">
        <v>220</v>
      </c>
      <c r="H989" t="s">
        <v>221</v>
      </c>
      <c r="I989" s="10" t="s">
        <v>693</v>
      </c>
      <c r="J989" s="167" t="s">
        <v>22</v>
      </c>
      <c r="L989" s="9" t="str">
        <f t="shared" si="155"/>
        <v>00988</v>
      </c>
      <c r="M989" s="71" t="str">
        <f t="shared" si="156"/>
        <v>03 de mayo de 2018</v>
      </c>
      <c r="N989" s="39">
        <f t="shared" si="157"/>
        <v>43221</v>
      </c>
      <c r="O989" s="9" t="str">
        <f t="shared" si="159"/>
        <v>400.000,00</v>
      </c>
      <c r="P989" s="8" t="str">
        <f t="shared" si="160"/>
        <v>Cuatrocientos Mil Bolívares con 00/100</v>
      </c>
      <c r="Q989" s="403" t="str">
        <f t="shared" si="158"/>
        <v/>
      </c>
    </row>
    <row r="990" spans="1:17" ht="15.75" thickBot="1" x14ac:dyDescent="0.3">
      <c r="A990" s="1">
        <f t="shared" si="152"/>
        <v>989</v>
      </c>
      <c r="C990" s="12" t="s">
        <v>17</v>
      </c>
      <c r="D990" s="2">
        <v>43223</v>
      </c>
      <c r="E990" s="3">
        <v>140000</v>
      </c>
      <c r="F990" t="s">
        <v>492</v>
      </c>
      <c r="G990" s="27" t="s">
        <v>58</v>
      </c>
      <c r="H990" t="s">
        <v>493</v>
      </c>
      <c r="I990" s="10" t="s">
        <v>668</v>
      </c>
      <c r="J990" s="167" t="s">
        <v>22</v>
      </c>
      <c r="L990" s="9" t="str">
        <f t="shared" si="155"/>
        <v>00989</v>
      </c>
      <c r="M990" s="71" t="str">
        <f t="shared" si="156"/>
        <v>03 de mayo de 2018</v>
      </c>
      <c r="N990" s="39">
        <f t="shared" si="157"/>
        <v>43221</v>
      </c>
      <c r="O990" s="9" t="str">
        <f t="shared" si="159"/>
        <v>140.000,00</v>
      </c>
      <c r="P990" s="8" t="str">
        <f t="shared" si="160"/>
        <v>Ciento Cuarenta Mil Bolívares con 00/100</v>
      </c>
      <c r="Q990" s="403" t="str">
        <f t="shared" si="158"/>
        <v/>
      </c>
    </row>
    <row r="991" spans="1:17" x14ac:dyDescent="0.25">
      <c r="A991" s="1">
        <f t="shared" si="152"/>
        <v>990</v>
      </c>
      <c r="C991" s="12" t="s">
        <v>17</v>
      </c>
      <c r="D991" s="2">
        <v>43223</v>
      </c>
      <c r="E991" s="3">
        <v>520000</v>
      </c>
      <c r="F991" t="s">
        <v>354</v>
      </c>
      <c r="G991" t="s">
        <v>355</v>
      </c>
      <c r="H991" t="s">
        <v>356</v>
      </c>
      <c r="I991" s="10" t="s">
        <v>694</v>
      </c>
      <c r="J991" s="167" t="s">
        <v>22</v>
      </c>
      <c r="L991" s="9" t="str">
        <f t="shared" si="155"/>
        <v>00990</v>
      </c>
      <c r="M991" s="71" t="str">
        <f t="shared" si="156"/>
        <v>03 de mayo de 2018</v>
      </c>
      <c r="N991" s="39">
        <f t="shared" si="157"/>
        <v>43221</v>
      </c>
      <c r="O991" s="9" t="str">
        <f t="shared" si="159"/>
        <v>520.000,00</v>
      </c>
      <c r="P991" s="8" t="str">
        <f t="shared" si="160"/>
        <v>Quinientos Veinte Mil Bolívares con 00/100</v>
      </c>
      <c r="Q991" s="403" t="str">
        <f t="shared" si="158"/>
        <v/>
      </c>
    </row>
    <row r="992" spans="1:17" x14ac:dyDescent="0.25">
      <c r="A992" s="1">
        <f t="shared" si="152"/>
        <v>991</v>
      </c>
      <c r="C992" s="12" t="s">
        <v>17</v>
      </c>
      <c r="D992" s="2">
        <v>43223</v>
      </c>
      <c r="E992" s="3">
        <v>400000</v>
      </c>
      <c r="F992" t="s">
        <v>484</v>
      </c>
      <c r="G992" t="s">
        <v>485</v>
      </c>
      <c r="H992" t="s">
        <v>486</v>
      </c>
      <c r="I992" s="10" t="s">
        <v>684</v>
      </c>
      <c r="J992" s="167" t="s">
        <v>22</v>
      </c>
      <c r="L992" s="9" t="str">
        <f t="shared" si="155"/>
        <v>00991</v>
      </c>
      <c r="M992" s="71" t="str">
        <f t="shared" si="156"/>
        <v>03 de mayo de 2018</v>
      </c>
      <c r="N992" s="39">
        <f t="shared" si="157"/>
        <v>43221</v>
      </c>
      <c r="O992" s="9" t="str">
        <f t="shared" si="159"/>
        <v>400.000,00</v>
      </c>
      <c r="P992" s="8" t="str">
        <f t="shared" si="160"/>
        <v>Cuatrocientos Mil Bolívares con 00/100</v>
      </c>
      <c r="Q992" s="403" t="str">
        <f t="shared" si="158"/>
        <v/>
      </c>
    </row>
    <row r="993" spans="1:17" x14ac:dyDescent="0.25">
      <c r="A993" s="1">
        <f t="shared" si="152"/>
        <v>992</v>
      </c>
      <c r="C993" s="12" t="s">
        <v>17</v>
      </c>
      <c r="D993" s="2">
        <v>43224</v>
      </c>
      <c r="E993" s="3">
        <v>400000</v>
      </c>
      <c r="F993" t="s">
        <v>107</v>
      </c>
      <c r="G993" t="s">
        <v>108</v>
      </c>
      <c r="H993" t="s">
        <v>109</v>
      </c>
      <c r="I993" s="10" t="s">
        <v>684</v>
      </c>
      <c r="J993" s="167" t="s">
        <v>22</v>
      </c>
      <c r="L993" s="9" t="str">
        <f t="shared" si="155"/>
        <v>00992</v>
      </c>
      <c r="M993" s="71" t="str">
        <f t="shared" si="156"/>
        <v>04 de mayo de 2018</v>
      </c>
      <c r="N993" s="39">
        <f t="shared" si="157"/>
        <v>43221</v>
      </c>
      <c r="O993" s="9" t="str">
        <f t="shared" si="159"/>
        <v>400.000,00</v>
      </c>
      <c r="P993" s="8" t="str">
        <f t="shared" si="160"/>
        <v>Cuatrocientos Mil Bolívares con 00/100</v>
      </c>
      <c r="Q993" s="403" t="str">
        <f t="shared" si="158"/>
        <v/>
      </c>
    </row>
    <row r="994" spans="1:17" x14ac:dyDescent="0.25">
      <c r="A994" s="1">
        <f t="shared" si="152"/>
        <v>993</v>
      </c>
      <c r="C994" s="12" t="s">
        <v>17</v>
      </c>
      <c r="D994" s="2">
        <v>43224</v>
      </c>
      <c r="E994" s="3">
        <v>550000</v>
      </c>
      <c r="F994" t="s">
        <v>114</v>
      </c>
      <c r="G994" t="s">
        <v>115</v>
      </c>
      <c r="H994" t="s">
        <v>116</v>
      </c>
      <c r="I994" s="10" t="s">
        <v>695</v>
      </c>
      <c r="J994" s="167" t="s">
        <v>22</v>
      </c>
      <c r="L994" s="9" t="str">
        <f t="shared" si="155"/>
        <v>00993</v>
      </c>
      <c r="M994" s="71" t="str">
        <f t="shared" si="156"/>
        <v>04 de mayo de 2018</v>
      </c>
      <c r="N994" s="39">
        <f t="shared" si="157"/>
        <v>43221</v>
      </c>
      <c r="O994" s="9" t="str">
        <f t="shared" si="159"/>
        <v>550.000,00</v>
      </c>
      <c r="P994" s="8" t="str">
        <f t="shared" si="160"/>
        <v>Quinientos Cincuenta Mil Bolívares con 00/100</v>
      </c>
      <c r="Q994" s="403" t="str">
        <f t="shared" si="158"/>
        <v/>
      </c>
    </row>
    <row r="995" spans="1:17" x14ac:dyDescent="0.25">
      <c r="A995" s="1">
        <f>A994+1</f>
        <v>994</v>
      </c>
      <c r="C995" s="12" t="s">
        <v>17</v>
      </c>
      <c r="D995" s="2">
        <v>43224</v>
      </c>
      <c r="E995" s="3">
        <v>400000</v>
      </c>
      <c r="F995" t="s">
        <v>70</v>
      </c>
      <c r="G995" t="s">
        <v>71</v>
      </c>
      <c r="H995" t="s">
        <v>72</v>
      </c>
      <c r="I995" s="10" t="s">
        <v>684</v>
      </c>
      <c r="J995" s="167" t="s">
        <v>22</v>
      </c>
      <c r="L995" s="9" t="str">
        <f t="shared" si="155"/>
        <v>00994</v>
      </c>
      <c r="M995" s="71" t="str">
        <f t="shared" si="156"/>
        <v>04 de mayo de 2018</v>
      </c>
      <c r="N995" s="39">
        <f t="shared" si="157"/>
        <v>43221</v>
      </c>
      <c r="O995" s="9" t="str">
        <f t="shared" si="159"/>
        <v>400.000,00</v>
      </c>
      <c r="P995" s="8" t="str">
        <f t="shared" si="160"/>
        <v>Cuatrocientos Mil Bolívares con 00/100</v>
      </c>
      <c r="Q995" s="403" t="str">
        <f t="shared" si="158"/>
        <v/>
      </c>
    </row>
    <row r="996" spans="1:17" x14ac:dyDescent="0.25">
      <c r="A996" s="1">
        <f t="shared" si="152"/>
        <v>995</v>
      </c>
      <c r="C996" s="12" t="s">
        <v>17</v>
      </c>
      <c r="D996" s="2">
        <v>43224</v>
      </c>
      <c r="E996" s="3">
        <v>400000</v>
      </c>
      <c r="F996" t="s">
        <v>40</v>
      </c>
      <c r="G996" t="s">
        <v>41</v>
      </c>
      <c r="H996" t="s">
        <v>42</v>
      </c>
      <c r="I996" s="10" t="s">
        <v>684</v>
      </c>
      <c r="J996" s="167" t="s">
        <v>22</v>
      </c>
      <c r="L996" s="9" t="str">
        <f t="shared" si="155"/>
        <v>00995</v>
      </c>
      <c r="M996" s="71" t="str">
        <f t="shared" si="156"/>
        <v>04 de mayo de 2018</v>
      </c>
      <c r="N996" s="39">
        <f t="shared" si="157"/>
        <v>43221</v>
      </c>
      <c r="O996" s="9" t="str">
        <f t="shared" si="159"/>
        <v>400.000,00</v>
      </c>
      <c r="P996" s="8" t="str">
        <f t="shared" si="160"/>
        <v>Cuatrocientos Mil Bolívares con 00/100</v>
      </c>
      <c r="Q996" s="403" t="str">
        <f t="shared" si="158"/>
        <v/>
      </c>
    </row>
    <row r="997" spans="1:17" x14ac:dyDescent="0.25">
      <c r="A997" s="1">
        <f t="shared" si="152"/>
        <v>996</v>
      </c>
      <c r="C997" s="12" t="s">
        <v>17</v>
      </c>
      <c r="D997" s="2">
        <v>43224</v>
      </c>
      <c r="E997" s="3">
        <v>400000</v>
      </c>
      <c r="F997" t="s">
        <v>44</v>
      </c>
      <c r="G997" t="s">
        <v>45</v>
      </c>
      <c r="H997" t="s">
        <v>46</v>
      </c>
      <c r="I997" s="10" t="s">
        <v>696</v>
      </c>
      <c r="J997" s="167" t="s">
        <v>22</v>
      </c>
      <c r="L997" s="9" t="str">
        <f t="shared" si="155"/>
        <v>00996</v>
      </c>
      <c r="M997" s="71" t="str">
        <f t="shared" si="156"/>
        <v>04 de mayo de 2018</v>
      </c>
      <c r="N997" s="39">
        <f t="shared" si="157"/>
        <v>43221</v>
      </c>
      <c r="O997" s="9" t="str">
        <f t="shared" si="159"/>
        <v>400.000,00</v>
      </c>
      <c r="P997" s="8" t="str">
        <f t="shared" si="160"/>
        <v>Cuatrocientos Mil Bolívares con 00/100</v>
      </c>
      <c r="Q997" s="403" t="str">
        <f t="shared" si="158"/>
        <v/>
      </c>
    </row>
    <row r="998" spans="1:17" x14ac:dyDescent="0.25">
      <c r="A998" s="1">
        <f t="shared" si="152"/>
        <v>997</v>
      </c>
      <c r="C998" s="12" t="s">
        <v>17</v>
      </c>
      <c r="D998" s="2">
        <v>43226</v>
      </c>
      <c r="E998" s="3">
        <v>260000</v>
      </c>
      <c r="F998" t="s">
        <v>558</v>
      </c>
      <c r="G998" t="s">
        <v>559</v>
      </c>
      <c r="H998" t="s">
        <v>560</v>
      </c>
      <c r="I998" s="10" t="s">
        <v>697</v>
      </c>
      <c r="J998" s="167" t="s">
        <v>22</v>
      </c>
      <c r="L998" s="9" t="str">
        <f t="shared" si="155"/>
        <v>00997</v>
      </c>
      <c r="M998" s="71" t="str">
        <f t="shared" si="156"/>
        <v>06 de mayo de 2018</v>
      </c>
      <c r="N998" s="39">
        <f t="shared" si="157"/>
        <v>43221</v>
      </c>
      <c r="O998" s="9" t="str">
        <f t="shared" si="159"/>
        <v>260.000,00</v>
      </c>
      <c r="P998" s="8" t="str">
        <f t="shared" si="160"/>
        <v>Doscientos Sesenta Mil Bolívares con 00/100</v>
      </c>
      <c r="Q998" s="403" t="str">
        <f t="shared" si="158"/>
        <v/>
      </c>
    </row>
    <row r="999" spans="1:17" x14ac:dyDescent="0.25">
      <c r="A999" s="1">
        <f t="shared" si="152"/>
        <v>998</v>
      </c>
      <c r="C999" s="12" t="s">
        <v>17</v>
      </c>
      <c r="D999" s="2">
        <v>43227</v>
      </c>
      <c r="E999" s="3">
        <v>400000</v>
      </c>
      <c r="F999" t="s">
        <v>90</v>
      </c>
      <c r="G999" t="s">
        <v>91</v>
      </c>
      <c r="H999" t="s">
        <v>92</v>
      </c>
      <c r="I999" s="10" t="s">
        <v>684</v>
      </c>
      <c r="J999" s="167" t="s">
        <v>22</v>
      </c>
      <c r="L999" s="9" t="str">
        <f t="shared" si="155"/>
        <v>00998</v>
      </c>
      <c r="M999" s="71" t="str">
        <f t="shared" si="156"/>
        <v>07 de mayo de 2018</v>
      </c>
      <c r="N999" s="39">
        <f t="shared" si="157"/>
        <v>43221</v>
      </c>
      <c r="O999" s="9" t="str">
        <f t="shared" si="159"/>
        <v>400.000,00</v>
      </c>
      <c r="P999" s="8" t="str">
        <f t="shared" si="160"/>
        <v>Cuatrocientos Mil Bolívares con 00/100</v>
      </c>
      <c r="Q999" s="403" t="str">
        <f t="shared" si="158"/>
        <v/>
      </c>
    </row>
    <row r="1000" spans="1:17" x14ac:dyDescent="0.25">
      <c r="A1000" s="1">
        <f t="shared" si="152"/>
        <v>999</v>
      </c>
      <c r="C1000" s="12" t="s">
        <v>17</v>
      </c>
      <c r="D1000" s="2">
        <v>43227</v>
      </c>
      <c r="E1000" s="3">
        <v>100000</v>
      </c>
      <c r="F1000" t="s">
        <v>90</v>
      </c>
      <c r="G1000" t="s">
        <v>91</v>
      </c>
      <c r="H1000" t="s">
        <v>92</v>
      </c>
      <c r="I1000" s="10" t="s">
        <v>672</v>
      </c>
      <c r="J1000" s="167" t="s">
        <v>673</v>
      </c>
      <c r="L1000" s="9" t="str">
        <f t="shared" si="155"/>
        <v>00999</v>
      </c>
      <c r="M1000" s="71" t="str">
        <f t="shared" si="156"/>
        <v>07 de mayo de 2018</v>
      </c>
      <c r="N1000" s="39">
        <f t="shared" si="157"/>
        <v>43221</v>
      </c>
      <c r="O1000" s="9" t="str">
        <f t="shared" si="159"/>
        <v>100.000,00</v>
      </c>
      <c r="P1000" s="8" t="str">
        <f t="shared" si="160"/>
        <v>Cien Mil Bolívares con 00/100</v>
      </c>
      <c r="Q1000" s="403" t="str">
        <f t="shared" si="158"/>
        <v/>
      </c>
    </row>
    <row r="1001" spans="1:17" x14ac:dyDescent="0.25">
      <c r="A1001" s="1">
        <f t="shared" si="152"/>
        <v>1000</v>
      </c>
      <c r="C1001" s="12" t="s">
        <v>17</v>
      </c>
      <c r="D1001" s="2">
        <v>43227</v>
      </c>
      <c r="E1001" s="3">
        <v>400000</v>
      </c>
      <c r="F1001" t="s">
        <v>24</v>
      </c>
      <c r="G1001" t="s">
        <v>25</v>
      </c>
      <c r="H1001" t="s">
        <v>26</v>
      </c>
      <c r="I1001" s="10" t="s">
        <v>684</v>
      </c>
      <c r="J1001" s="167" t="s">
        <v>22</v>
      </c>
      <c r="L1001" s="9" t="str">
        <f t="shared" si="155"/>
        <v>01000</v>
      </c>
      <c r="M1001" s="71" t="str">
        <f t="shared" si="156"/>
        <v>07 de mayo de 2018</v>
      </c>
      <c r="N1001" s="39">
        <f t="shared" si="157"/>
        <v>43221</v>
      </c>
      <c r="O1001" s="9" t="str">
        <f t="shared" si="159"/>
        <v>400.000,00</v>
      </c>
      <c r="P1001" s="8" t="str">
        <f t="shared" si="160"/>
        <v>Cuatrocientos Mil Bolívares con 00/100</v>
      </c>
      <c r="Q1001" s="403" t="str">
        <f t="shared" si="158"/>
        <v/>
      </c>
    </row>
    <row r="1002" spans="1:17" x14ac:dyDescent="0.25">
      <c r="A1002" s="1">
        <f t="shared" ref="A1002:A1036" si="161">A1001+1</f>
        <v>1001</v>
      </c>
      <c r="C1002" s="12" t="s">
        <v>17</v>
      </c>
      <c r="D1002" s="2">
        <v>43196</v>
      </c>
      <c r="E1002" s="3">
        <v>140000</v>
      </c>
      <c r="F1002" t="s">
        <v>80</v>
      </c>
      <c r="G1002" t="s">
        <v>81</v>
      </c>
      <c r="H1002" t="s">
        <v>82</v>
      </c>
      <c r="I1002" s="10" t="s">
        <v>668</v>
      </c>
      <c r="J1002" s="167" t="s">
        <v>22</v>
      </c>
      <c r="L1002" s="9" t="str">
        <f t="shared" si="155"/>
        <v>01001</v>
      </c>
      <c r="M1002" s="71" t="str">
        <f t="shared" si="156"/>
        <v>06 de abril de 2018</v>
      </c>
      <c r="N1002" s="39">
        <f t="shared" si="157"/>
        <v>43191</v>
      </c>
      <c r="O1002" s="9" t="str">
        <f t="shared" si="159"/>
        <v>140.000,00</v>
      </c>
      <c r="P1002" s="8" t="str">
        <f t="shared" si="160"/>
        <v>Ciento Cuarenta Mil Bolívares con 00/100</v>
      </c>
      <c r="Q1002" s="403" t="str">
        <f t="shared" si="158"/>
        <v/>
      </c>
    </row>
    <row r="1003" spans="1:17" x14ac:dyDescent="0.25">
      <c r="A1003" s="1">
        <f t="shared" si="161"/>
        <v>1002</v>
      </c>
      <c r="C1003" s="12" t="s">
        <v>17</v>
      </c>
      <c r="D1003" s="2">
        <v>43196</v>
      </c>
      <c r="E1003" s="3">
        <v>60000</v>
      </c>
      <c r="F1003" t="s">
        <v>80</v>
      </c>
      <c r="G1003" t="s">
        <v>81</v>
      </c>
      <c r="H1003" t="s">
        <v>82</v>
      </c>
      <c r="I1003" s="10" t="s">
        <v>672</v>
      </c>
      <c r="J1003" s="167" t="s">
        <v>673</v>
      </c>
      <c r="L1003" s="9" t="str">
        <f t="shared" si="155"/>
        <v>01002</v>
      </c>
      <c r="M1003" s="71" t="str">
        <f t="shared" si="156"/>
        <v>06 de abril de 2018</v>
      </c>
      <c r="N1003" s="39">
        <f t="shared" si="157"/>
        <v>43191</v>
      </c>
      <c r="O1003" s="9" t="str">
        <f t="shared" ref="O1003:O1009" si="162">TEXT(E1003,"#.##0,00")</f>
        <v>60.000,00</v>
      </c>
      <c r="P1003" s="8" t="str">
        <f t="shared" ref="P1003:P1009" si="163">CONVERTIRNUM(E1003)</f>
        <v>Sesenta Mil Bolívares con 00/100</v>
      </c>
      <c r="Q1003" s="403" t="str">
        <f t="shared" si="158"/>
        <v/>
      </c>
    </row>
    <row r="1004" spans="1:17" x14ac:dyDescent="0.25">
      <c r="A1004" s="1">
        <f t="shared" si="161"/>
        <v>1003</v>
      </c>
      <c r="C1004" s="12" t="s">
        <v>17</v>
      </c>
      <c r="D1004" s="2">
        <v>43227</v>
      </c>
      <c r="E1004" s="3">
        <v>400000</v>
      </c>
      <c r="F1004" t="s">
        <v>80</v>
      </c>
      <c r="G1004" t="s">
        <v>81</v>
      </c>
      <c r="H1004" t="s">
        <v>82</v>
      </c>
      <c r="I1004" s="10" t="s">
        <v>684</v>
      </c>
      <c r="J1004" s="167" t="s">
        <v>22</v>
      </c>
      <c r="L1004" s="9" t="str">
        <f t="shared" si="155"/>
        <v>01003</v>
      </c>
      <c r="M1004" s="71" t="str">
        <f t="shared" si="156"/>
        <v>07 de mayo de 2018</v>
      </c>
      <c r="N1004" s="39">
        <f t="shared" si="157"/>
        <v>43221</v>
      </c>
      <c r="O1004" s="9" t="str">
        <f t="shared" si="162"/>
        <v>400.000,00</v>
      </c>
      <c r="P1004" s="8" t="str">
        <f t="shared" si="163"/>
        <v>Cuatrocientos Mil Bolívares con 00/100</v>
      </c>
      <c r="Q1004" s="403" t="str">
        <f t="shared" si="158"/>
        <v/>
      </c>
    </row>
    <row r="1005" spans="1:17" x14ac:dyDescent="0.25">
      <c r="A1005" s="1">
        <f t="shared" si="161"/>
        <v>1004</v>
      </c>
      <c r="C1005" s="12" t="s">
        <v>17</v>
      </c>
      <c r="D1005" s="2">
        <v>43227</v>
      </c>
      <c r="E1005" s="3">
        <v>540000</v>
      </c>
      <c r="F1005" t="s">
        <v>94</v>
      </c>
      <c r="G1005" t="s">
        <v>607</v>
      </c>
      <c r="H1005" t="s">
        <v>96</v>
      </c>
      <c r="I1005" s="10" t="s">
        <v>695</v>
      </c>
      <c r="J1005" s="167" t="s">
        <v>22</v>
      </c>
      <c r="L1005" s="9" t="str">
        <f t="shared" si="155"/>
        <v>01004</v>
      </c>
      <c r="M1005" s="71" t="str">
        <f t="shared" si="156"/>
        <v>07 de mayo de 2018</v>
      </c>
      <c r="N1005" s="39">
        <f t="shared" si="157"/>
        <v>43221</v>
      </c>
      <c r="O1005" s="9" t="str">
        <f t="shared" si="162"/>
        <v>540.000,00</v>
      </c>
      <c r="P1005" s="8" t="str">
        <f t="shared" si="163"/>
        <v>Quinientos Cuarenta Mil Bolívares con 00/100</v>
      </c>
      <c r="Q1005" s="403" t="str">
        <f t="shared" si="158"/>
        <v/>
      </c>
    </row>
    <row r="1006" spans="1:17" x14ac:dyDescent="0.25">
      <c r="A1006" s="1">
        <f t="shared" si="161"/>
        <v>1005</v>
      </c>
      <c r="C1006" s="12" t="s">
        <v>17</v>
      </c>
      <c r="D1006" s="2">
        <v>43224</v>
      </c>
      <c r="E1006" s="3">
        <v>140000</v>
      </c>
      <c r="F1006" t="s">
        <v>296</v>
      </c>
      <c r="G1006" t="s">
        <v>297</v>
      </c>
      <c r="H1006" t="s">
        <v>298</v>
      </c>
      <c r="I1006" s="10" t="s">
        <v>668</v>
      </c>
      <c r="J1006" s="167" t="s">
        <v>22</v>
      </c>
      <c r="L1006" s="9" t="str">
        <f t="shared" si="155"/>
        <v>01005</v>
      </c>
      <c r="M1006" s="71" t="str">
        <f t="shared" si="156"/>
        <v>04 de mayo de 2018</v>
      </c>
      <c r="N1006" s="39">
        <f t="shared" si="157"/>
        <v>43221</v>
      </c>
      <c r="O1006" s="9" t="str">
        <f t="shared" si="162"/>
        <v>140.000,00</v>
      </c>
      <c r="P1006" s="8" t="str">
        <f t="shared" si="163"/>
        <v>Ciento Cuarenta Mil Bolívares con 00/100</v>
      </c>
      <c r="Q1006" s="403" t="str">
        <f t="shared" si="158"/>
        <v/>
      </c>
    </row>
    <row r="1007" spans="1:17" x14ac:dyDescent="0.25">
      <c r="A1007" s="1">
        <f t="shared" si="161"/>
        <v>1006</v>
      </c>
      <c r="C1007" s="12" t="s">
        <v>17</v>
      </c>
      <c r="D1007" s="2">
        <v>43227</v>
      </c>
      <c r="E1007" s="3">
        <v>440000</v>
      </c>
      <c r="F1007" t="s">
        <v>206</v>
      </c>
      <c r="G1007" t="s">
        <v>207</v>
      </c>
      <c r="H1007" t="s">
        <v>208</v>
      </c>
      <c r="I1007" s="10" t="s">
        <v>622</v>
      </c>
      <c r="J1007" s="167" t="s">
        <v>22</v>
      </c>
      <c r="L1007" s="9" t="str">
        <f t="shared" si="155"/>
        <v>01006</v>
      </c>
      <c r="M1007" s="71" t="str">
        <f t="shared" si="156"/>
        <v>07 de mayo de 2018</v>
      </c>
      <c r="N1007" s="39">
        <f t="shared" si="157"/>
        <v>43221</v>
      </c>
      <c r="O1007" s="9" t="str">
        <f t="shared" si="162"/>
        <v>440.000,00</v>
      </c>
      <c r="P1007" s="8" t="str">
        <f t="shared" si="163"/>
        <v>Cuatrocientos Cuarenta Mil Bolívares con 00/100</v>
      </c>
      <c r="Q1007" s="403" t="str">
        <f t="shared" si="158"/>
        <v/>
      </c>
    </row>
    <row r="1008" spans="1:17" ht="15.75" thickBot="1" x14ac:dyDescent="0.3">
      <c r="A1008" s="1">
        <f t="shared" si="161"/>
        <v>1007</v>
      </c>
      <c r="C1008" s="12" t="s">
        <v>17</v>
      </c>
      <c r="D1008" s="2">
        <v>43228</v>
      </c>
      <c r="E1008" s="3">
        <v>100000</v>
      </c>
      <c r="F1008" t="s">
        <v>28</v>
      </c>
      <c r="G1008" t="s">
        <v>29</v>
      </c>
      <c r="H1008" t="s">
        <v>30</v>
      </c>
      <c r="I1008" s="10" t="s">
        <v>669</v>
      </c>
      <c r="J1008" s="167" t="s">
        <v>22</v>
      </c>
      <c r="L1008" s="9" t="str">
        <f t="shared" si="155"/>
        <v>01007</v>
      </c>
      <c r="M1008" s="71" t="str">
        <f t="shared" si="156"/>
        <v>08 de mayo de 2018</v>
      </c>
      <c r="N1008" s="39">
        <f t="shared" si="157"/>
        <v>43221</v>
      </c>
      <c r="O1008" s="9" t="str">
        <f t="shared" si="162"/>
        <v>100.000,00</v>
      </c>
      <c r="P1008" s="8" t="str">
        <f t="shared" si="163"/>
        <v>Cien Mil Bolívares con 00/100</v>
      </c>
      <c r="Q1008" s="403" t="str">
        <f t="shared" si="158"/>
        <v/>
      </c>
    </row>
    <row r="1009" spans="1:17" ht="15.75" thickBot="1" x14ac:dyDescent="0.3">
      <c r="A1009" s="1">
        <f t="shared" si="161"/>
        <v>1008</v>
      </c>
      <c r="C1009" s="12" t="s">
        <v>17</v>
      </c>
      <c r="D1009" s="2">
        <v>43228</v>
      </c>
      <c r="E1009" s="3">
        <f>140000*2+400000</f>
        <v>680000</v>
      </c>
      <c r="F1009" t="s">
        <v>259</v>
      </c>
      <c r="G1009" s="27" t="s">
        <v>58</v>
      </c>
      <c r="H1009" t="s">
        <v>261</v>
      </c>
      <c r="I1009" s="10" t="s">
        <v>629</v>
      </c>
      <c r="J1009" s="167" t="s">
        <v>22</v>
      </c>
      <c r="L1009" s="9" t="str">
        <f t="shared" si="155"/>
        <v>01008</v>
      </c>
      <c r="M1009" s="71" t="str">
        <f t="shared" si="156"/>
        <v>08 de mayo de 2018</v>
      </c>
      <c r="N1009" s="39">
        <f t="shared" si="157"/>
        <v>43221</v>
      </c>
      <c r="O1009" s="9" t="str">
        <f t="shared" si="162"/>
        <v>680.000,00</v>
      </c>
      <c r="P1009" s="8" t="str">
        <f t="shared" si="163"/>
        <v>Seiscientos Ochenta Mil Bolívares con 00/100</v>
      </c>
      <c r="Q1009" s="403" t="str">
        <f t="shared" si="158"/>
        <v/>
      </c>
    </row>
    <row r="1010" spans="1:17" x14ac:dyDescent="0.25">
      <c r="A1010" s="1">
        <f t="shared" si="161"/>
        <v>1009</v>
      </c>
      <c r="C1010" s="12" t="s">
        <v>17</v>
      </c>
      <c r="D1010" s="2">
        <v>43228</v>
      </c>
      <c r="E1010" s="3">
        <v>140000</v>
      </c>
      <c r="F1010" t="s">
        <v>264</v>
      </c>
      <c r="G1010" t="s">
        <v>265</v>
      </c>
      <c r="H1010" t="s">
        <v>266</v>
      </c>
      <c r="I1010" s="10" t="s">
        <v>669</v>
      </c>
      <c r="J1010" s="167" t="s">
        <v>22</v>
      </c>
      <c r="L1010" s="9" t="str">
        <f t="shared" si="155"/>
        <v>01009</v>
      </c>
      <c r="M1010" s="71" t="str">
        <f t="shared" si="156"/>
        <v>08 de mayo de 2018</v>
      </c>
      <c r="N1010" s="39">
        <f t="shared" si="157"/>
        <v>43221</v>
      </c>
      <c r="O1010" s="9" t="str">
        <f t="shared" ref="O1010:O1040" si="164">TEXT(E1010,"#.##0,00")</f>
        <v>140.000,00</v>
      </c>
      <c r="P1010" s="8" t="str">
        <f t="shared" ref="P1010:P1040" si="165">CONVERTIRNUM(E1010)</f>
        <v>Ciento Cuarenta Mil Bolívares con 00/100</v>
      </c>
      <c r="Q1010" s="403" t="str">
        <f t="shared" si="158"/>
        <v/>
      </c>
    </row>
    <row r="1011" spans="1:17" ht="15.75" thickBot="1" x14ac:dyDescent="0.3">
      <c r="A1011" s="1">
        <f t="shared" si="161"/>
        <v>1010</v>
      </c>
      <c r="C1011" s="12" t="s">
        <v>17</v>
      </c>
      <c r="D1011" s="2">
        <v>43228</v>
      </c>
      <c r="E1011" s="3">
        <v>400000</v>
      </c>
      <c r="F1011" t="s">
        <v>698</v>
      </c>
      <c r="G1011" t="s">
        <v>699</v>
      </c>
      <c r="H1011" t="s">
        <v>150</v>
      </c>
      <c r="I1011" s="10" t="s">
        <v>684</v>
      </c>
      <c r="J1011" s="167" t="s">
        <v>22</v>
      </c>
      <c r="L1011" s="9" t="str">
        <f t="shared" si="155"/>
        <v>01010</v>
      </c>
      <c r="M1011" s="71" t="str">
        <f t="shared" si="156"/>
        <v>08 de mayo de 2018</v>
      </c>
      <c r="N1011" s="39">
        <f t="shared" si="157"/>
        <v>43221</v>
      </c>
      <c r="O1011" s="9" t="str">
        <f t="shared" si="164"/>
        <v>400.000,00</v>
      </c>
      <c r="P1011" s="8" t="str">
        <f t="shared" si="165"/>
        <v>Cuatrocientos Mil Bolívares con 00/100</v>
      </c>
      <c r="Q1011" s="403" t="str">
        <f t="shared" si="158"/>
        <v/>
      </c>
    </row>
    <row r="1012" spans="1:17" ht="15.75" thickBot="1" x14ac:dyDescent="0.3">
      <c r="A1012" s="1">
        <f t="shared" si="161"/>
        <v>1011</v>
      </c>
      <c r="C1012" s="12" t="s">
        <v>17</v>
      </c>
      <c r="D1012" s="2">
        <v>43228</v>
      </c>
      <c r="E1012" s="3">
        <f>155000+400000</f>
        <v>555000</v>
      </c>
      <c r="F1012" s="31" t="s">
        <v>57</v>
      </c>
      <c r="G1012" s="27" t="s">
        <v>58</v>
      </c>
      <c r="H1012" s="32" t="s">
        <v>59</v>
      </c>
      <c r="I1012" s="10" t="s">
        <v>695</v>
      </c>
      <c r="J1012" s="167" t="s">
        <v>22</v>
      </c>
      <c r="K1012" s="33"/>
      <c r="L1012" s="9" t="str">
        <f t="shared" si="155"/>
        <v>01011</v>
      </c>
      <c r="M1012" s="71" t="str">
        <f t="shared" si="156"/>
        <v>08 de mayo de 2018</v>
      </c>
      <c r="N1012" s="39">
        <f t="shared" si="157"/>
        <v>43221</v>
      </c>
      <c r="O1012" s="9" t="str">
        <f t="shared" si="164"/>
        <v>555.000,00</v>
      </c>
      <c r="P1012" s="8" t="str">
        <f t="shared" si="165"/>
        <v>Quinientos Cincuenta y Cinco Mil Bolívares con 00/100</v>
      </c>
      <c r="Q1012" s="403" t="str">
        <f t="shared" si="158"/>
        <v/>
      </c>
    </row>
    <row r="1013" spans="1:17" x14ac:dyDescent="0.25">
      <c r="A1013" s="1">
        <f t="shared" si="161"/>
        <v>1012</v>
      </c>
      <c r="C1013" s="12" t="s">
        <v>17</v>
      </c>
      <c r="D1013" s="2">
        <v>43229</v>
      </c>
      <c r="E1013" s="3">
        <v>400000</v>
      </c>
      <c r="F1013" t="s">
        <v>633</v>
      </c>
      <c r="G1013" t="s">
        <v>634</v>
      </c>
      <c r="H1013" t="s">
        <v>635</v>
      </c>
      <c r="I1013" s="10" t="s">
        <v>684</v>
      </c>
      <c r="J1013" s="167" t="s">
        <v>22</v>
      </c>
      <c r="L1013" s="9" t="str">
        <f t="shared" si="155"/>
        <v>01012</v>
      </c>
      <c r="M1013" s="71" t="str">
        <f t="shared" si="156"/>
        <v>09 de mayo de 2018</v>
      </c>
      <c r="N1013" s="39">
        <f t="shared" si="157"/>
        <v>43221</v>
      </c>
      <c r="O1013" s="9" t="str">
        <f t="shared" si="164"/>
        <v>400.000,00</v>
      </c>
      <c r="P1013" s="8" t="str">
        <f t="shared" si="165"/>
        <v>Cuatrocientos Mil Bolívares con 00/100</v>
      </c>
      <c r="Q1013" s="403" t="str">
        <f t="shared" si="158"/>
        <v/>
      </c>
    </row>
    <row r="1014" spans="1:17" x14ac:dyDescent="0.25">
      <c r="A1014" s="1">
        <f t="shared" si="161"/>
        <v>1013</v>
      </c>
      <c r="C1014" s="12" t="s">
        <v>17</v>
      </c>
      <c r="D1014" s="2">
        <v>43230</v>
      </c>
      <c r="E1014" s="3">
        <v>2000000</v>
      </c>
      <c r="F1014" t="s">
        <v>162</v>
      </c>
      <c r="G1014" t="s">
        <v>163</v>
      </c>
      <c r="H1014" t="s">
        <v>164</v>
      </c>
      <c r="I1014" s="10" t="s">
        <v>700</v>
      </c>
      <c r="J1014" s="167" t="s">
        <v>22</v>
      </c>
      <c r="L1014" s="9" t="str">
        <f t="shared" si="155"/>
        <v>01013</v>
      </c>
      <c r="M1014" s="71" t="str">
        <f t="shared" si="156"/>
        <v>10 de mayo de 2018</v>
      </c>
      <c r="N1014" s="39">
        <f t="shared" si="157"/>
        <v>43221</v>
      </c>
      <c r="O1014" s="9" t="str">
        <f t="shared" si="164"/>
        <v>2.000.000,00</v>
      </c>
      <c r="P1014" s="8" t="str">
        <f t="shared" si="165"/>
        <v>Dos Millones Bolívares con 00/100</v>
      </c>
      <c r="Q1014" s="403" t="str">
        <f t="shared" si="158"/>
        <v/>
      </c>
    </row>
    <row r="1015" spans="1:17" x14ac:dyDescent="0.25">
      <c r="A1015" s="1">
        <f t="shared" si="161"/>
        <v>1014</v>
      </c>
      <c r="C1015" s="12" t="s">
        <v>17</v>
      </c>
      <c r="D1015" s="2">
        <v>43230</v>
      </c>
      <c r="E1015" s="3">
        <v>400000</v>
      </c>
      <c r="F1015" t="s">
        <v>126</v>
      </c>
      <c r="G1015" t="s">
        <v>127</v>
      </c>
      <c r="H1015" t="s">
        <v>128</v>
      </c>
      <c r="I1015" s="10" t="s">
        <v>684</v>
      </c>
      <c r="J1015" s="167" t="s">
        <v>22</v>
      </c>
      <c r="L1015" s="9" t="str">
        <f t="shared" si="155"/>
        <v>01014</v>
      </c>
      <c r="M1015" s="71" t="str">
        <f t="shared" si="156"/>
        <v>10 de mayo de 2018</v>
      </c>
      <c r="N1015" s="39">
        <f t="shared" si="157"/>
        <v>43221</v>
      </c>
      <c r="O1015" s="9" t="str">
        <f t="shared" si="164"/>
        <v>400.000,00</v>
      </c>
      <c r="P1015" s="8" t="str">
        <f t="shared" si="165"/>
        <v>Cuatrocientos Mil Bolívares con 00/100</v>
      </c>
      <c r="Q1015" s="403" t="str">
        <f t="shared" si="158"/>
        <v/>
      </c>
    </row>
    <row r="1016" spans="1:17" x14ac:dyDescent="0.25">
      <c r="A1016" s="1">
        <f t="shared" si="161"/>
        <v>1015</v>
      </c>
      <c r="C1016" s="12" t="s">
        <v>17</v>
      </c>
      <c r="D1016" s="2">
        <v>43231</v>
      </c>
      <c r="E1016" s="3">
        <v>400000</v>
      </c>
      <c r="F1016" t="s">
        <v>363</v>
      </c>
      <c r="G1016" t="s">
        <v>364</v>
      </c>
      <c r="H1016" t="s">
        <v>365</v>
      </c>
      <c r="I1016" s="10" t="s">
        <v>684</v>
      </c>
      <c r="J1016" s="167" t="s">
        <v>22</v>
      </c>
      <c r="L1016" s="9" t="str">
        <f t="shared" si="155"/>
        <v>01015</v>
      </c>
      <c r="M1016" s="71" t="str">
        <f t="shared" si="156"/>
        <v>11 de mayo de 2018</v>
      </c>
      <c r="N1016" s="39">
        <f t="shared" si="157"/>
        <v>43221</v>
      </c>
      <c r="O1016" s="9" t="str">
        <f t="shared" si="164"/>
        <v>400.000,00</v>
      </c>
      <c r="P1016" s="8" t="str">
        <f t="shared" si="165"/>
        <v>Cuatrocientos Mil Bolívares con 00/100</v>
      </c>
      <c r="Q1016" s="403" t="str">
        <f t="shared" si="158"/>
        <v/>
      </c>
    </row>
    <row r="1017" spans="1:17" x14ac:dyDescent="0.25">
      <c r="A1017" s="1">
        <f t="shared" si="161"/>
        <v>1016</v>
      </c>
      <c r="C1017" s="12" t="s">
        <v>17</v>
      </c>
      <c r="D1017" s="2">
        <v>43231</v>
      </c>
      <c r="E1017" s="3">
        <v>280000</v>
      </c>
      <c r="F1017" t="s">
        <v>337</v>
      </c>
      <c r="G1017" t="s">
        <v>338</v>
      </c>
      <c r="H1017" t="s">
        <v>339</v>
      </c>
      <c r="I1017" s="10" t="s">
        <v>701</v>
      </c>
      <c r="J1017" s="167" t="s">
        <v>22</v>
      </c>
      <c r="L1017" s="9" t="str">
        <f t="shared" si="155"/>
        <v>01016</v>
      </c>
      <c r="M1017" s="71" t="str">
        <f t="shared" si="156"/>
        <v>11 de mayo de 2018</v>
      </c>
      <c r="N1017" s="39">
        <f t="shared" si="157"/>
        <v>43221</v>
      </c>
      <c r="O1017" s="9" t="str">
        <f t="shared" si="164"/>
        <v>280.000,00</v>
      </c>
      <c r="P1017" s="8" t="str">
        <f t="shared" si="165"/>
        <v>Doscientos Ochenta Mil Bolívares con 00/100</v>
      </c>
      <c r="Q1017" s="403" t="str">
        <f t="shared" si="158"/>
        <v/>
      </c>
    </row>
    <row r="1018" spans="1:17" ht="15.75" thickBot="1" x14ac:dyDescent="0.3">
      <c r="A1018" s="1">
        <f t="shared" si="161"/>
        <v>1017</v>
      </c>
      <c r="C1018" s="12" t="s">
        <v>17</v>
      </c>
      <c r="D1018" s="2">
        <v>43233</v>
      </c>
      <c r="E1018" s="3">
        <v>100000</v>
      </c>
      <c r="F1018" t="s">
        <v>167</v>
      </c>
      <c r="G1018" t="s">
        <v>168</v>
      </c>
      <c r="H1018" t="s">
        <v>169</v>
      </c>
      <c r="I1018" s="10" t="s">
        <v>680</v>
      </c>
      <c r="J1018" s="167" t="s">
        <v>22</v>
      </c>
      <c r="L1018" s="9" t="str">
        <f t="shared" si="155"/>
        <v>01017</v>
      </c>
      <c r="M1018" s="71" t="str">
        <f t="shared" si="156"/>
        <v>13 de mayo de 2018</v>
      </c>
      <c r="N1018" s="39">
        <f t="shared" si="157"/>
        <v>43221</v>
      </c>
      <c r="O1018" s="9" t="str">
        <f t="shared" si="164"/>
        <v>100.000,00</v>
      </c>
      <c r="P1018" s="8" t="str">
        <f t="shared" si="165"/>
        <v>Cien Mil Bolívares con 00/100</v>
      </c>
      <c r="Q1018" s="403" t="str">
        <f t="shared" si="158"/>
        <v/>
      </c>
    </row>
    <row r="1019" spans="1:17" ht="15.75" thickBot="1" x14ac:dyDescent="0.3">
      <c r="A1019" s="1">
        <f t="shared" si="161"/>
        <v>1018</v>
      </c>
      <c r="C1019" s="12" t="s">
        <v>17</v>
      </c>
      <c r="D1019" s="2">
        <v>43233</v>
      </c>
      <c r="E1019" s="3">
        <v>580000</v>
      </c>
      <c r="F1019" s="36" t="s">
        <v>423</v>
      </c>
      <c r="G1019" s="27" t="s">
        <v>58</v>
      </c>
      <c r="H1019" t="s">
        <v>424</v>
      </c>
      <c r="I1019" s="10" t="s">
        <v>684</v>
      </c>
      <c r="J1019" s="167" t="s">
        <v>22</v>
      </c>
      <c r="L1019" s="9" t="str">
        <f t="shared" si="155"/>
        <v>01018</v>
      </c>
      <c r="M1019" s="71" t="str">
        <f t="shared" si="156"/>
        <v>13 de mayo de 2018</v>
      </c>
      <c r="N1019" s="39">
        <f t="shared" si="157"/>
        <v>43221</v>
      </c>
      <c r="O1019" s="9" t="str">
        <f t="shared" si="164"/>
        <v>580.000,00</v>
      </c>
      <c r="P1019" s="8" t="str">
        <f t="shared" si="165"/>
        <v>Quinientos Ochenta Mil Bolívares con 00/100</v>
      </c>
      <c r="Q1019" s="403" t="str">
        <f t="shared" si="158"/>
        <v/>
      </c>
    </row>
    <row r="1020" spans="1:17" x14ac:dyDescent="0.25">
      <c r="A1020" s="1">
        <f t="shared" si="161"/>
        <v>1019</v>
      </c>
      <c r="C1020" s="12" t="s">
        <v>17</v>
      </c>
      <c r="D1020" s="2">
        <v>43234</v>
      </c>
      <c r="E1020" s="3">
        <v>300000</v>
      </c>
      <c r="F1020" t="s">
        <v>32</v>
      </c>
      <c r="G1020" t="s">
        <v>33</v>
      </c>
      <c r="H1020" t="s">
        <v>34</v>
      </c>
      <c r="I1020" s="10" t="s">
        <v>662</v>
      </c>
      <c r="J1020" s="167" t="s">
        <v>22</v>
      </c>
      <c r="L1020" s="9" t="str">
        <f t="shared" si="155"/>
        <v>01019</v>
      </c>
      <c r="M1020" s="71" t="str">
        <f t="shared" si="156"/>
        <v>14 de mayo de 2018</v>
      </c>
      <c r="N1020" s="39">
        <f t="shared" si="157"/>
        <v>43221</v>
      </c>
      <c r="O1020" s="9" t="str">
        <f t="shared" si="164"/>
        <v>300.000,00</v>
      </c>
      <c r="P1020" s="8" t="str">
        <f t="shared" si="165"/>
        <v>Trescientos Mil Bolívares con 00/100</v>
      </c>
      <c r="Q1020" s="403" t="str">
        <f t="shared" si="158"/>
        <v/>
      </c>
    </row>
    <row r="1021" spans="1:17" ht="15.75" thickBot="1" x14ac:dyDescent="0.3">
      <c r="A1021" s="1">
        <f t="shared" si="161"/>
        <v>1020</v>
      </c>
      <c r="C1021" s="12" t="s">
        <v>17</v>
      </c>
      <c r="D1021" s="2">
        <v>43235</v>
      </c>
      <c r="E1021" s="3">
        <v>400000</v>
      </c>
      <c r="F1021" t="s">
        <v>201</v>
      </c>
      <c r="G1021" t="s">
        <v>202</v>
      </c>
      <c r="H1021" t="s">
        <v>203</v>
      </c>
      <c r="I1021" s="10" t="s">
        <v>684</v>
      </c>
      <c r="J1021" s="167" t="s">
        <v>22</v>
      </c>
      <c r="L1021" s="9" t="str">
        <f t="shared" si="155"/>
        <v>01020</v>
      </c>
      <c r="M1021" s="71" t="str">
        <f t="shared" si="156"/>
        <v>15 de mayo de 2018</v>
      </c>
      <c r="N1021" s="39">
        <f t="shared" si="157"/>
        <v>43221</v>
      </c>
      <c r="O1021" s="9" t="str">
        <f t="shared" si="164"/>
        <v>400.000,00</v>
      </c>
      <c r="P1021" s="8" t="str">
        <f t="shared" si="165"/>
        <v>Cuatrocientos Mil Bolívares con 00/100</v>
      </c>
      <c r="Q1021" s="403" t="str">
        <f t="shared" si="158"/>
        <v/>
      </c>
    </row>
    <row r="1022" spans="1:17" ht="15.75" thickBot="1" x14ac:dyDescent="0.3">
      <c r="A1022" s="1">
        <f t="shared" si="161"/>
        <v>1021</v>
      </c>
      <c r="C1022" s="12" t="s">
        <v>17</v>
      </c>
      <c r="D1022" s="2">
        <v>43235</v>
      </c>
      <c r="E1022" s="3">
        <v>400000</v>
      </c>
      <c r="F1022" t="s">
        <v>177</v>
      </c>
      <c r="G1022" s="27" t="s">
        <v>58</v>
      </c>
      <c r="H1022" t="s">
        <v>179</v>
      </c>
      <c r="I1022" s="10" t="s">
        <v>684</v>
      </c>
      <c r="J1022" s="167" t="s">
        <v>22</v>
      </c>
      <c r="L1022" s="9" t="str">
        <f t="shared" si="155"/>
        <v>01021</v>
      </c>
      <c r="M1022" s="71" t="str">
        <f t="shared" si="156"/>
        <v>15 de mayo de 2018</v>
      </c>
      <c r="N1022" s="39">
        <f t="shared" si="157"/>
        <v>43221</v>
      </c>
      <c r="O1022" s="9" t="str">
        <f t="shared" si="164"/>
        <v>400.000,00</v>
      </c>
      <c r="P1022" s="8" t="str">
        <f t="shared" si="165"/>
        <v>Cuatrocientos Mil Bolívares con 00/100</v>
      </c>
      <c r="Q1022" s="403" t="str">
        <f t="shared" si="158"/>
        <v/>
      </c>
    </row>
    <row r="1023" spans="1:17" x14ac:dyDescent="0.25">
      <c r="A1023" s="1">
        <f t="shared" si="161"/>
        <v>1022</v>
      </c>
      <c r="C1023" s="12" t="s">
        <v>17</v>
      </c>
      <c r="D1023" s="2">
        <v>43235</v>
      </c>
      <c r="E1023" s="3">
        <v>400000</v>
      </c>
      <c r="F1023" t="s">
        <v>181</v>
      </c>
      <c r="G1023" t="s">
        <v>182</v>
      </c>
      <c r="H1023" t="s">
        <v>183</v>
      </c>
      <c r="I1023" s="10" t="s">
        <v>684</v>
      </c>
      <c r="J1023" s="167" t="s">
        <v>22</v>
      </c>
      <c r="L1023" s="9" t="str">
        <f t="shared" si="155"/>
        <v>01022</v>
      </c>
      <c r="M1023" s="71" t="str">
        <f t="shared" si="156"/>
        <v>15 de mayo de 2018</v>
      </c>
      <c r="N1023" s="39">
        <f t="shared" si="157"/>
        <v>43221</v>
      </c>
      <c r="O1023" s="9" t="str">
        <f t="shared" si="164"/>
        <v>400.000,00</v>
      </c>
      <c r="P1023" s="8" t="str">
        <f t="shared" si="165"/>
        <v>Cuatrocientos Mil Bolívares con 00/100</v>
      </c>
      <c r="Q1023" s="403" t="str">
        <f t="shared" si="158"/>
        <v/>
      </c>
    </row>
    <row r="1024" spans="1:17" x14ac:dyDescent="0.25">
      <c r="A1024" s="1">
        <f t="shared" si="161"/>
        <v>1023</v>
      </c>
      <c r="C1024" s="12" t="s">
        <v>17</v>
      </c>
      <c r="D1024" s="2">
        <v>43235</v>
      </c>
      <c r="E1024" s="3">
        <v>200000</v>
      </c>
      <c r="F1024" t="s">
        <v>402</v>
      </c>
      <c r="G1024" t="s">
        <v>403</v>
      </c>
      <c r="H1024" t="s">
        <v>404</v>
      </c>
      <c r="I1024" s="10" t="s">
        <v>702</v>
      </c>
      <c r="J1024" s="167" t="s">
        <v>22</v>
      </c>
      <c r="L1024" s="9" t="str">
        <f t="shared" si="155"/>
        <v>01023</v>
      </c>
      <c r="M1024" s="71" t="str">
        <f t="shared" si="156"/>
        <v>15 de mayo de 2018</v>
      </c>
      <c r="N1024" s="39">
        <f t="shared" si="157"/>
        <v>43221</v>
      </c>
      <c r="O1024" s="9" t="str">
        <f t="shared" si="164"/>
        <v>200.000,00</v>
      </c>
      <c r="P1024" s="8" t="str">
        <f t="shared" si="165"/>
        <v>Doscientos Mil Bolívares con 00/100</v>
      </c>
      <c r="Q1024" s="403" t="str">
        <f t="shared" si="158"/>
        <v/>
      </c>
    </row>
    <row r="1025" spans="1:17" x14ac:dyDescent="0.25">
      <c r="A1025" s="1">
        <f t="shared" si="161"/>
        <v>1024</v>
      </c>
      <c r="C1025" s="12" t="s">
        <v>17</v>
      </c>
      <c r="D1025" s="2">
        <v>43235</v>
      </c>
      <c r="E1025" s="3">
        <v>300000</v>
      </c>
      <c r="F1025" t="s">
        <v>312</v>
      </c>
      <c r="G1025" t="s">
        <v>313</v>
      </c>
      <c r="H1025" t="s">
        <v>314</v>
      </c>
      <c r="I1025" s="10" t="s">
        <v>703</v>
      </c>
      <c r="J1025" s="167" t="s">
        <v>22</v>
      </c>
      <c r="L1025" s="9" t="str">
        <f t="shared" si="155"/>
        <v>01024</v>
      </c>
      <c r="M1025" s="71" t="str">
        <f t="shared" si="156"/>
        <v>15 de mayo de 2018</v>
      </c>
      <c r="N1025" s="39">
        <f t="shared" si="157"/>
        <v>43221</v>
      </c>
      <c r="O1025" s="9" t="str">
        <f t="shared" si="164"/>
        <v>300.000,00</v>
      </c>
      <c r="P1025" s="8" t="str">
        <f t="shared" si="165"/>
        <v>Trescientos Mil Bolívares con 00/100</v>
      </c>
      <c r="Q1025" s="403" t="str">
        <f t="shared" si="158"/>
        <v/>
      </c>
    </row>
    <row r="1026" spans="1:17" x14ac:dyDescent="0.25">
      <c r="A1026" s="1">
        <f t="shared" si="161"/>
        <v>1025</v>
      </c>
      <c r="C1026" s="12" t="s">
        <v>17</v>
      </c>
      <c r="D1026" s="2">
        <v>43237</v>
      </c>
      <c r="E1026" s="3">
        <v>400000</v>
      </c>
      <c r="F1026" t="s">
        <v>103</v>
      </c>
      <c r="G1026" t="s">
        <v>104</v>
      </c>
      <c r="H1026" t="s">
        <v>105</v>
      </c>
      <c r="I1026" s="10" t="s">
        <v>684</v>
      </c>
      <c r="J1026" s="167" t="s">
        <v>22</v>
      </c>
      <c r="L1026" s="9" t="str">
        <f t="shared" ref="L1026:L1089" si="166">IF(ISBLANK(A1026),"",TEXT(A1026,"00000"))</f>
        <v>01025</v>
      </c>
      <c r="M1026" s="71" t="str">
        <f t="shared" ref="M1026:M1089" si="167">IF(ISBLANK(D1026),"",TEXT(D1026,"dd")&amp;" de "&amp;TEXT(D1026,"mmmm")&amp;" de "&amp;TEXT(YEAR(D1026),"0"))</f>
        <v>17 de mayo de 2018</v>
      </c>
      <c r="N1026" s="39">
        <f t="shared" ref="N1026:N1089" si="168">DATE(YEAR(D1026),MONTH(D1026),1)</f>
        <v>43221</v>
      </c>
      <c r="O1026" s="9" t="str">
        <f t="shared" si="164"/>
        <v>400.000,00</v>
      </c>
      <c r="P1026" s="8" t="str">
        <f t="shared" si="165"/>
        <v>Cuatrocientos Mil Bolívares con 00/100</v>
      </c>
      <c r="Q1026" s="403" t="str">
        <f t="shared" si="158"/>
        <v/>
      </c>
    </row>
    <row r="1027" spans="1:17" x14ac:dyDescent="0.25">
      <c r="A1027" s="1">
        <f t="shared" si="161"/>
        <v>1026</v>
      </c>
      <c r="C1027" s="12" t="s">
        <v>17</v>
      </c>
      <c r="D1027" s="2">
        <v>43238</v>
      </c>
      <c r="E1027" s="3">
        <v>1600000</v>
      </c>
      <c r="F1027" t="s">
        <v>342</v>
      </c>
      <c r="G1027" t="s">
        <v>343</v>
      </c>
      <c r="H1027" t="s">
        <v>344</v>
      </c>
      <c r="I1027" s="10" t="s">
        <v>704</v>
      </c>
      <c r="J1027" s="167" t="s">
        <v>22</v>
      </c>
      <c r="L1027" s="9" t="str">
        <f t="shared" si="166"/>
        <v>01026</v>
      </c>
      <c r="M1027" s="71" t="str">
        <f t="shared" si="167"/>
        <v>18 de mayo de 2018</v>
      </c>
      <c r="N1027" s="39">
        <f t="shared" si="168"/>
        <v>43221</v>
      </c>
      <c r="O1027" s="9" t="str">
        <f t="shared" si="164"/>
        <v>1.600.000,00</v>
      </c>
      <c r="P1027" s="8" t="str">
        <f t="shared" si="165"/>
        <v>Un Millón Seiscientos Mil Bolívares con 00/100</v>
      </c>
      <c r="Q1027" s="403" t="str">
        <f t="shared" ref="Q1027:Q1090" si="169">IF(C1027="û","Anulado","")</f>
        <v/>
      </c>
    </row>
    <row r="1028" spans="1:17" x14ac:dyDescent="0.25">
      <c r="A1028" s="1">
        <f t="shared" si="161"/>
        <v>1027</v>
      </c>
      <c r="C1028" s="12" t="s">
        <v>17</v>
      </c>
      <c r="D1028" s="2">
        <v>43238</v>
      </c>
      <c r="E1028" s="3">
        <v>250000</v>
      </c>
      <c r="F1028" t="s">
        <v>118</v>
      </c>
      <c r="G1028" t="s">
        <v>119</v>
      </c>
      <c r="H1028" t="s">
        <v>120</v>
      </c>
      <c r="I1028" s="10" t="s">
        <v>702</v>
      </c>
      <c r="J1028" s="167" t="s">
        <v>22</v>
      </c>
      <c r="L1028" s="9" t="str">
        <f t="shared" si="166"/>
        <v>01027</v>
      </c>
      <c r="M1028" s="71" t="str">
        <f t="shared" si="167"/>
        <v>18 de mayo de 2018</v>
      </c>
      <c r="N1028" s="39">
        <f t="shared" si="168"/>
        <v>43221</v>
      </c>
      <c r="O1028" s="9" t="str">
        <f t="shared" si="164"/>
        <v>250.000,00</v>
      </c>
      <c r="P1028" s="8" t="str">
        <f t="shared" si="165"/>
        <v>Doscientos Cincuenta Mil Bolívares con 00/100</v>
      </c>
      <c r="Q1028" s="403" t="str">
        <f t="shared" si="169"/>
        <v/>
      </c>
    </row>
    <row r="1029" spans="1:17" x14ac:dyDescent="0.25">
      <c r="A1029" s="1">
        <f t="shared" si="161"/>
        <v>1028</v>
      </c>
      <c r="C1029" s="12" t="s">
        <v>17</v>
      </c>
      <c r="D1029" s="2">
        <v>43238</v>
      </c>
      <c r="E1029" s="3">
        <v>140000</v>
      </c>
      <c r="F1029" t="s">
        <v>62</v>
      </c>
      <c r="G1029" t="s">
        <v>63</v>
      </c>
      <c r="H1029" t="s">
        <v>64</v>
      </c>
      <c r="I1029" s="10" t="s">
        <v>668</v>
      </c>
      <c r="J1029" s="167" t="s">
        <v>22</v>
      </c>
      <c r="L1029" s="9" t="str">
        <f t="shared" si="166"/>
        <v>01028</v>
      </c>
      <c r="M1029" s="71" t="str">
        <f t="shared" si="167"/>
        <v>18 de mayo de 2018</v>
      </c>
      <c r="N1029" s="39">
        <f t="shared" si="168"/>
        <v>43221</v>
      </c>
      <c r="O1029" s="9" t="str">
        <f t="shared" si="164"/>
        <v>140.000,00</v>
      </c>
      <c r="P1029" s="8" t="str">
        <f t="shared" si="165"/>
        <v>Ciento Cuarenta Mil Bolívares con 00/100</v>
      </c>
      <c r="Q1029" s="403" t="str">
        <f t="shared" si="169"/>
        <v/>
      </c>
    </row>
    <row r="1030" spans="1:17" x14ac:dyDescent="0.25">
      <c r="A1030" s="1">
        <f t="shared" si="161"/>
        <v>1029</v>
      </c>
      <c r="C1030" s="12" t="s">
        <v>17</v>
      </c>
      <c r="D1030" s="2">
        <v>43238</v>
      </c>
      <c r="E1030" s="3">
        <v>400000</v>
      </c>
      <c r="F1030" t="s">
        <v>211</v>
      </c>
      <c r="G1030" t="s">
        <v>212</v>
      </c>
      <c r="H1030" t="s">
        <v>213</v>
      </c>
      <c r="I1030" s="10" t="s">
        <v>684</v>
      </c>
      <c r="J1030" s="167" t="s">
        <v>22</v>
      </c>
      <c r="L1030" s="9" t="str">
        <f t="shared" si="166"/>
        <v>01029</v>
      </c>
      <c r="M1030" s="71" t="str">
        <f t="shared" si="167"/>
        <v>18 de mayo de 2018</v>
      </c>
      <c r="N1030" s="39">
        <f t="shared" si="168"/>
        <v>43221</v>
      </c>
      <c r="O1030" s="9" t="str">
        <f t="shared" si="164"/>
        <v>400.000,00</v>
      </c>
      <c r="P1030" s="8" t="str">
        <f t="shared" si="165"/>
        <v>Cuatrocientos Mil Bolívares con 00/100</v>
      </c>
      <c r="Q1030" s="403" t="str">
        <f t="shared" si="169"/>
        <v/>
      </c>
    </row>
    <row r="1031" spans="1:17" ht="15.75" thickBot="1" x14ac:dyDescent="0.3">
      <c r="A1031" s="1">
        <f t="shared" si="161"/>
        <v>1030</v>
      </c>
      <c r="C1031" s="12" t="s">
        <v>17</v>
      </c>
      <c r="D1031" s="2">
        <v>43239</v>
      </c>
      <c r="E1031" s="3">
        <v>400000</v>
      </c>
      <c r="F1031" t="s">
        <v>134</v>
      </c>
      <c r="G1031" t="s">
        <v>135</v>
      </c>
      <c r="H1031" t="s">
        <v>136</v>
      </c>
      <c r="I1031" s="10" t="s">
        <v>684</v>
      </c>
      <c r="J1031" s="167" t="s">
        <v>22</v>
      </c>
      <c r="L1031" s="9" t="str">
        <f t="shared" si="166"/>
        <v>01030</v>
      </c>
      <c r="M1031" s="71" t="str">
        <f t="shared" si="167"/>
        <v>19 de mayo de 2018</v>
      </c>
      <c r="N1031" s="39">
        <f t="shared" si="168"/>
        <v>43221</v>
      </c>
      <c r="O1031" s="9" t="str">
        <f t="shared" si="164"/>
        <v>400.000,00</v>
      </c>
      <c r="P1031" s="8" t="str">
        <f t="shared" si="165"/>
        <v>Cuatrocientos Mil Bolívares con 00/100</v>
      </c>
      <c r="Q1031" s="403" t="str">
        <f t="shared" si="169"/>
        <v/>
      </c>
    </row>
    <row r="1032" spans="1:17" ht="15.75" thickBot="1" x14ac:dyDescent="0.3">
      <c r="A1032" s="1">
        <f t="shared" si="161"/>
        <v>1031</v>
      </c>
      <c r="C1032" s="12" t="s">
        <v>17</v>
      </c>
      <c r="D1032" s="2">
        <v>43240</v>
      </c>
      <c r="E1032" s="3">
        <v>120000</v>
      </c>
      <c r="F1032" t="s">
        <v>303</v>
      </c>
      <c r="G1032" s="27" t="s">
        <v>58</v>
      </c>
      <c r="H1032" t="s">
        <v>304</v>
      </c>
      <c r="I1032" s="10" t="s">
        <v>705</v>
      </c>
      <c r="J1032" s="167" t="s">
        <v>22</v>
      </c>
      <c r="L1032" s="9" t="str">
        <f t="shared" si="166"/>
        <v>01031</v>
      </c>
      <c r="M1032" s="71" t="str">
        <f t="shared" si="167"/>
        <v>20 de mayo de 2018</v>
      </c>
      <c r="N1032" s="39">
        <f t="shared" si="168"/>
        <v>43221</v>
      </c>
      <c r="O1032" s="9" t="str">
        <f t="shared" si="164"/>
        <v>120.000,00</v>
      </c>
      <c r="P1032" s="8" t="str">
        <f t="shared" si="165"/>
        <v>Ciento Veinte Mil Bolívares con 00/100</v>
      </c>
      <c r="Q1032" s="403" t="str">
        <f t="shared" si="169"/>
        <v/>
      </c>
    </row>
    <row r="1033" spans="1:17" x14ac:dyDescent="0.25">
      <c r="A1033" s="1">
        <f t="shared" si="161"/>
        <v>1032</v>
      </c>
      <c r="C1033" s="12" t="s">
        <v>17</v>
      </c>
      <c r="D1033" s="2">
        <v>43240</v>
      </c>
      <c r="E1033" s="3">
        <v>540000</v>
      </c>
      <c r="F1033" t="s">
        <v>537</v>
      </c>
      <c r="G1033" t="s">
        <v>538</v>
      </c>
      <c r="H1033" t="s">
        <v>539</v>
      </c>
      <c r="I1033" s="10" t="s">
        <v>695</v>
      </c>
      <c r="J1033" s="167" t="s">
        <v>22</v>
      </c>
      <c r="L1033" s="9" t="str">
        <f t="shared" si="166"/>
        <v>01032</v>
      </c>
      <c r="M1033" s="71" t="str">
        <f t="shared" si="167"/>
        <v>20 de mayo de 2018</v>
      </c>
      <c r="N1033" s="39">
        <f t="shared" si="168"/>
        <v>43221</v>
      </c>
      <c r="O1033" s="9" t="str">
        <f t="shared" si="164"/>
        <v>540.000,00</v>
      </c>
      <c r="P1033" s="8" t="str">
        <f t="shared" si="165"/>
        <v>Quinientos Cuarenta Mil Bolívares con 00/100</v>
      </c>
      <c r="Q1033" s="403" t="str">
        <f t="shared" si="169"/>
        <v/>
      </c>
    </row>
    <row r="1034" spans="1:17" x14ac:dyDescent="0.25">
      <c r="A1034" s="1">
        <f t="shared" si="161"/>
        <v>1033</v>
      </c>
      <c r="C1034" s="12" t="s">
        <v>17</v>
      </c>
      <c r="D1034" s="2">
        <v>43224</v>
      </c>
      <c r="E1034" s="3">
        <v>200000</v>
      </c>
      <c r="F1034" t="s">
        <v>48</v>
      </c>
      <c r="G1034" t="s">
        <v>49</v>
      </c>
      <c r="H1034" t="s">
        <v>50</v>
      </c>
      <c r="I1034" s="10" t="s">
        <v>702</v>
      </c>
      <c r="J1034" s="167" t="s">
        <v>22</v>
      </c>
      <c r="L1034" s="9" t="str">
        <f t="shared" si="166"/>
        <v>01033</v>
      </c>
      <c r="M1034" s="71" t="str">
        <f t="shared" si="167"/>
        <v>04 de mayo de 2018</v>
      </c>
      <c r="N1034" s="39">
        <f t="shared" si="168"/>
        <v>43221</v>
      </c>
      <c r="O1034" s="9" t="str">
        <f t="shared" si="164"/>
        <v>200.000,00</v>
      </c>
      <c r="P1034" s="8" t="str">
        <f t="shared" si="165"/>
        <v>Doscientos Mil Bolívares con 00/100</v>
      </c>
      <c r="Q1034" s="403" t="str">
        <f t="shared" si="169"/>
        <v/>
      </c>
    </row>
    <row r="1035" spans="1:17" x14ac:dyDescent="0.25">
      <c r="A1035" s="1">
        <f t="shared" si="161"/>
        <v>1034</v>
      </c>
      <c r="C1035" s="12" t="s">
        <v>17</v>
      </c>
      <c r="D1035" s="2">
        <v>43241</v>
      </c>
      <c r="E1035" s="3">
        <v>400000</v>
      </c>
      <c r="F1035" t="s">
        <v>444</v>
      </c>
      <c r="G1035" t="s">
        <v>445</v>
      </c>
      <c r="H1035" t="s">
        <v>75</v>
      </c>
      <c r="I1035" s="10" t="s">
        <v>684</v>
      </c>
      <c r="J1035" s="167" t="s">
        <v>22</v>
      </c>
      <c r="L1035" s="9" t="str">
        <f t="shared" si="166"/>
        <v>01034</v>
      </c>
      <c r="M1035" s="71" t="str">
        <f t="shared" si="167"/>
        <v>21 de mayo de 2018</v>
      </c>
      <c r="N1035" s="39">
        <f t="shared" si="168"/>
        <v>43221</v>
      </c>
      <c r="O1035" s="9" t="str">
        <f t="shared" si="164"/>
        <v>400.000,00</v>
      </c>
      <c r="P1035" s="8" t="str">
        <f t="shared" si="165"/>
        <v>Cuatrocientos Mil Bolívares con 00/100</v>
      </c>
      <c r="Q1035" s="403" t="str">
        <f t="shared" si="169"/>
        <v/>
      </c>
    </row>
    <row r="1036" spans="1:17" x14ac:dyDescent="0.25">
      <c r="A1036" s="1">
        <f t="shared" si="161"/>
        <v>1035</v>
      </c>
      <c r="C1036" s="12" t="s">
        <v>17</v>
      </c>
      <c r="D1036" s="2">
        <v>43241</v>
      </c>
      <c r="E1036" s="3">
        <v>200000</v>
      </c>
      <c r="F1036" t="s">
        <v>84</v>
      </c>
      <c r="G1036" t="s">
        <v>85</v>
      </c>
      <c r="H1036" t="s">
        <v>86</v>
      </c>
      <c r="I1036" s="10" t="s">
        <v>702</v>
      </c>
      <c r="J1036" s="167" t="s">
        <v>22</v>
      </c>
      <c r="L1036" s="9" t="str">
        <f t="shared" si="166"/>
        <v>01035</v>
      </c>
      <c r="M1036" s="71" t="str">
        <f t="shared" si="167"/>
        <v>21 de mayo de 2018</v>
      </c>
      <c r="N1036" s="39">
        <f t="shared" si="168"/>
        <v>43221</v>
      </c>
      <c r="O1036" s="9" t="str">
        <f t="shared" si="164"/>
        <v>200.000,00</v>
      </c>
      <c r="P1036" s="8" t="str">
        <f t="shared" si="165"/>
        <v>Doscientos Mil Bolívares con 00/100</v>
      </c>
      <c r="Q1036" s="403" t="str">
        <f t="shared" si="169"/>
        <v/>
      </c>
    </row>
    <row r="1037" spans="1:17" x14ac:dyDescent="0.25">
      <c r="A1037" s="1">
        <f>A1036+1</f>
        <v>1036</v>
      </c>
      <c r="C1037" s="12" t="s">
        <v>17</v>
      </c>
      <c r="D1037" s="2">
        <v>43241</v>
      </c>
      <c r="E1037" s="3">
        <v>190000</v>
      </c>
      <c r="F1037" t="s">
        <v>334</v>
      </c>
      <c r="G1037" t="s">
        <v>85</v>
      </c>
      <c r="H1037" t="s">
        <v>335</v>
      </c>
      <c r="I1037" s="10" t="s">
        <v>706</v>
      </c>
      <c r="J1037" s="167" t="s">
        <v>22</v>
      </c>
      <c r="L1037" s="9" t="str">
        <f t="shared" si="166"/>
        <v>01036</v>
      </c>
      <c r="M1037" s="71" t="str">
        <f t="shared" si="167"/>
        <v>21 de mayo de 2018</v>
      </c>
      <c r="N1037" s="39">
        <f t="shared" si="168"/>
        <v>43221</v>
      </c>
      <c r="O1037" s="9" t="str">
        <f t="shared" si="164"/>
        <v>190.000,00</v>
      </c>
      <c r="P1037" s="8" t="str">
        <f t="shared" si="165"/>
        <v>Ciento Noventa Mil Bolívares con 00/100</v>
      </c>
      <c r="Q1037" s="403" t="str">
        <f t="shared" si="169"/>
        <v/>
      </c>
    </row>
    <row r="1038" spans="1:17" x14ac:dyDescent="0.25">
      <c r="A1038" s="1">
        <f t="shared" ref="A1038:A1054" si="170">A1037+1</f>
        <v>1037</v>
      </c>
      <c r="C1038" s="12" t="s">
        <v>17</v>
      </c>
      <c r="D1038" s="2">
        <v>43241</v>
      </c>
      <c r="E1038" s="3">
        <v>400000</v>
      </c>
      <c r="F1038" t="s">
        <v>243</v>
      </c>
      <c r="G1038" t="s">
        <v>244</v>
      </c>
      <c r="H1038" t="s">
        <v>245</v>
      </c>
      <c r="I1038" s="10" t="s">
        <v>684</v>
      </c>
      <c r="J1038" s="167" t="s">
        <v>22</v>
      </c>
      <c r="L1038" s="9" t="str">
        <f t="shared" si="166"/>
        <v>01037</v>
      </c>
      <c r="M1038" s="71" t="str">
        <f t="shared" si="167"/>
        <v>21 de mayo de 2018</v>
      </c>
      <c r="N1038" s="39">
        <f t="shared" si="168"/>
        <v>43221</v>
      </c>
      <c r="O1038" s="9" t="str">
        <f t="shared" si="164"/>
        <v>400.000,00</v>
      </c>
      <c r="P1038" s="8" t="str">
        <f t="shared" si="165"/>
        <v>Cuatrocientos Mil Bolívares con 00/100</v>
      </c>
      <c r="Q1038" s="403" t="str">
        <f t="shared" si="169"/>
        <v/>
      </c>
    </row>
    <row r="1039" spans="1:17" x14ac:dyDescent="0.25">
      <c r="A1039" s="1">
        <f t="shared" si="170"/>
        <v>1038</v>
      </c>
      <c r="C1039" s="12" t="s">
        <v>17</v>
      </c>
      <c r="D1039" s="2">
        <v>43241</v>
      </c>
      <c r="E1039" s="3">
        <v>100000</v>
      </c>
      <c r="F1039" t="s">
        <v>243</v>
      </c>
      <c r="G1039" t="s">
        <v>244</v>
      </c>
      <c r="H1039" t="s">
        <v>245</v>
      </c>
      <c r="I1039" s="10" t="s">
        <v>672</v>
      </c>
      <c r="J1039" s="167" t="s">
        <v>673</v>
      </c>
      <c r="L1039" s="9" t="str">
        <f t="shared" si="166"/>
        <v>01038</v>
      </c>
      <c r="M1039" s="71" t="str">
        <f t="shared" si="167"/>
        <v>21 de mayo de 2018</v>
      </c>
      <c r="N1039" s="39">
        <f t="shared" si="168"/>
        <v>43221</v>
      </c>
      <c r="O1039" s="9" t="str">
        <f t="shared" si="164"/>
        <v>100.000,00</v>
      </c>
      <c r="P1039" s="8" t="str">
        <f t="shared" si="165"/>
        <v>Cien Mil Bolívares con 00/100</v>
      </c>
      <c r="Q1039" s="403" t="str">
        <f t="shared" si="169"/>
        <v/>
      </c>
    </row>
    <row r="1040" spans="1:17" x14ac:dyDescent="0.25">
      <c r="A1040" s="1">
        <f t="shared" si="170"/>
        <v>1039</v>
      </c>
      <c r="C1040" s="12" t="s">
        <v>17</v>
      </c>
      <c r="D1040" s="2">
        <v>43241</v>
      </c>
      <c r="E1040" s="3">
        <v>400000</v>
      </c>
      <c r="F1040" t="s">
        <v>122</v>
      </c>
      <c r="G1040" t="s">
        <v>123</v>
      </c>
      <c r="H1040" t="s">
        <v>124</v>
      </c>
      <c r="I1040" s="10" t="s">
        <v>684</v>
      </c>
      <c r="J1040" s="167" t="s">
        <v>22</v>
      </c>
      <c r="L1040" s="9" t="str">
        <f t="shared" si="166"/>
        <v>01039</v>
      </c>
      <c r="M1040" s="71" t="str">
        <f t="shared" si="167"/>
        <v>21 de mayo de 2018</v>
      </c>
      <c r="N1040" s="39">
        <f t="shared" si="168"/>
        <v>43221</v>
      </c>
      <c r="O1040" s="9" t="str">
        <f t="shared" si="164"/>
        <v>400.000,00</v>
      </c>
      <c r="P1040" s="8" t="str">
        <f t="shared" si="165"/>
        <v>Cuatrocientos Mil Bolívares con 00/100</v>
      </c>
      <c r="Q1040" s="403" t="str">
        <f t="shared" si="169"/>
        <v/>
      </c>
    </row>
    <row r="1041" spans="1:17" x14ac:dyDescent="0.25">
      <c r="A1041" s="1">
        <f t="shared" si="170"/>
        <v>1040</v>
      </c>
      <c r="C1041" s="12" t="s">
        <v>17</v>
      </c>
      <c r="D1041" s="2">
        <v>43241</v>
      </c>
      <c r="E1041" s="3">
        <v>400000</v>
      </c>
      <c r="F1041" t="s">
        <v>264</v>
      </c>
      <c r="G1041" t="s">
        <v>265</v>
      </c>
      <c r="H1041" t="s">
        <v>266</v>
      </c>
      <c r="I1041" s="10" t="s">
        <v>684</v>
      </c>
      <c r="J1041" s="167" t="s">
        <v>22</v>
      </c>
      <c r="L1041" s="9" t="str">
        <f t="shared" si="166"/>
        <v>01040</v>
      </c>
      <c r="M1041" s="71" t="str">
        <f t="shared" si="167"/>
        <v>21 de mayo de 2018</v>
      </c>
      <c r="N1041" s="39">
        <f t="shared" si="168"/>
        <v>43221</v>
      </c>
      <c r="O1041" s="9" t="str">
        <f t="shared" ref="O1041:O1065" si="171">TEXT(E1041,"#.##0,00")</f>
        <v>400.000,00</v>
      </c>
      <c r="P1041" s="8" t="str">
        <f t="shared" ref="P1041:P1046" si="172">CONVERTIRNUM(E1041)</f>
        <v>Cuatrocientos Mil Bolívares con 00/100</v>
      </c>
      <c r="Q1041" s="403" t="str">
        <f t="shared" si="169"/>
        <v/>
      </c>
    </row>
    <row r="1042" spans="1:17" x14ac:dyDescent="0.25">
      <c r="A1042" s="1">
        <f t="shared" si="170"/>
        <v>1041</v>
      </c>
      <c r="C1042" s="12" t="s">
        <v>17</v>
      </c>
      <c r="D1042" s="2">
        <v>43241</v>
      </c>
      <c r="E1042" s="3">
        <v>400000</v>
      </c>
      <c r="F1042" t="s">
        <v>287</v>
      </c>
      <c r="G1042" t="s">
        <v>288</v>
      </c>
      <c r="H1042" t="s">
        <v>289</v>
      </c>
      <c r="I1042" s="10" t="s">
        <v>684</v>
      </c>
      <c r="J1042" s="167" t="s">
        <v>22</v>
      </c>
      <c r="L1042" s="9" t="str">
        <f t="shared" si="166"/>
        <v>01041</v>
      </c>
      <c r="M1042" s="71" t="str">
        <f t="shared" si="167"/>
        <v>21 de mayo de 2018</v>
      </c>
      <c r="N1042" s="39">
        <f t="shared" si="168"/>
        <v>43221</v>
      </c>
      <c r="O1042" s="9" t="str">
        <f t="shared" si="171"/>
        <v>400.000,00</v>
      </c>
      <c r="P1042" s="8" t="str">
        <f t="shared" si="172"/>
        <v>Cuatrocientos Mil Bolívares con 00/100</v>
      </c>
      <c r="Q1042" s="403" t="str">
        <f t="shared" si="169"/>
        <v/>
      </c>
    </row>
    <row r="1043" spans="1:17" x14ac:dyDescent="0.25">
      <c r="A1043" s="1">
        <f t="shared" si="170"/>
        <v>1042</v>
      </c>
      <c r="C1043" s="12" t="s">
        <v>17</v>
      </c>
      <c r="D1043" s="2">
        <v>43241</v>
      </c>
      <c r="E1043" s="3">
        <v>350000</v>
      </c>
      <c r="F1043" t="s">
        <v>287</v>
      </c>
      <c r="G1043" t="s">
        <v>288</v>
      </c>
      <c r="H1043" t="s">
        <v>289</v>
      </c>
      <c r="I1043" s="10" t="s">
        <v>672</v>
      </c>
      <c r="J1043" s="167" t="s">
        <v>673</v>
      </c>
      <c r="L1043" s="9" t="str">
        <f t="shared" si="166"/>
        <v>01042</v>
      </c>
      <c r="M1043" s="71" t="str">
        <f t="shared" si="167"/>
        <v>21 de mayo de 2018</v>
      </c>
      <c r="N1043" s="39">
        <f t="shared" si="168"/>
        <v>43221</v>
      </c>
      <c r="O1043" s="9" t="str">
        <f t="shared" si="171"/>
        <v>350.000,00</v>
      </c>
      <c r="P1043" s="8" t="str">
        <f t="shared" si="172"/>
        <v>Trescientos Cincuenta Mil Bolívares con 00/100</v>
      </c>
      <c r="Q1043" s="403" t="str">
        <f t="shared" si="169"/>
        <v/>
      </c>
    </row>
    <row r="1044" spans="1:17" x14ac:dyDescent="0.25">
      <c r="A1044" s="1">
        <f t="shared" si="170"/>
        <v>1043</v>
      </c>
      <c r="C1044" s="12" t="s">
        <v>17</v>
      </c>
      <c r="D1044" s="2">
        <v>43241</v>
      </c>
      <c r="E1044" s="3">
        <v>400000</v>
      </c>
      <c r="F1044" t="s">
        <v>324</v>
      </c>
      <c r="G1044" t="s">
        <v>325</v>
      </c>
      <c r="H1044" t="s">
        <v>326</v>
      </c>
      <c r="I1044" s="10" t="s">
        <v>684</v>
      </c>
      <c r="J1044" s="167" t="s">
        <v>22</v>
      </c>
      <c r="L1044" s="9" t="str">
        <f t="shared" si="166"/>
        <v>01043</v>
      </c>
      <c r="M1044" s="71" t="str">
        <f t="shared" si="167"/>
        <v>21 de mayo de 2018</v>
      </c>
      <c r="N1044" s="39">
        <f t="shared" si="168"/>
        <v>43221</v>
      </c>
      <c r="O1044" s="9" t="str">
        <f t="shared" si="171"/>
        <v>400.000,00</v>
      </c>
      <c r="P1044" s="8" t="str">
        <f t="shared" si="172"/>
        <v>Cuatrocientos Mil Bolívares con 00/100</v>
      </c>
      <c r="Q1044" s="403" t="str">
        <f t="shared" si="169"/>
        <v/>
      </c>
    </row>
    <row r="1045" spans="1:17" x14ac:dyDescent="0.25">
      <c r="A1045" s="1">
        <f t="shared" si="170"/>
        <v>1044</v>
      </c>
      <c r="C1045" s="12" t="s">
        <v>17</v>
      </c>
      <c r="D1045" s="2">
        <v>43241</v>
      </c>
      <c r="E1045" s="3">
        <v>400000</v>
      </c>
      <c r="F1045" t="s">
        <v>594</v>
      </c>
      <c r="G1045" t="s">
        <v>595</v>
      </c>
      <c r="H1045" t="s">
        <v>596</v>
      </c>
      <c r="I1045" s="10" t="s">
        <v>684</v>
      </c>
      <c r="J1045" s="167" t="s">
        <v>22</v>
      </c>
      <c r="L1045" s="9" t="str">
        <f t="shared" si="166"/>
        <v>01044</v>
      </c>
      <c r="M1045" s="71" t="str">
        <f t="shared" si="167"/>
        <v>21 de mayo de 2018</v>
      </c>
      <c r="N1045" s="39">
        <f t="shared" si="168"/>
        <v>43221</v>
      </c>
      <c r="O1045" s="9" t="str">
        <f t="shared" si="171"/>
        <v>400.000,00</v>
      </c>
      <c r="P1045" s="8" t="str">
        <f t="shared" si="172"/>
        <v>Cuatrocientos Mil Bolívares con 00/100</v>
      </c>
      <c r="Q1045" s="403" t="str">
        <f t="shared" si="169"/>
        <v/>
      </c>
    </row>
    <row r="1046" spans="1:17" x14ac:dyDescent="0.25">
      <c r="A1046" s="1">
        <f t="shared" si="170"/>
        <v>1045</v>
      </c>
      <c r="C1046" s="12" t="s">
        <v>17</v>
      </c>
      <c r="D1046" s="2">
        <v>43242</v>
      </c>
      <c r="E1046" s="3">
        <v>350000</v>
      </c>
      <c r="F1046" t="s">
        <v>24</v>
      </c>
      <c r="G1046" t="s">
        <v>25</v>
      </c>
      <c r="H1046" t="s">
        <v>26</v>
      </c>
      <c r="I1046" s="10" t="s">
        <v>672</v>
      </c>
      <c r="J1046" s="167" t="s">
        <v>673</v>
      </c>
      <c r="L1046" s="9" t="str">
        <f t="shared" si="166"/>
        <v>01045</v>
      </c>
      <c r="M1046" s="71" t="str">
        <f t="shared" si="167"/>
        <v>22 de mayo de 2018</v>
      </c>
      <c r="N1046" s="39">
        <f t="shared" si="168"/>
        <v>43221</v>
      </c>
      <c r="O1046" s="9" t="str">
        <f t="shared" si="171"/>
        <v>350.000,00</v>
      </c>
      <c r="P1046" s="8" t="str">
        <f t="shared" si="172"/>
        <v>Trescientos Cincuenta Mil Bolívares con 00/100</v>
      </c>
      <c r="Q1046" s="403" t="str">
        <f t="shared" si="169"/>
        <v/>
      </c>
    </row>
    <row r="1047" spans="1:17" x14ac:dyDescent="0.25">
      <c r="A1047" s="1">
        <f t="shared" si="170"/>
        <v>1046</v>
      </c>
      <c r="C1047" s="12" t="s">
        <v>17</v>
      </c>
      <c r="D1047" s="2">
        <v>43242</v>
      </c>
      <c r="E1047" s="3">
        <v>350000</v>
      </c>
      <c r="F1047" t="s">
        <v>558</v>
      </c>
      <c r="G1047" t="s">
        <v>559</v>
      </c>
      <c r="H1047" t="s">
        <v>560</v>
      </c>
      <c r="I1047" s="10" t="s">
        <v>672</v>
      </c>
      <c r="J1047" s="167" t="s">
        <v>673</v>
      </c>
      <c r="L1047" s="9" t="str">
        <f t="shared" si="166"/>
        <v>01046</v>
      </c>
      <c r="M1047" s="71" t="str">
        <f t="shared" si="167"/>
        <v>22 de mayo de 2018</v>
      </c>
      <c r="N1047" s="39">
        <f t="shared" si="168"/>
        <v>43221</v>
      </c>
      <c r="O1047" s="9" t="str">
        <f t="shared" si="171"/>
        <v>350.000,00</v>
      </c>
      <c r="P1047" s="8" t="str">
        <f>CONVERTIRNUM(E1047)</f>
        <v>Trescientos Cincuenta Mil Bolívares con 00/100</v>
      </c>
      <c r="Q1047" s="403" t="str">
        <f t="shared" si="169"/>
        <v/>
      </c>
    </row>
    <row r="1048" spans="1:17" x14ac:dyDescent="0.25">
      <c r="A1048" s="1">
        <f t="shared" si="170"/>
        <v>1047</v>
      </c>
      <c r="C1048" s="12" t="s">
        <v>17</v>
      </c>
      <c r="D1048" s="2">
        <v>43242</v>
      </c>
      <c r="E1048" s="3">
        <v>400000</v>
      </c>
      <c r="F1048" t="s">
        <v>408</v>
      </c>
      <c r="G1048" t="s">
        <v>409</v>
      </c>
      <c r="H1048" t="s">
        <v>410</v>
      </c>
      <c r="I1048" s="10" t="s">
        <v>684</v>
      </c>
      <c r="J1048" s="167" t="s">
        <v>22</v>
      </c>
      <c r="L1048" s="9" t="str">
        <f t="shared" si="166"/>
        <v>01047</v>
      </c>
      <c r="M1048" s="71" t="str">
        <f t="shared" si="167"/>
        <v>22 de mayo de 2018</v>
      </c>
      <c r="N1048" s="39">
        <f t="shared" si="168"/>
        <v>43221</v>
      </c>
      <c r="O1048" s="9" t="str">
        <f t="shared" si="171"/>
        <v>400.000,00</v>
      </c>
      <c r="P1048" s="8" t="str">
        <f>CONVERTIRNUM(E1048)</f>
        <v>Cuatrocientos Mil Bolívares con 00/100</v>
      </c>
      <c r="Q1048" s="403" t="str">
        <f t="shared" si="169"/>
        <v/>
      </c>
    </row>
    <row r="1049" spans="1:17" x14ac:dyDescent="0.25">
      <c r="A1049" s="1">
        <f t="shared" si="170"/>
        <v>1048</v>
      </c>
      <c r="C1049" s="12" t="s">
        <v>17</v>
      </c>
      <c r="D1049" s="2">
        <v>43242</v>
      </c>
      <c r="E1049" s="3">
        <v>350000</v>
      </c>
      <c r="F1049" t="s">
        <v>48</v>
      </c>
      <c r="G1049" t="s">
        <v>49</v>
      </c>
      <c r="H1049" t="s">
        <v>50</v>
      </c>
      <c r="I1049" s="10" t="s">
        <v>672</v>
      </c>
      <c r="J1049" s="167" t="s">
        <v>673</v>
      </c>
      <c r="L1049" s="9" t="str">
        <f t="shared" si="166"/>
        <v>01048</v>
      </c>
      <c r="M1049" s="71" t="str">
        <f t="shared" si="167"/>
        <v>22 de mayo de 2018</v>
      </c>
      <c r="N1049" s="39">
        <f t="shared" si="168"/>
        <v>43221</v>
      </c>
      <c r="O1049" s="9" t="str">
        <f t="shared" si="171"/>
        <v>350.000,00</v>
      </c>
      <c r="P1049" s="8" t="str">
        <f>CONVERTIRNUM(E1049)</f>
        <v>Trescientos Cincuenta Mil Bolívares con 00/100</v>
      </c>
      <c r="Q1049" s="403" t="str">
        <f t="shared" si="169"/>
        <v/>
      </c>
    </row>
    <row r="1050" spans="1:17" x14ac:dyDescent="0.25">
      <c r="A1050" s="1">
        <f t="shared" si="170"/>
        <v>1049</v>
      </c>
      <c r="C1050" s="12" t="s">
        <v>17</v>
      </c>
      <c r="D1050" s="2">
        <v>43242</v>
      </c>
      <c r="E1050" s="3">
        <v>190000</v>
      </c>
      <c r="F1050" t="s">
        <v>243</v>
      </c>
      <c r="G1050" t="s">
        <v>244</v>
      </c>
      <c r="H1050" t="s">
        <v>245</v>
      </c>
      <c r="I1050" s="10" t="s">
        <v>672</v>
      </c>
      <c r="J1050" s="167" t="s">
        <v>673</v>
      </c>
      <c r="L1050" s="9" t="str">
        <f t="shared" si="166"/>
        <v>01049</v>
      </c>
      <c r="M1050" s="71" t="str">
        <f t="shared" si="167"/>
        <v>22 de mayo de 2018</v>
      </c>
      <c r="N1050" s="39">
        <f t="shared" si="168"/>
        <v>43221</v>
      </c>
      <c r="O1050" s="9" t="str">
        <f t="shared" si="171"/>
        <v>190.000,00</v>
      </c>
      <c r="P1050" s="8" t="str">
        <f>CONVERTIRNUM(E1050)</f>
        <v>Ciento Noventa Mil Bolívares con 00/100</v>
      </c>
      <c r="Q1050" s="403" t="str">
        <f t="shared" si="169"/>
        <v/>
      </c>
    </row>
    <row r="1051" spans="1:17" x14ac:dyDescent="0.25">
      <c r="A1051" s="1">
        <f t="shared" si="170"/>
        <v>1050</v>
      </c>
      <c r="C1051" s="12" t="s">
        <v>17</v>
      </c>
      <c r="D1051" s="2">
        <v>43242</v>
      </c>
      <c r="E1051" s="3">
        <v>400000</v>
      </c>
      <c r="F1051" t="s">
        <v>558</v>
      </c>
      <c r="G1051" t="s">
        <v>559</v>
      </c>
      <c r="H1051" t="s">
        <v>560</v>
      </c>
      <c r="I1051" s="10" t="s">
        <v>707</v>
      </c>
      <c r="J1051" s="167" t="s">
        <v>22</v>
      </c>
      <c r="L1051" s="9" t="str">
        <f t="shared" si="166"/>
        <v>01050</v>
      </c>
      <c r="M1051" s="71" t="str">
        <f t="shared" si="167"/>
        <v>22 de mayo de 2018</v>
      </c>
      <c r="N1051" s="39">
        <f t="shared" si="168"/>
        <v>43221</v>
      </c>
      <c r="O1051" s="9" t="str">
        <f t="shared" si="171"/>
        <v>400.000,00</v>
      </c>
      <c r="P1051" s="8" t="str">
        <f t="shared" ref="P1051:P1065" si="173">CONVERTIRNUM(E1051)</f>
        <v>Cuatrocientos Mil Bolívares con 00/100</v>
      </c>
      <c r="Q1051" s="403" t="str">
        <f t="shared" si="169"/>
        <v/>
      </c>
    </row>
    <row r="1052" spans="1:17" x14ac:dyDescent="0.25">
      <c r="A1052" s="1">
        <f t="shared" si="170"/>
        <v>1051</v>
      </c>
      <c r="C1052" s="12" t="s">
        <v>17</v>
      </c>
      <c r="D1052" s="2">
        <v>43242</v>
      </c>
      <c r="E1052" s="3">
        <v>350000</v>
      </c>
      <c r="F1052" t="s">
        <v>36</v>
      </c>
      <c r="G1052" t="s">
        <v>37</v>
      </c>
      <c r="H1052" t="s">
        <v>38</v>
      </c>
      <c r="I1052" s="10" t="s">
        <v>672</v>
      </c>
      <c r="J1052" s="167" t="s">
        <v>673</v>
      </c>
      <c r="L1052" s="9" t="str">
        <f t="shared" si="166"/>
        <v>01051</v>
      </c>
      <c r="M1052" s="71" t="str">
        <f t="shared" si="167"/>
        <v>22 de mayo de 2018</v>
      </c>
      <c r="N1052" s="39">
        <f t="shared" si="168"/>
        <v>43221</v>
      </c>
      <c r="O1052" s="9" t="str">
        <f t="shared" si="171"/>
        <v>350.000,00</v>
      </c>
      <c r="P1052" s="8" t="str">
        <f t="shared" si="173"/>
        <v>Trescientos Cincuenta Mil Bolívares con 00/100</v>
      </c>
      <c r="Q1052" s="403" t="str">
        <f t="shared" si="169"/>
        <v/>
      </c>
    </row>
    <row r="1053" spans="1:17" x14ac:dyDescent="0.25">
      <c r="A1053" s="1">
        <f t="shared" si="170"/>
        <v>1052</v>
      </c>
      <c r="C1053" s="12" t="s">
        <v>17</v>
      </c>
      <c r="D1053" s="2">
        <v>43242</v>
      </c>
      <c r="E1053" s="3">
        <v>350000</v>
      </c>
      <c r="F1053" t="s">
        <v>114</v>
      </c>
      <c r="G1053" t="s">
        <v>115</v>
      </c>
      <c r="H1053" t="s">
        <v>116</v>
      </c>
      <c r="I1053" s="10" t="s">
        <v>672</v>
      </c>
      <c r="J1053" s="167" t="s">
        <v>673</v>
      </c>
      <c r="L1053" s="9" t="str">
        <f t="shared" si="166"/>
        <v>01052</v>
      </c>
      <c r="M1053" s="71" t="str">
        <f t="shared" si="167"/>
        <v>22 de mayo de 2018</v>
      </c>
      <c r="N1053" s="39">
        <f t="shared" si="168"/>
        <v>43221</v>
      </c>
      <c r="O1053" s="9" t="str">
        <f t="shared" si="171"/>
        <v>350.000,00</v>
      </c>
      <c r="P1053" s="8" t="str">
        <f t="shared" si="173"/>
        <v>Trescientos Cincuenta Mil Bolívares con 00/100</v>
      </c>
      <c r="Q1053" s="403" t="str">
        <f t="shared" si="169"/>
        <v/>
      </c>
    </row>
    <row r="1054" spans="1:17" x14ac:dyDescent="0.25">
      <c r="A1054" s="1">
        <f t="shared" si="170"/>
        <v>1053</v>
      </c>
      <c r="C1054" s="12" t="s">
        <v>17</v>
      </c>
      <c r="D1054" s="2">
        <v>43242</v>
      </c>
      <c r="E1054" s="3">
        <v>800000</v>
      </c>
      <c r="F1054" t="s">
        <v>138</v>
      </c>
      <c r="G1054" t="s">
        <v>139</v>
      </c>
      <c r="H1054" t="s">
        <v>140</v>
      </c>
      <c r="I1054" s="10" t="s">
        <v>708</v>
      </c>
      <c r="J1054" s="167" t="s">
        <v>22</v>
      </c>
      <c r="L1054" s="9" t="str">
        <f t="shared" si="166"/>
        <v>01053</v>
      </c>
      <c r="M1054" s="71" t="str">
        <f t="shared" si="167"/>
        <v>22 de mayo de 2018</v>
      </c>
      <c r="N1054" s="39">
        <f t="shared" si="168"/>
        <v>43221</v>
      </c>
      <c r="O1054" s="9" t="str">
        <f t="shared" si="171"/>
        <v>800.000,00</v>
      </c>
      <c r="P1054" s="8" t="str">
        <f t="shared" si="173"/>
        <v>Ochocientos Mil Bolívares con 00/100</v>
      </c>
      <c r="Q1054" s="403" t="str">
        <f t="shared" si="169"/>
        <v/>
      </c>
    </row>
    <row r="1055" spans="1:17" x14ac:dyDescent="0.25">
      <c r="A1055" s="1">
        <f>A1054+1</f>
        <v>1054</v>
      </c>
      <c r="C1055" s="12" t="s">
        <v>17</v>
      </c>
      <c r="D1055" s="2">
        <v>43242</v>
      </c>
      <c r="E1055" s="3">
        <v>350000</v>
      </c>
      <c r="F1055" t="s">
        <v>70</v>
      </c>
      <c r="G1055" t="s">
        <v>71</v>
      </c>
      <c r="H1055" t="s">
        <v>72</v>
      </c>
      <c r="I1055" s="10" t="s">
        <v>672</v>
      </c>
      <c r="J1055" s="167" t="s">
        <v>673</v>
      </c>
      <c r="L1055" s="9" t="str">
        <f t="shared" si="166"/>
        <v>01054</v>
      </c>
      <c r="M1055" s="71" t="str">
        <f t="shared" si="167"/>
        <v>22 de mayo de 2018</v>
      </c>
      <c r="N1055" s="39">
        <f t="shared" si="168"/>
        <v>43221</v>
      </c>
      <c r="O1055" s="9" t="str">
        <f t="shared" si="171"/>
        <v>350.000,00</v>
      </c>
      <c r="P1055" s="8" t="str">
        <f t="shared" si="173"/>
        <v>Trescientos Cincuenta Mil Bolívares con 00/100</v>
      </c>
      <c r="Q1055" s="403" t="str">
        <f t="shared" si="169"/>
        <v/>
      </c>
    </row>
    <row r="1056" spans="1:17" x14ac:dyDescent="0.25">
      <c r="A1056" s="1">
        <f t="shared" ref="A1056:A1091" si="174">A1055+1</f>
        <v>1055</v>
      </c>
      <c r="C1056" s="12" t="s">
        <v>17</v>
      </c>
      <c r="D1056" s="2">
        <v>43242</v>
      </c>
      <c r="E1056" s="3">
        <v>400000</v>
      </c>
      <c r="F1056" t="s">
        <v>53</v>
      </c>
      <c r="G1056" t="s">
        <v>677</v>
      </c>
      <c r="H1056" t="s">
        <v>55</v>
      </c>
      <c r="I1056" s="10" t="s">
        <v>684</v>
      </c>
      <c r="J1056" s="167" t="s">
        <v>22</v>
      </c>
      <c r="L1056" s="9" t="str">
        <f t="shared" si="166"/>
        <v>01055</v>
      </c>
      <c r="M1056" s="71" t="str">
        <f t="shared" si="167"/>
        <v>22 de mayo de 2018</v>
      </c>
      <c r="N1056" s="39">
        <f t="shared" si="168"/>
        <v>43221</v>
      </c>
      <c r="O1056" s="9" t="str">
        <f t="shared" si="171"/>
        <v>400.000,00</v>
      </c>
      <c r="P1056" s="8" t="str">
        <f t="shared" si="173"/>
        <v>Cuatrocientos Mil Bolívares con 00/100</v>
      </c>
      <c r="Q1056" s="403" t="str">
        <f t="shared" si="169"/>
        <v/>
      </c>
    </row>
    <row r="1057" spans="1:17" x14ac:dyDescent="0.25">
      <c r="A1057" s="1">
        <f t="shared" si="174"/>
        <v>1056</v>
      </c>
      <c r="C1057" s="12" t="s">
        <v>17</v>
      </c>
      <c r="D1057" s="2">
        <v>43242</v>
      </c>
      <c r="E1057" s="3">
        <v>350000</v>
      </c>
      <c r="F1057" t="s">
        <v>53</v>
      </c>
      <c r="G1057" t="s">
        <v>677</v>
      </c>
      <c r="H1057" t="s">
        <v>55</v>
      </c>
      <c r="I1057" s="10" t="s">
        <v>672</v>
      </c>
      <c r="J1057" s="167" t="s">
        <v>673</v>
      </c>
      <c r="L1057" s="9" t="str">
        <f t="shared" si="166"/>
        <v>01056</v>
      </c>
      <c r="M1057" s="71" t="str">
        <f t="shared" si="167"/>
        <v>22 de mayo de 2018</v>
      </c>
      <c r="N1057" s="39">
        <f t="shared" si="168"/>
        <v>43221</v>
      </c>
      <c r="O1057" s="9" t="str">
        <f t="shared" si="171"/>
        <v>350.000,00</v>
      </c>
      <c r="P1057" s="8" t="str">
        <f t="shared" si="173"/>
        <v>Trescientos Cincuenta Mil Bolívares con 00/100</v>
      </c>
      <c r="Q1057" s="403" t="str">
        <f t="shared" si="169"/>
        <v/>
      </c>
    </row>
    <row r="1058" spans="1:17" x14ac:dyDescent="0.25">
      <c r="A1058" s="1">
        <f t="shared" si="174"/>
        <v>1057</v>
      </c>
      <c r="C1058" s="12" t="s">
        <v>17</v>
      </c>
      <c r="D1058" s="2">
        <v>43242</v>
      </c>
      <c r="E1058" s="3">
        <v>350000</v>
      </c>
      <c r="F1058" t="s">
        <v>90</v>
      </c>
      <c r="G1058" t="s">
        <v>91</v>
      </c>
      <c r="H1058" t="s">
        <v>92</v>
      </c>
      <c r="I1058" s="10" t="s">
        <v>672</v>
      </c>
      <c r="J1058" s="167" t="s">
        <v>673</v>
      </c>
      <c r="L1058" s="9" t="str">
        <f t="shared" si="166"/>
        <v>01057</v>
      </c>
      <c r="M1058" s="71" t="str">
        <f t="shared" si="167"/>
        <v>22 de mayo de 2018</v>
      </c>
      <c r="N1058" s="39">
        <f t="shared" si="168"/>
        <v>43221</v>
      </c>
      <c r="O1058" s="9" t="str">
        <f t="shared" si="171"/>
        <v>350.000,00</v>
      </c>
      <c r="P1058" s="8" t="str">
        <f t="shared" si="173"/>
        <v>Trescientos Cincuenta Mil Bolívares con 00/100</v>
      </c>
      <c r="Q1058" s="403" t="str">
        <f t="shared" si="169"/>
        <v/>
      </c>
    </row>
    <row r="1059" spans="1:17" x14ac:dyDescent="0.25">
      <c r="A1059" s="1">
        <f t="shared" si="174"/>
        <v>1058</v>
      </c>
      <c r="C1059" s="12" t="s">
        <v>225</v>
      </c>
      <c r="D1059" s="2">
        <v>43242</v>
      </c>
      <c r="E1059" s="3">
        <v>150000</v>
      </c>
      <c r="F1059" t="s">
        <v>107</v>
      </c>
      <c r="G1059" t="s">
        <v>108</v>
      </c>
      <c r="H1059" t="s">
        <v>109</v>
      </c>
      <c r="I1059" s="10" t="s">
        <v>709</v>
      </c>
      <c r="J1059" s="167" t="s">
        <v>427</v>
      </c>
      <c r="L1059" s="9" t="str">
        <f t="shared" si="166"/>
        <v>01058</v>
      </c>
      <c r="M1059" s="71" t="str">
        <f t="shared" si="167"/>
        <v>22 de mayo de 2018</v>
      </c>
      <c r="N1059" s="39">
        <f t="shared" si="168"/>
        <v>43221</v>
      </c>
      <c r="O1059" s="9" t="str">
        <f t="shared" si="171"/>
        <v>150.000,00</v>
      </c>
      <c r="P1059" s="8" t="str">
        <f t="shared" si="173"/>
        <v>Ciento Cincuenta Mil Bolívares con 00/100</v>
      </c>
      <c r="Q1059" s="403" t="str">
        <f t="shared" si="169"/>
        <v>Anulado</v>
      </c>
    </row>
    <row r="1060" spans="1:17" x14ac:dyDescent="0.25">
      <c r="A1060" s="1">
        <f t="shared" si="174"/>
        <v>1059</v>
      </c>
      <c r="C1060" s="12" t="s">
        <v>17</v>
      </c>
      <c r="D1060" s="2">
        <v>43242</v>
      </c>
      <c r="E1060" s="3">
        <v>350000</v>
      </c>
      <c r="F1060" t="s">
        <v>44</v>
      </c>
      <c r="G1060" t="s">
        <v>45</v>
      </c>
      <c r="H1060" t="s">
        <v>46</v>
      </c>
      <c r="I1060" s="10" t="s">
        <v>672</v>
      </c>
      <c r="J1060" s="167" t="s">
        <v>673</v>
      </c>
      <c r="L1060" s="9" t="str">
        <f t="shared" si="166"/>
        <v>01059</v>
      </c>
      <c r="M1060" s="71" t="str">
        <f t="shared" si="167"/>
        <v>22 de mayo de 2018</v>
      </c>
      <c r="N1060" s="39">
        <f t="shared" si="168"/>
        <v>43221</v>
      </c>
      <c r="O1060" s="9" t="str">
        <f t="shared" si="171"/>
        <v>350.000,00</v>
      </c>
      <c r="P1060" s="8" t="str">
        <f t="shared" si="173"/>
        <v>Trescientos Cincuenta Mil Bolívares con 00/100</v>
      </c>
      <c r="Q1060" s="403" t="str">
        <f t="shared" si="169"/>
        <v/>
      </c>
    </row>
    <row r="1061" spans="1:17" x14ac:dyDescent="0.25">
      <c r="A1061" s="1">
        <f t="shared" si="174"/>
        <v>1060</v>
      </c>
      <c r="C1061" s="12" t="s">
        <v>17</v>
      </c>
      <c r="D1061" s="2">
        <v>43242</v>
      </c>
      <c r="E1061" s="3">
        <v>350000</v>
      </c>
      <c r="F1061" t="s">
        <v>66</v>
      </c>
      <c r="G1061" t="s">
        <v>67</v>
      </c>
      <c r="H1061" t="s">
        <v>68</v>
      </c>
      <c r="I1061" s="10" t="s">
        <v>672</v>
      </c>
      <c r="J1061" s="167" t="s">
        <v>673</v>
      </c>
      <c r="L1061" s="9" t="str">
        <f t="shared" si="166"/>
        <v>01060</v>
      </c>
      <c r="M1061" s="71" t="str">
        <f t="shared" si="167"/>
        <v>22 de mayo de 2018</v>
      </c>
      <c r="N1061" s="39">
        <f t="shared" si="168"/>
        <v>43221</v>
      </c>
      <c r="O1061" s="9" t="str">
        <f t="shared" si="171"/>
        <v>350.000,00</v>
      </c>
      <c r="P1061" s="8" t="str">
        <f t="shared" si="173"/>
        <v>Trescientos Cincuenta Mil Bolívares con 00/100</v>
      </c>
      <c r="Q1061" s="403" t="str">
        <f t="shared" si="169"/>
        <v/>
      </c>
    </row>
    <row r="1062" spans="1:17" x14ac:dyDescent="0.25">
      <c r="A1062" s="1">
        <f t="shared" si="174"/>
        <v>1061</v>
      </c>
      <c r="C1062" s="12" t="s">
        <v>17</v>
      </c>
      <c r="D1062" s="2">
        <v>43242</v>
      </c>
      <c r="E1062" s="3">
        <v>400000</v>
      </c>
      <c r="F1062" t="s">
        <v>230</v>
      </c>
      <c r="G1062" t="s">
        <v>231</v>
      </c>
      <c r="H1062" t="s">
        <v>232</v>
      </c>
      <c r="I1062" s="10" t="s">
        <v>684</v>
      </c>
      <c r="J1062" s="167" t="s">
        <v>22</v>
      </c>
      <c r="L1062" s="9" t="str">
        <f t="shared" si="166"/>
        <v>01061</v>
      </c>
      <c r="M1062" s="71" t="str">
        <f t="shared" si="167"/>
        <v>22 de mayo de 2018</v>
      </c>
      <c r="N1062" s="39">
        <f t="shared" si="168"/>
        <v>43221</v>
      </c>
      <c r="O1062" s="9" t="str">
        <f t="shared" si="171"/>
        <v>400.000,00</v>
      </c>
      <c r="P1062" s="8" t="str">
        <f t="shared" si="173"/>
        <v>Cuatrocientos Mil Bolívares con 00/100</v>
      </c>
      <c r="Q1062" s="403" t="str">
        <f t="shared" si="169"/>
        <v/>
      </c>
    </row>
    <row r="1063" spans="1:17" ht="15.75" thickBot="1" x14ac:dyDescent="0.3">
      <c r="A1063" s="1">
        <f t="shared" si="174"/>
        <v>1062</v>
      </c>
      <c r="C1063" s="12" t="s">
        <v>17</v>
      </c>
      <c r="D1063" s="2">
        <v>43242</v>
      </c>
      <c r="E1063" s="3">
        <v>350000</v>
      </c>
      <c r="F1063" t="s">
        <v>230</v>
      </c>
      <c r="G1063" t="s">
        <v>231</v>
      </c>
      <c r="H1063" t="s">
        <v>232</v>
      </c>
      <c r="I1063" s="10" t="s">
        <v>672</v>
      </c>
      <c r="J1063" s="167" t="s">
        <v>673</v>
      </c>
      <c r="L1063" s="9" t="str">
        <f t="shared" si="166"/>
        <v>01062</v>
      </c>
      <c r="M1063" s="71" t="str">
        <f t="shared" si="167"/>
        <v>22 de mayo de 2018</v>
      </c>
      <c r="N1063" s="39">
        <f t="shared" si="168"/>
        <v>43221</v>
      </c>
      <c r="O1063" s="9" t="str">
        <f t="shared" si="171"/>
        <v>350.000,00</v>
      </c>
      <c r="P1063" s="8" t="str">
        <f t="shared" si="173"/>
        <v>Trescientos Cincuenta Mil Bolívares con 00/100</v>
      </c>
      <c r="Q1063" s="403" t="str">
        <f t="shared" si="169"/>
        <v/>
      </c>
    </row>
    <row r="1064" spans="1:17" ht="15.75" thickBot="1" x14ac:dyDescent="0.3">
      <c r="A1064" s="1">
        <f t="shared" si="174"/>
        <v>1063</v>
      </c>
      <c r="C1064" s="12" t="s">
        <v>17</v>
      </c>
      <c r="D1064" s="2">
        <v>43242</v>
      </c>
      <c r="E1064" s="3">
        <v>350000</v>
      </c>
      <c r="F1064" t="s">
        <v>280</v>
      </c>
      <c r="G1064" s="27" t="s">
        <v>58</v>
      </c>
      <c r="H1064" t="s">
        <v>282</v>
      </c>
      <c r="I1064" s="10" t="s">
        <v>710</v>
      </c>
      <c r="J1064" s="167" t="s">
        <v>673</v>
      </c>
      <c r="L1064" s="9" t="str">
        <f t="shared" si="166"/>
        <v>01063</v>
      </c>
      <c r="M1064" s="71" t="str">
        <f t="shared" si="167"/>
        <v>22 de mayo de 2018</v>
      </c>
      <c r="N1064" s="39">
        <f t="shared" si="168"/>
        <v>43221</v>
      </c>
      <c r="O1064" s="9" t="str">
        <f t="shared" si="171"/>
        <v>350.000,00</v>
      </c>
      <c r="P1064" s="8" t="str">
        <f t="shared" si="173"/>
        <v>Trescientos Cincuenta Mil Bolívares con 00/100</v>
      </c>
      <c r="Q1064" s="403" t="str">
        <f t="shared" si="169"/>
        <v/>
      </c>
    </row>
    <row r="1065" spans="1:17" ht="15.75" thickBot="1" x14ac:dyDescent="0.3">
      <c r="A1065" s="1">
        <f t="shared" si="174"/>
        <v>1064</v>
      </c>
      <c r="C1065" s="12" t="s">
        <v>17</v>
      </c>
      <c r="D1065" s="2">
        <v>43242</v>
      </c>
      <c r="E1065" s="3">
        <v>350000</v>
      </c>
      <c r="F1065" s="31" t="s">
        <v>57</v>
      </c>
      <c r="G1065" s="27" t="s">
        <v>58</v>
      </c>
      <c r="H1065" s="32" t="s">
        <v>59</v>
      </c>
      <c r="I1065" s="10" t="s">
        <v>672</v>
      </c>
      <c r="J1065" s="167" t="s">
        <v>673</v>
      </c>
      <c r="K1065" s="33"/>
      <c r="L1065" s="9" t="str">
        <f t="shared" si="166"/>
        <v>01064</v>
      </c>
      <c r="M1065" s="71" t="str">
        <f t="shared" si="167"/>
        <v>22 de mayo de 2018</v>
      </c>
      <c r="N1065" s="39">
        <f t="shared" si="168"/>
        <v>43221</v>
      </c>
      <c r="O1065" s="9" t="str">
        <f t="shared" si="171"/>
        <v>350.000,00</v>
      </c>
      <c r="P1065" s="8" t="str">
        <f t="shared" si="173"/>
        <v>Trescientos Cincuenta Mil Bolívares con 00/100</v>
      </c>
      <c r="Q1065" s="403" t="str">
        <f t="shared" si="169"/>
        <v/>
      </c>
    </row>
    <row r="1066" spans="1:17" x14ac:dyDescent="0.25">
      <c r="A1066" s="1">
        <f t="shared" si="174"/>
        <v>1065</v>
      </c>
      <c r="C1066" s="12" t="s">
        <v>17</v>
      </c>
      <c r="D1066" s="2">
        <v>43242</v>
      </c>
      <c r="E1066" s="3">
        <v>660000</v>
      </c>
      <c r="F1066" t="s">
        <v>66</v>
      </c>
      <c r="G1066" t="s">
        <v>67</v>
      </c>
      <c r="H1066" t="s">
        <v>68</v>
      </c>
      <c r="I1066" s="10" t="s">
        <v>711</v>
      </c>
      <c r="J1066" s="167" t="s">
        <v>22</v>
      </c>
      <c r="L1066" s="9" t="str">
        <f t="shared" si="166"/>
        <v>01065</v>
      </c>
      <c r="M1066" s="71" t="str">
        <f t="shared" si="167"/>
        <v>22 de mayo de 2018</v>
      </c>
      <c r="N1066" s="39">
        <f t="shared" si="168"/>
        <v>43221</v>
      </c>
      <c r="O1066" s="9" t="str">
        <f t="shared" ref="O1066:O1078" si="175">TEXT(E1066,"#.##0,00")</f>
        <v>660.000,00</v>
      </c>
      <c r="P1066" s="8" t="str">
        <f t="shared" ref="P1066:P1078" si="176">CONVERTIRNUM(E1066)</f>
        <v>Seiscientos Sesenta Mil Bolívares con 00/100</v>
      </c>
      <c r="Q1066" s="403" t="str">
        <f t="shared" si="169"/>
        <v/>
      </c>
    </row>
    <row r="1067" spans="1:17" x14ac:dyDescent="0.25">
      <c r="A1067" s="1">
        <f t="shared" si="174"/>
        <v>1066</v>
      </c>
      <c r="C1067" s="12" t="s">
        <v>17</v>
      </c>
      <c r="D1067" s="2">
        <v>43243</v>
      </c>
      <c r="E1067" s="3">
        <v>350000</v>
      </c>
      <c r="F1067" t="s">
        <v>342</v>
      </c>
      <c r="G1067" t="s">
        <v>343</v>
      </c>
      <c r="H1067" t="s">
        <v>344</v>
      </c>
      <c r="I1067" s="10" t="s">
        <v>672</v>
      </c>
      <c r="J1067" s="167" t="s">
        <v>673</v>
      </c>
      <c r="L1067" s="9" t="str">
        <f t="shared" si="166"/>
        <v>01066</v>
      </c>
      <c r="M1067" s="71" t="str">
        <f t="shared" si="167"/>
        <v>23 de mayo de 2018</v>
      </c>
      <c r="N1067" s="39">
        <f t="shared" si="168"/>
        <v>43221</v>
      </c>
      <c r="O1067" s="9" t="str">
        <f t="shared" si="175"/>
        <v>350.000,00</v>
      </c>
      <c r="P1067" s="8" t="str">
        <f t="shared" si="176"/>
        <v>Trescientos Cincuenta Mil Bolívares con 00/100</v>
      </c>
      <c r="Q1067" s="403" t="str">
        <f t="shared" si="169"/>
        <v/>
      </c>
    </row>
    <row r="1068" spans="1:17" x14ac:dyDescent="0.25">
      <c r="A1068" s="1">
        <f t="shared" si="174"/>
        <v>1067</v>
      </c>
      <c r="C1068" s="12" t="s">
        <v>17</v>
      </c>
      <c r="D1068" s="2">
        <v>43243</v>
      </c>
      <c r="E1068" s="3">
        <v>400000</v>
      </c>
      <c r="F1068" t="s">
        <v>248</v>
      </c>
      <c r="G1068" t="s">
        <v>249</v>
      </c>
      <c r="H1068" t="s">
        <v>250</v>
      </c>
      <c r="I1068" s="10" t="s">
        <v>684</v>
      </c>
      <c r="J1068" s="167" t="s">
        <v>22</v>
      </c>
      <c r="L1068" s="9" t="str">
        <f t="shared" si="166"/>
        <v>01067</v>
      </c>
      <c r="M1068" s="71" t="str">
        <f t="shared" si="167"/>
        <v>23 de mayo de 2018</v>
      </c>
      <c r="N1068" s="39">
        <f t="shared" si="168"/>
        <v>43221</v>
      </c>
      <c r="O1068" s="9" t="str">
        <f t="shared" si="175"/>
        <v>400.000,00</v>
      </c>
      <c r="P1068" s="8" t="str">
        <f t="shared" si="176"/>
        <v>Cuatrocientos Mil Bolívares con 00/100</v>
      </c>
      <c r="Q1068" s="403" t="str">
        <f t="shared" si="169"/>
        <v/>
      </c>
    </row>
    <row r="1069" spans="1:17" x14ac:dyDescent="0.25">
      <c r="A1069" s="1">
        <f t="shared" si="174"/>
        <v>1068</v>
      </c>
      <c r="C1069" s="12" t="s">
        <v>17</v>
      </c>
      <c r="D1069" s="2">
        <v>43243</v>
      </c>
      <c r="E1069" s="3">
        <v>350000</v>
      </c>
      <c r="F1069" t="s">
        <v>363</v>
      </c>
      <c r="G1069" t="s">
        <v>364</v>
      </c>
      <c r="H1069" t="s">
        <v>365</v>
      </c>
      <c r="I1069" s="10" t="s">
        <v>672</v>
      </c>
      <c r="J1069" s="167" t="s">
        <v>673</v>
      </c>
      <c r="L1069" s="9" t="str">
        <f t="shared" si="166"/>
        <v>01068</v>
      </c>
      <c r="M1069" s="71" t="str">
        <f t="shared" si="167"/>
        <v>23 de mayo de 2018</v>
      </c>
      <c r="N1069" s="39">
        <f t="shared" si="168"/>
        <v>43221</v>
      </c>
      <c r="O1069" s="9" t="str">
        <f t="shared" si="175"/>
        <v>350.000,00</v>
      </c>
      <c r="P1069" s="8" t="str">
        <f t="shared" si="176"/>
        <v>Trescientos Cincuenta Mil Bolívares con 00/100</v>
      </c>
      <c r="Q1069" s="403" t="str">
        <f t="shared" si="169"/>
        <v/>
      </c>
    </row>
    <row r="1070" spans="1:17" x14ac:dyDescent="0.25">
      <c r="A1070" s="1">
        <f t="shared" si="174"/>
        <v>1069</v>
      </c>
      <c r="C1070" s="12" t="s">
        <v>17</v>
      </c>
      <c r="D1070" s="2">
        <v>43243</v>
      </c>
      <c r="E1070" s="3">
        <v>350000</v>
      </c>
      <c r="F1070" t="s">
        <v>84</v>
      </c>
      <c r="G1070" t="s">
        <v>85</v>
      </c>
      <c r="H1070" t="s">
        <v>86</v>
      </c>
      <c r="I1070" s="10" t="s">
        <v>672</v>
      </c>
      <c r="J1070" s="167" t="s">
        <v>673</v>
      </c>
      <c r="L1070" s="9" t="str">
        <f t="shared" si="166"/>
        <v>01069</v>
      </c>
      <c r="M1070" s="71" t="str">
        <f t="shared" si="167"/>
        <v>23 de mayo de 2018</v>
      </c>
      <c r="N1070" s="39">
        <f t="shared" si="168"/>
        <v>43221</v>
      </c>
      <c r="O1070" s="9" t="str">
        <f t="shared" si="175"/>
        <v>350.000,00</v>
      </c>
      <c r="P1070" s="8" t="str">
        <f t="shared" si="176"/>
        <v>Trescientos Cincuenta Mil Bolívares con 00/100</v>
      </c>
      <c r="Q1070" s="403" t="str">
        <f t="shared" si="169"/>
        <v/>
      </c>
    </row>
    <row r="1071" spans="1:17" x14ac:dyDescent="0.25">
      <c r="A1071" s="1">
        <f t="shared" si="174"/>
        <v>1070</v>
      </c>
      <c r="C1071" s="12" t="s">
        <v>17</v>
      </c>
      <c r="D1071" s="2">
        <v>43243</v>
      </c>
      <c r="E1071" s="3">
        <v>350000</v>
      </c>
      <c r="F1071" t="s">
        <v>698</v>
      </c>
      <c r="G1071" t="s">
        <v>699</v>
      </c>
      <c r="H1071" t="s">
        <v>150</v>
      </c>
      <c r="I1071" s="10" t="s">
        <v>672</v>
      </c>
      <c r="J1071" s="167" t="s">
        <v>673</v>
      </c>
      <c r="L1071" s="9" t="str">
        <f t="shared" si="166"/>
        <v>01070</v>
      </c>
      <c r="M1071" s="71" t="str">
        <f t="shared" si="167"/>
        <v>23 de mayo de 2018</v>
      </c>
      <c r="N1071" s="39">
        <f t="shared" si="168"/>
        <v>43221</v>
      </c>
      <c r="O1071" s="9" t="str">
        <f t="shared" si="175"/>
        <v>350.000,00</v>
      </c>
      <c r="P1071" s="8" t="str">
        <f t="shared" si="176"/>
        <v>Trescientos Cincuenta Mil Bolívares con 00/100</v>
      </c>
      <c r="Q1071" s="403" t="str">
        <f t="shared" si="169"/>
        <v/>
      </c>
    </row>
    <row r="1072" spans="1:17" x14ac:dyDescent="0.25">
      <c r="A1072" s="1">
        <f t="shared" si="174"/>
        <v>1071</v>
      </c>
      <c r="C1072" s="12" t="s">
        <v>17</v>
      </c>
      <c r="D1072" s="2">
        <v>43243</v>
      </c>
      <c r="E1072" s="3">
        <v>350000</v>
      </c>
      <c r="F1072" t="s">
        <v>107</v>
      </c>
      <c r="G1072" t="s">
        <v>108</v>
      </c>
      <c r="H1072" t="s">
        <v>109</v>
      </c>
      <c r="I1072" s="10" t="s">
        <v>712</v>
      </c>
      <c r="J1072" s="167" t="s">
        <v>673</v>
      </c>
      <c r="L1072" s="9" t="str">
        <f t="shared" si="166"/>
        <v>01071</v>
      </c>
      <c r="M1072" s="71" t="str">
        <f t="shared" si="167"/>
        <v>23 de mayo de 2018</v>
      </c>
      <c r="N1072" s="39">
        <f t="shared" si="168"/>
        <v>43221</v>
      </c>
      <c r="O1072" s="9" t="str">
        <f t="shared" si="175"/>
        <v>350.000,00</v>
      </c>
      <c r="P1072" s="8" t="str">
        <f t="shared" si="176"/>
        <v>Trescientos Cincuenta Mil Bolívares con 00/100</v>
      </c>
      <c r="Q1072" s="403" t="str">
        <f t="shared" si="169"/>
        <v/>
      </c>
    </row>
    <row r="1073" spans="1:17" x14ac:dyDescent="0.25">
      <c r="A1073" s="1">
        <f t="shared" si="174"/>
        <v>1072</v>
      </c>
      <c r="C1073" s="12" t="s">
        <v>17</v>
      </c>
      <c r="D1073" s="2">
        <v>43243</v>
      </c>
      <c r="E1073" s="3">
        <v>150000</v>
      </c>
      <c r="F1073" t="s">
        <v>100</v>
      </c>
      <c r="G1073" t="s">
        <v>95</v>
      </c>
      <c r="H1073" t="s">
        <v>101</v>
      </c>
      <c r="I1073" s="10" t="s">
        <v>697</v>
      </c>
      <c r="J1073" s="167" t="s">
        <v>22</v>
      </c>
      <c r="L1073" s="9" t="str">
        <f t="shared" si="166"/>
        <v>01072</v>
      </c>
      <c r="M1073" s="71" t="str">
        <f t="shared" si="167"/>
        <v>23 de mayo de 2018</v>
      </c>
      <c r="N1073" s="39">
        <f t="shared" si="168"/>
        <v>43221</v>
      </c>
      <c r="O1073" s="9" t="str">
        <f t="shared" si="175"/>
        <v>150.000,00</v>
      </c>
      <c r="P1073" s="8" t="str">
        <f t="shared" si="176"/>
        <v>Ciento Cincuenta Mil Bolívares con 00/100</v>
      </c>
      <c r="Q1073" s="403" t="str">
        <f t="shared" si="169"/>
        <v/>
      </c>
    </row>
    <row r="1074" spans="1:17" x14ac:dyDescent="0.25">
      <c r="A1074" s="1">
        <f t="shared" si="174"/>
        <v>1073</v>
      </c>
      <c r="C1074" s="12" t="s">
        <v>17</v>
      </c>
      <c r="D1074" s="2">
        <v>43243</v>
      </c>
      <c r="E1074" s="3">
        <v>100000</v>
      </c>
      <c r="F1074" t="s">
        <v>100</v>
      </c>
      <c r="G1074" t="s">
        <v>95</v>
      </c>
      <c r="H1074" t="s">
        <v>101</v>
      </c>
      <c r="I1074" s="10" t="s">
        <v>672</v>
      </c>
      <c r="J1074" s="167" t="s">
        <v>673</v>
      </c>
      <c r="L1074" s="9" t="str">
        <f t="shared" si="166"/>
        <v>01073</v>
      </c>
      <c r="M1074" s="71" t="str">
        <f t="shared" si="167"/>
        <v>23 de mayo de 2018</v>
      </c>
      <c r="N1074" s="39">
        <f t="shared" si="168"/>
        <v>43221</v>
      </c>
      <c r="O1074" s="9" t="str">
        <f t="shared" si="175"/>
        <v>100.000,00</v>
      </c>
      <c r="P1074" s="8" t="str">
        <f t="shared" si="176"/>
        <v>Cien Mil Bolívares con 00/100</v>
      </c>
      <c r="Q1074" s="403" t="str">
        <f t="shared" si="169"/>
        <v/>
      </c>
    </row>
    <row r="1075" spans="1:17" x14ac:dyDescent="0.25">
      <c r="A1075" s="1">
        <f t="shared" si="174"/>
        <v>1074</v>
      </c>
      <c r="C1075" s="12" t="s">
        <v>17</v>
      </c>
      <c r="D1075" s="2">
        <v>43243</v>
      </c>
      <c r="E1075" s="3">
        <v>350000</v>
      </c>
      <c r="F1075" t="s">
        <v>181</v>
      </c>
      <c r="G1075" t="s">
        <v>182</v>
      </c>
      <c r="H1075" t="s">
        <v>183</v>
      </c>
      <c r="I1075" s="10" t="s">
        <v>672</v>
      </c>
      <c r="J1075" s="167" t="s">
        <v>673</v>
      </c>
      <c r="L1075" s="9" t="str">
        <f t="shared" si="166"/>
        <v>01074</v>
      </c>
      <c r="M1075" s="71" t="str">
        <f t="shared" si="167"/>
        <v>23 de mayo de 2018</v>
      </c>
      <c r="N1075" s="39">
        <f t="shared" si="168"/>
        <v>43221</v>
      </c>
      <c r="O1075" s="9" t="str">
        <f t="shared" si="175"/>
        <v>350.000,00</v>
      </c>
      <c r="P1075" s="8" t="str">
        <f t="shared" si="176"/>
        <v>Trescientos Cincuenta Mil Bolívares con 00/100</v>
      </c>
      <c r="Q1075" s="403" t="str">
        <f t="shared" si="169"/>
        <v/>
      </c>
    </row>
    <row r="1076" spans="1:17" x14ac:dyDescent="0.25">
      <c r="A1076" s="1">
        <f t="shared" si="174"/>
        <v>1075</v>
      </c>
      <c r="C1076" s="12" t="s">
        <v>17</v>
      </c>
      <c r="D1076" s="2">
        <v>43243</v>
      </c>
      <c r="E1076" s="3">
        <v>350000</v>
      </c>
      <c r="F1076" t="s">
        <v>201</v>
      </c>
      <c r="G1076" t="s">
        <v>202</v>
      </c>
      <c r="H1076" t="s">
        <v>203</v>
      </c>
      <c r="I1076" s="10" t="s">
        <v>672</v>
      </c>
      <c r="J1076" s="167" t="s">
        <v>673</v>
      </c>
      <c r="L1076" s="9" t="str">
        <f t="shared" si="166"/>
        <v>01075</v>
      </c>
      <c r="M1076" s="71" t="str">
        <f t="shared" si="167"/>
        <v>23 de mayo de 2018</v>
      </c>
      <c r="N1076" s="39">
        <f t="shared" si="168"/>
        <v>43221</v>
      </c>
      <c r="O1076" s="9" t="str">
        <f t="shared" si="175"/>
        <v>350.000,00</v>
      </c>
      <c r="P1076" s="8" t="str">
        <f t="shared" si="176"/>
        <v>Trescientos Cincuenta Mil Bolívares con 00/100</v>
      </c>
      <c r="Q1076" s="403" t="str">
        <f t="shared" si="169"/>
        <v/>
      </c>
    </row>
    <row r="1077" spans="1:17" ht="15.75" thickBot="1" x14ac:dyDescent="0.3">
      <c r="A1077" s="1">
        <f t="shared" si="174"/>
        <v>1076</v>
      </c>
      <c r="C1077" s="12" t="s">
        <v>17</v>
      </c>
      <c r="D1077" s="2">
        <v>43243</v>
      </c>
      <c r="E1077" s="3">
        <v>350000</v>
      </c>
      <c r="F1077" t="s">
        <v>162</v>
      </c>
      <c r="G1077" t="s">
        <v>163</v>
      </c>
      <c r="H1077" t="s">
        <v>164</v>
      </c>
      <c r="I1077" s="10" t="s">
        <v>672</v>
      </c>
      <c r="J1077" s="167" t="s">
        <v>673</v>
      </c>
      <c r="L1077" s="9" t="str">
        <f t="shared" si="166"/>
        <v>01076</v>
      </c>
      <c r="M1077" s="71" t="str">
        <f t="shared" si="167"/>
        <v>23 de mayo de 2018</v>
      </c>
      <c r="N1077" s="39">
        <f t="shared" si="168"/>
        <v>43221</v>
      </c>
      <c r="O1077" s="9" t="str">
        <f t="shared" si="175"/>
        <v>350.000,00</v>
      </c>
      <c r="P1077" s="8" t="str">
        <f t="shared" si="176"/>
        <v>Trescientos Cincuenta Mil Bolívares con 00/100</v>
      </c>
      <c r="Q1077" s="403" t="str">
        <f t="shared" si="169"/>
        <v/>
      </c>
    </row>
    <row r="1078" spans="1:17" ht="15.75" thickBot="1" x14ac:dyDescent="0.3">
      <c r="A1078" s="1">
        <f t="shared" si="174"/>
        <v>1077</v>
      </c>
      <c r="C1078" s="12" t="s">
        <v>17</v>
      </c>
      <c r="D1078" s="2">
        <v>43243</v>
      </c>
      <c r="E1078" s="3">
        <v>800000</v>
      </c>
      <c r="F1078" t="s">
        <v>411</v>
      </c>
      <c r="G1078" s="27" t="s">
        <v>58</v>
      </c>
      <c r="H1078" t="s">
        <v>412</v>
      </c>
      <c r="I1078" s="10" t="s">
        <v>713</v>
      </c>
      <c r="J1078" s="167" t="s">
        <v>22</v>
      </c>
      <c r="L1078" s="9" t="str">
        <f t="shared" si="166"/>
        <v>01077</v>
      </c>
      <c r="M1078" s="71" t="str">
        <f t="shared" si="167"/>
        <v>23 de mayo de 2018</v>
      </c>
      <c r="N1078" s="39">
        <f t="shared" si="168"/>
        <v>43221</v>
      </c>
      <c r="O1078" s="9" t="str">
        <f t="shared" si="175"/>
        <v>800.000,00</v>
      </c>
      <c r="P1078" s="8" t="str">
        <f t="shared" si="176"/>
        <v>Ochocientos Mil Bolívares con 00/100</v>
      </c>
      <c r="Q1078" s="403" t="str">
        <f t="shared" si="169"/>
        <v/>
      </c>
    </row>
    <row r="1079" spans="1:17" x14ac:dyDescent="0.25">
      <c r="A1079" s="1">
        <f t="shared" si="174"/>
        <v>1078</v>
      </c>
      <c r="C1079" s="12" t="s">
        <v>17</v>
      </c>
      <c r="D1079" s="2">
        <v>43244</v>
      </c>
      <c r="E1079" s="3">
        <v>400000</v>
      </c>
      <c r="F1079" t="s">
        <v>714</v>
      </c>
      <c r="G1079" t="s">
        <v>715</v>
      </c>
      <c r="H1079" t="s">
        <v>154</v>
      </c>
      <c r="I1079" s="10" t="s">
        <v>684</v>
      </c>
      <c r="J1079" s="167" t="s">
        <v>22</v>
      </c>
      <c r="L1079" s="9" t="str">
        <f t="shared" si="166"/>
        <v>01078</v>
      </c>
      <c r="M1079" s="71" t="str">
        <f t="shared" si="167"/>
        <v>24 de mayo de 2018</v>
      </c>
      <c r="N1079" s="39">
        <f t="shared" si="168"/>
        <v>43221</v>
      </c>
      <c r="O1079" s="9" t="str">
        <f>TEXT(E1079,"#.##0,00")</f>
        <v>400.000,00</v>
      </c>
      <c r="P1079" s="8" t="str">
        <f>CONVERTIRNUM(E1079)</f>
        <v>Cuatrocientos Mil Bolívares con 00/100</v>
      </c>
      <c r="Q1079" s="403" t="str">
        <f t="shared" si="169"/>
        <v/>
      </c>
    </row>
    <row r="1080" spans="1:17" x14ac:dyDescent="0.25">
      <c r="A1080" s="1">
        <f t="shared" si="174"/>
        <v>1079</v>
      </c>
      <c r="C1080" s="12" t="s">
        <v>17</v>
      </c>
      <c r="D1080" s="2">
        <v>43244</v>
      </c>
      <c r="E1080" s="3">
        <v>350000</v>
      </c>
      <c r="F1080" t="s">
        <v>714</v>
      </c>
      <c r="G1080" t="s">
        <v>715</v>
      </c>
      <c r="H1080" t="s">
        <v>154</v>
      </c>
      <c r="I1080" s="10" t="s">
        <v>672</v>
      </c>
      <c r="J1080" s="167" t="s">
        <v>673</v>
      </c>
      <c r="L1080" s="9" t="str">
        <f t="shared" si="166"/>
        <v>01079</v>
      </c>
      <c r="M1080" s="71" t="str">
        <f t="shared" si="167"/>
        <v>24 de mayo de 2018</v>
      </c>
      <c r="N1080" s="39">
        <f t="shared" si="168"/>
        <v>43221</v>
      </c>
      <c r="O1080" s="9" t="str">
        <f>TEXT(E1080,"#.##0,00")</f>
        <v>350.000,00</v>
      </c>
      <c r="P1080" s="8" t="str">
        <f>CONVERTIRNUM(E1080)</f>
        <v>Trescientos Cincuenta Mil Bolívares con 00/100</v>
      </c>
      <c r="Q1080" s="403" t="str">
        <f t="shared" si="169"/>
        <v/>
      </c>
    </row>
    <row r="1081" spans="1:17" x14ac:dyDescent="0.25">
      <c r="A1081" s="1">
        <f t="shared" si="174"/>
        <v>1080</v>
      </c>
      <c r="C1081" s="12" t="s">
        <v>17</v>
      </c>
      <c r="D1081" s="2">
        <v>43244</v>
      </c>
      <c r="E1081" s="3">
        <v>350000</v>
      </c>
      <c r="F1081" t="s">
        <v>80</v>
      </c>
      <c r="G1081" t="s">
        <v>81</v>
      </c>
      <c r="H1081" t="s">
        <v>82</v>
      </c>
      <c r="I1081" s="10" t="s">
        <v>672</v>
      </c>
      <c r="J1081" s="167" t="s">
        <v>673</v>
      </c>
      <c r="L1081" s="9" t="str">
        <f t="shared" si="166"/>
        <v>01080</v>
      </c>
      <c r="M1081" s="71" t="str">
        <f t="shared" si="167"/>
        <v>24 de mayo de 2018</v>
      </c>
      <c r="N1081" s="39">
        <f t="shared" si="168"/>
        <v>43221</v>
      </c>
      <c r="O1081" s="9" t="str">
        <f t="shared" ref="O1081:O1098" si="177">TEXT(E1081,"#.##0,00")</f>
        <v>350.000,00</v>
      </c>
      <c r="P1081" s="8" t="str">
        <f t="shared" ref="P1081:P1095" si="178">CONVERTIRNUM(E1081)</f>
        <v>Trescientos Cincuenta Mil Bolívares con 00/100</v>
      </c>
      <c r="Q1081" s="403" t="str">
        <f t="shared" si="169"/>
        <v/>
      </c>
    </row>
    <row r="1082" spans="1:17" x14ac:dyDescent="0.25">
      <c r="A1082" s="1">
        <f t="shared" si="174"/>
        <v>1081</v>
      </c>
      <c r="C1082" s="12" t="s">
        <v>17</v>
      </c>
      <c r="D1082" s="2">
        <v>43245</v>
      </c>
      <c r="E1082" s="3">
        <v>350000</v>
      </c>
      <c r="F1082" t="s">
        <v>103</v>
      </c>
      <c r="G1082" t="s">
        <v>104</v>
      </c>
      <c r="H1082" t="s">
        <v>105</v>
      </c>
      <c r="I1082" s="10" t="s">
        <v>672</v>
      </c>
      <c r="J1082" s="167" t="s">
        <v>673</v>
      </c>
      <c r="L1082" s="9" t="str">
        <f t="shared" si="166"/>
        <v>01081</v>
      </c>
      <c r="M1082" s="71" t="str">
        <f t="shared" si="167"/>
        <v>25 de mayo de 2018</v>
      </c>
      <c r="N1082" s="39">
        <f t="shared" si="168"/>
        <v>43221</v>
      </c>
      <c r="O1082" s="9" t="str">
        <f t="shared" si="177"/>
        <v>350.000,00</v>
      </c>
      <c r="P1082" s="8" t="str">
        <f t="shared" si="178"/>
        <v>Trescientos Cincuenta Mil Bolívares con 00/100</v>
      </c>
      <c r="Q1082" s="403" t="str">
        <f t="shared" si="169"/>
        <v/>
      </c>
    </row>
    <row r="1083" spans="1:17" x14ac:dyDescent="0.25">
      <c r="A1083" s="1">
        <f t="shared" si="174"/>
        <v>1082</v>
      </c>
      <c r="C1083" s="12" t="s">
        <v>17</v>
      </c>
      <c r="D1083" s="2">
        <v>43245</v>
      </c>
      <c r="E1083" s="3">
        <v>350000</v>
      </c>
      <c r="F1083" t="s">
        <v>444</v>
      </c>
      <c r="G1083" t="s">
        <v>445</v>
      </c>
      <c r="H1083" t="s">
        <v>75</v>
      </c>
      <c r="I1083" s="10" t="s">
        <v>672</v>
      </c>
      <c r="J1083" s="167" t="s">
        <v>673</v>
      </c>
      <c r="L1083" s="9" t="str">
        <f t="shared" si="166"/>
        <v>01082</v>
      </c>
      <c r="M1083" s="71" t="str">
        <f t="shared" si="167"/>
        <v>25 de mayo de 2018</v>
      </c>
      <c r="N1083" s="39">
        <f t="shared" si="168"/>
        <v>43221</v>
      </c>
      <c r="O1083" s="9" t="str">
        <f t="shared" si="177"/>
        <v>350.000,00</v>
      </c>
      <c r="P1083" s="8" t="str">
        <f t="shared" si="178"/>
        <v>Trescientos Cincuenta Mil Bolívares con 00/100</v>
      </c>
      <c r="Q1083" s="403" t="str">
        <f t="shared" si="169"/>
        <v/>
      </c>
    </row>
    <row r="1084" spans="1:17" x14ac:dyDescent="0.25">
      <c r="A1084" s="1">
        <f t="shared" si="174"/>
        <v>1083</v>
      </c>
      <c r="C1084" s="12" t="s">
        <v>17</v>
      </c>
      <c r="D1084" s="2">
        <v>43245</v>
      </c>
      <c r="E1084" s="3">
        <v>350000</v>
      </c>
      <c r="F1084" t="s">
        <v>633</v>
      </c>
      <c r="G1084" t="s">
        <v>634</v>
      </c>
      <c r="H1084" t="s">
        <v>635</v>
      </c>
      <c r="I1084" s="10" t="s">
        <v>672</v>
      </c>
      <c r="J1084" s="167" t="s">
        <v>673</v>
      </c>
      <c r="L1084" s="9" t="str">
        <f t="shared" si="166"/>
        <v>01083</v>
      </c>
      <c r="M1084" s="71" t="str">
        <f t="shared" si="167"/>
        <v>25 de mayo de 2018</v>
      </c>
      <c r="N1084" s="39">
        <f t="shared" si="168"/>
        <v>43221</v>
      </c>
      <c r="O1084" s="9" t="str">
        <f t="shared" si="177"/>
        <v>350.000,00</v>
      </c>
      <c r="P1084" s="8" t="str">
        <f t="shared" si="178"/>
        <v>Trescientos Cincuenta Mil Bolívares con 00/100</v>
      </c>
      <c r="Q1084" s="403" t="str">
        <f t="shared" si="169"/>
        <v/>
      </c>
    </row>
    <row r="1085" spans="1:17" x14ac:dyDescent="0.25">
      <c r="A1085" s="1">
        <f t="shared" si="174"/>
        <v>1084</v>
      </c>
      <c r="C1085" s="12" t="s">
        <v>17</v>
      </c>
      <c r="D1085" s="2">
        <v>43246</v>
      </c>
      <c r="E1085" s="3">
        <v>100000</v>
      </c>
      <c r="F1085" t="s">
        <v>434</v>
      </c>
      <c r="G1085" t="s">
        <v>435</v>
      </c>
      <c r="H1085" t="s">
        <v>436</v>
      </c>
      <c r="I1085" s="10" t="s">
        <v>672</v>
      </c>
      <c r="J1085" s="167" t="s">
        <v>673</v>
      </c>
      <c r="L1085" s="9" t="str">
        <f t="shared" si="166"/>
        <v>01084</v>
      </c>
      <c r="M1085" s="71" t="str">
        <f t="shared" si="167"/>
        <v>26 de mayo de 2018</v>
      </c>
      <c r="N1085" s="39">
        <f t="shared" si="168"/>
        <v>43221</v>
      </c>
      <c r="O1085" s="9" t="str">
        <f t="shared" si="177"/>
        <v>100.000,00</v>
      </c>
      <c r="P1085" s="8" t="str">
        <f t="shared" si="178"/>
        <v>Cien Mil Bolívares con 00/100</v>
      </c>
      <c r="Q1085" s="403" t="str">
        <f t="shared" si="169"/>
        <v/>
      </c>
    </row>
    <row r="1086" spans="1:17" x14ac:dyDescent="0.25">
      <c r="A1086" s="1">
        <f t="shared" si="174"/>
        <v>1085</v>
      </c>
      <c r="C1086" s="12" t="s">
        <v>17</v>
      </c>
      <c r="D1086" s="2">
        <v>43247</v>
      </c>
      <c r="E1086" s="3">
        <v>400000</v>
      </c>
      <c r="F1086" t="s">
        <v>296</v>
      </c>
      <c r="G1086" t="s">
        <v>297</v>
      </c>
      <c r="H1086" t="s">
        <v>298</v>
      </c>
      <c r="I1086" s="10" t="s">
        <v>684</v>
      </c>
      <c r="J1086" s="167" t="s">
        <v>22</v>
      </c>
      <c r="L1086" s="9" t="str">
        <f t="shared" si="166"/>
        <v>01085</v>
      </c>
      <c r="M1086" s="71" t="str">
        <f t="shared" si="167"/>
        <v>27 de mayo de 2018</v>
      </c>
      <c r="N1086" s="39">
        <f t="shared" si="168"/>
        <v>43221</v>
      </c>
      <c r="O1086" s="9" t="str">
        <f t="shared" si="177"/>
        <v>400.000,00</v>
      </c>
      <c r="P1086" s="8" t="str">
        <f t="shared" si="178"/>
        <v>Cuatrocientos Mil Bolívares con 00/100</v>
      </c>
      <c r="Q1086" s="403" t="str">
        <f t="shared" si="169"/>
        <v/>
      </c>
    </row>
    <row r="1087" spans="1:17" x14ac:dyDescent="0.25">
      <c r="A1087" s="1">
        <f t="shared" si="174"/>
        <v>1086</v>
      </c>
      <c r="C1087" s="12" t="s">
        <v>17</v>
      </c>
      <c r="D1087" s="2">
        <v>43247</v>
      </c>
      <c r="E1087" s="3">
        <v>350000</v>
      </c>
      <c r="F1087" t="s">
        <v>296</v>
      </c>
      <c r="G1087" t="s">
        <v>297</v>
      </c>
      <c r="H1087" t="s">
        <v>298</v>
      </c>
      <c r="I1087" s="10" t="s">
        <v>672</v>
      </c>
      <c r="J1087" s="167" t="s">
        <v>673</v>
      </c>
      <c r="L1087" s="9" t="str">
        <f t="shared" si="166"/>
        <v>01086</v>
      </c>
      <c r="M1087" s="71" t="str">
        <f t="shared" si="167"/>
        <v>27 de mayo de 2018</v>
      </c>
      <c r="N1087" s="39">
        <f t="shared" si="168"/>
        <v>43221</v>
      </c>
      <c r="O1087" s="9" t="str">
        <f t="shared" si="177"/>
        <v>350.000,00</v>
      </c>
      <c r="P1087" s="8" t="str">
        <f t="shared" si="178"/>
        <v>Trescientos Cincuenta Mil Bolívares con 00/100</v>
      </c>
      <c r="Q1087" s="403" t="str">
        <f t="shared" si="169"/>
        <v/>
      </c>
    </row>
    <row r="1088" spans="1:17" x14ac:dyDescent="0.25">
      <c r="A1088" s="1">
        <f t="shared" si="174"/>
        <v>1087</v>
      </c>
      <c r="C1088" s="12" t="s">
        <v>17</v>
      </c>
      <c r="D1088" s="2">
        <v>43248</v>
      </c>
      <c r="E1088" s="3">
        <v>400000</v>
      </c>
      <c r="F1088" t="s">
        <v>144</v>
      </c>
      <c r="G1088" t="s">
        <v>661</v>
      </c>
      <c r="H1088" t="s">
        <v>146</v>
      </c>
      <c r="I1088" s="10" t="s">
        <v>716</v>
      </c>
      <c r="J1088" s="167" t="s">
        <v>22</v>
      </c>
      <c r="L1088" s="9" t="str">
        <f t="shared" si="166"/>
        <v>01087</v>
      </c>
      <c r="M1088" s="71" t="str">
        <f t="shared" si="167"/>
        <v>28 de mayo de 2018</v>
      </c>
      <c r="N1088" s="39">
        <f t="shared" si="168"/>
        <v>43221</v>
      </c>
      <c r="O1088" s="9" t="str">
        <f t="shared" si="177"/>
        <v>400.000,00</v>
      </c>
      <c r="P1088" s="8" t="str">
        <f t="shared" si="178"/>
        <v>Cuatrocientos Mil Bolívares con 00/100</v>
      </c>
      <c r="Q1088" s="403" t="str">
        <f t="shared" si="169"/>
        <v/>
      </c>
    </row>
    <row r="1089" spans="1:17" x14ac:dyDescent="0.25">
      <c r="A1089" s="1">
        <f t="shared" si="174"/>
        <v>1088</v>
      </c>
      <c r="C1089" s="12" t="s">
        <v>17</v>
      </c>
      <c r="D1089" s="2">
        <v>43248</v>
      </c>
      <c r="E1089" s="3">
        <v>350000</v>
      </c>
      <c r="F1089" t="s">
        <v>144</v>
      </c>
      <c r="G1089" t="s">
        <v>661</v>
      </c>
      <c r="H1089" t="s">
        <v>146</v>
      </c>
      <c r="I1089" s="10" t="s">
        <v>672</v>
      </c>
      <c r="J1089" s="167" t="s">
        <v>673</v>
      </c>
      <c r="L1089" s="9" t="str">
        <f t="shared" si="166"/>
        <v>01088</v>
      </c>
      <c r="M1089" s="71" t="str">
        <f t="shared" si="167"/>
        <v>28 de mayo de 2018</v>
      </c>
      <c r="N1089" s="39">
        <f t="shared" si="168"/>
        <v>43221</v>
      </c>
      <c r="O1089" s="9" t="str">
        <f t="shared" si="177"/>
        <v>350.000,00</v>
      </c>
      <c r="P1089" s="8" t="str">
        <f t="shared" si="178"/>
        <v>Trescientos Cincuenta Mil Bolívares con 00/100</v>
      </c>
      <c r="Q1089" s="403" t="str">
        <f t="shared" si="169"/>
        <v/>
      </c>
    </row>
    <row r="1090" spans="1:17" x14ac:dyDescent="0.25">
      <c r="A1090" s="1">
        <f t="shared" si="174"/>
        <v>1089</v>
      </c>
      <c r="C1090" s="12" t="s">
        <v>17</v>
      </c>
      <c r="D1090" s="2">
        <v>43248</v>
      </c>
      <c r="E1090" s="3">
        <v>350000</v>
      </c>
      <c r="F1090" t="s">
        <v>138</v>
      </c>
      <c r="G1090" t="s">
        <v>139</v>
      </c>
      <c r="H1090" t="s">
        <v>140</v>
      </c>
      <c r="I1090" s="10" t="s">
        <v>672</v>
      </c>
      <c r="J1090" s="167" t="s">
        <v>673</v>
      </c>
      <c r="L1090" s="9" t="str">
        <f t="shared" ref="L1090:L1106" si="179">IF(ISBLANK(A1090),"",TEXT(A1090,"00000"))</f>
        <v>01089</v>
      </c>
      <c r="M1090" s="71" t="str">
        <f t="shared" ref="M1090:M1100" si="180">IF(ISBLANK(D1090),"",TEXT(D1090,"dd")&amp;" de "&amp;TEXT(D1090,"mmmm")&amp;" de "&amp;TEXT(YEAR(D1090),"0"))</f>
        <v>28 de mayo de 2018</v>
      </c>
      <c r="N1090" s="39">
        <f t="shared" ref="N1090:N1106" si="181">DATE(YEAR(D1090),MONTH(D1090),1)</f>
        <v>43221</v>
      </c>
      <c r="O1090" s="9" t="str">
        <f t="shared" si="177"/>
        <v>350.000,00</v>
      </c>
      <c r="P1090" s="8" t="str">
        <f t="shared" si="178"/>
        <v>Trescientos Cincuenta Mil Bolívares con 00/100</v>
      </c>
      <c r="Q1090" s="403" t="str">
        <f t="shared" si="169"/>
        <v/>
      </c>
    </row>
    <row r="1091" spans="1:17" x14ac:dyDescent="0.25">
      <c r="A1091" s="1">
        <f t="shared" si="174"/>
        <v>1090</v>
      </c>
      <c r="C1091" s="12" t="s">
        <v>17</v>
      </c>
      <c r="D1091" s="2">
        <v>43248</v>
      </c>
      <c r="E1091" s="3">
        <v>350000</v>
      </c>
      <c r="F1091" t="s">
        <v>264</v>
      </c>
      <c r="G1091" t="s">
        <v>265</v>
      </c>
      <c r="H1091" t="s">
        <v>266</v>
      </c>
      <c r="I1091" s="10" t="s">
        <v>672</v>
      </c>
      <c r="J1091" s="167" t="s">
        <v>673</v>
      </c>
      <c r="L1091" s="9" t="str">
        <f t="shared" si="179"/>
        <v>01090</v>
      </c>
      <c r="M1091" s="71" t="str">
        <f t="shared" si="180"/>
        <v>28 de mayo de 2018</v>
      </c>
      <c r="N1091" s="39">
        <f t="shared" si="181"/>
        <v>43221</v>
      </c>
      <c r="O1091" s="9" t="str">
        <f t="shared" si="177"/>
        <v>350.000,00</v>
      </c>
      <c r="P1091" s="8" t="str">
        <f t="shared" si="178"/>
        <v>Trescientos Cincuenta Mil Bolívares con 00/100</v>
      </c>
      <c r="Q1091" s="403" t="str">
        <f t="shared" ref="Q1091:Q1154" si="182">IF(C1091="û","Anulado","")</f>
        <v/>
      </c>
    </row>
    <row r="1092" spans="1:17" x14ac:dyDescent="0.25">
      <c r="A1092" s="1">
        <f>A1091+1</f>
        <v>1091</v>
      </c>
      <c r="C1092" s="12" t="s">
        <v>17</v>
      </c>
      <c r="D1092" s="2">
        <v>43248</v>
      </c>
      <c r="E1092" s="3">
        <v>350000</v>
      </c>
      <c r="F1092" t="s">
        <v>334</v>
      </c>
      <c r="G1092" t="s">
        <v>85</v>
      </c>
      <c r="H1092" t="s">
        <v>335</v>
      </c>
      <c r="I1092" s="10" t="s">
        <v>672</v>
      </c>
      <c r="J1092" s="167" t="s">
        <v>673</v>
      </c>
      <c r="L1092" s="9" t="str">
        <f t="shared" si="179"/>
        <v>01091</v>
      </c>
      <c r="M1092" s="71" t="str">
        <f t="shared" si="180"/>
        <v>28 de mayo de 2018</v>
      </c>
      <c r="N1092" s="39">
        <f t="shared" si="181"/>
        <v>43221</v>
      </c>
      <c r="O1092" s="9" t="str">
        <f t="shared" si="177"/>
        <v>350.000,00</v>
      </c>
      <c r="P1092" s="8" t="str">
        <f t="shared" si="178"/>
        <v>Trescientos Cincuenta Mil Bolívares con 00/100</v>
      </c>
      <c r="Q1092" s="403" t="str">
        <f t="shared" si="182"/>
        <v/>
      </c>
    </row>
    <row r="1093" spans="1:17" x14ac:dyDescent="0.25">
      <c r="A1093" s="1">
        <f t="shared" ref="A1093:A1122" si="183">A1092+1</f>
        <v>1092</v>
      </c>
      <c r="C1093" s="12" t="s">
        <v>17</v>
      </c>
      <c r="D1093" s="2">
        <v>43249</v>
      </c>
      <c r="E1093" s="3">
        <v>200000</v>
      </c>
      <c r="F1093" t="s">
        <v>28</v>
      </c>
      <c r="G1093" t="s">
        <v>717</v>
      </c>
      <c r="H1093" t="s">
        <v>30</v>
      </c>
      <c r="I1093" s="10" t="s">
        <v>702</v>
      </c>
      <c r="J1093" s="167" t="s">
        <v>22</v>
      </c>
      <c r="L1093" s="9" t="str">
        <f t="shared" si="179"/>
        <v>01092</v>
      </c>
      <c r="M1093" s="71" t="str">
        <f t="shared" si="180"/>
        <v>29 de mayo de 2018</v>
      </c>
      <c r="N1093" s="39">
        <f t="shared" si="181"/>
        <v>43221</v>
      </c>
      <c r="O1093" s="9" t="str">
        <f t="shared" si="177"/>
        <v>200.000,00</v>
      </c>
      <c r="P1093" s="8" t="str">
        <f t="shared" si="178"/>
        <v>Doscientos Mil Bolívares con 00/100</v>
      </c>
      <c r="Q1093" s="403" t="str">
        <f t="shared" si="182"/>
        <v/>
      </c>
    </row>
    <row r="1094" spans="1:17" x14ac:dyDescent="0.25">
      <c r="A1094" s="1">
        <f t="shared" si="183"/>
        <v>1093</v>
      </c>
      <c r="C1094" s="12" t="s">
        <v>17</v>
      </c>
      <c r="D1094" s="2">
        <v>43249</v>
      </c>
      <c r="E1094" s="3">
        <v>350000</v>
      </c>
      <c r="F1094" t="s">
        <v>28</v>
      </c>
      <c r="G1094" t="s">
        <v>717</v>
      </c>
      <c r="H1094" t="s">
        <v>30</v>
      </c>
      <c r="I1094" s="10" t="s">
        <v>672</v>
      </c>
      <c r="J1094" s="167" t="s">
        <v>673</v>
      </c>
      <c r="L1094" s="9" t="str">
        <f t="shared" si="179"/>
        <v>01093</v>
      </c>
      <c r="M1094" s="71" t="str">
        <f t="shared" si="180"/>
        <v>29 de mayo de 2018</v>
      </c>
      <c r="N1094" s="39">
        <f t="shared" si="181"/>
        <v>43221</v>
      </c>
      <c r="O1094" s="9" t="str">
        <f t="shared" si="177"/>
        <v>350.000,00</v>
      </c>
      <c r="P1094" s="8" t="str">
        <f t="shared" si="178"/>
        <v>Trescientos Cincuenta Mil Bolívares con 00/100</v>
      </c>
      <c r="Q1094" s="403" t="str">
        <f t="shared" si="182"/>
        <v/>
      </c>
    </row>
    <row r="1095" spans="1:17" ht="15.75" thickBot="1" x14ac:dyDescent="0.3">
      <c r="A1095" s="1">
        <f t="shared" si="183"/>
        <v>1094</v>
      </c>
      <c r="C1095" s="12" t="s">
        <v>17</v>
      </c>
      <c r="D1095" s="2">
        <v>43249</v>
      </c>
      <c r="E1095" s="3">
        <v>350000</v>
      </c>
      <c r="F1095" t="s">
        <v>122</v>
      </c>
      <c r="G1095" t="s">
        <v>123</v>
      </c>
      <c r="H1095" t="s">
        <v>124</v>
      </c>
      <c r="I1095" s="10" t="s">
        <v>672</v>
      </c>
      <c r="J1095" s="167" t="s">
        <v>673</v>
      </c>
      <c r="L1095" s="9" t="str">
        <f t="shared" si="179"/>
        <v>01094</v>
      </c>
      <c r="M1095" s="71" t="str">
        <f t="shared" si="180"/>
        <v>29 de mayo de 2018</v>
      </c>
      <c r="N1095" s="39">
        <f t="shared" si="181"/>
        <v>43221</v>
      </c>
      <c r="O1095" s="9" t="str">
        <f t="shared" si="177"/>
        <v>350.000,00</v>
      </c>
      <c r="P1095" s="8" t="str">
        <f t="shared" si="178"/>
        <v>Trescientos Cincuenta Mil Bolívares con 00/100</v>
      </c>
      <c r="Q1095" s="403" t="str">
        <f t="shared" si="182"/>
        <v/>
      </c>
    </row>
    <row r="1096" spans="1:17" ht="15.75" thickBot="1" x14ac:dyDescent="0.3">
      <c r="A1096" s="1">
        <f t="shared" si="183"/>
        <v>1095</v>
      </c>
      <c r="C1096" s="12" t="s">
        <v>17</v>
      </c>
      <c r="D1096" s="2">
        <v>43249</v>
      </c>
      <c r="E1096" s="3">
        <v>350000</v>
      </c>
      <c r="F1096" s="36" t="s">
        <v>423</v>
      </c>
      <c r="G1096" s="27" t="s">
        <v>58</v>
      </c>
      <c r="H1096" t="s">
        <v>424</v>
      </c>
      <c r="I1096" s="10" t="s">
        <v>672</v>
      </c>
      <c r="J1096" s="167" t="s">
        <v>673</v>
      </c>
      <c r="L1096" s="9" t="str">
        <f t="shared" si="179"/>
        <v>01095</v>
      </c>
      <c r="M1096" s="71" t="str">
        <f t="shared" si="180"/>
        <v>29 de mayo de 2018</v>
      </c>
      <c r="N1096" s="39">
        <f t="shared" si="181"/>
        <v>43221</v>
      </c>
      <c r="O1096" s="9" t="str">
        <f t="shared" si="177"/>
        <v>350.000,00</v>
      </c>
      <c r="P1096" s="8" t="str">
        <f>CONVERTIRNUM(E1096)</f>
        <v>Trescientos Cincuenta Mil Bolívares con 00/100</v>
      </c>
      <c r="Q1096" s="403" t="str">
        <f t="shared" si="182"/>
        <v/>
      </c>
    </row>
    <row r="1097" spans="1:17" ht="15.75" thickBot="1" x14ac:dyDescent="0.3">
      <c r="A1097" s="1">
        <f t="shared" si="183"/>
        <v>1096</v>
      </c>
      <c r="C1097" s="12" t="s">
        <v>17</v>
      </c>
      <c r="D1097" s="2">
        <v>43250</v>
      </c>
      <c r="E1097" s="3">
        <v>240000</v>
      </c>
      <c r="F1097" t="s">
        <v>312</v>
      </c>
      <c r="G1097" t="s">
        <v>313</v>
      </c>
      <c r="H1097" t="s">
        <v>314</v>
      </c>
      <c r="I1097" s="10" t="s">
        <v>664</v>
      </c>
      <c r="J1097" s="167" t="s">
        <v>22</v>
      </c>
      <c r="L1097" s="9" t="str">
        <f t="shared" si="179"/>
        <v>01096</v>
      </c>
      <c r="M1097" s="71" t="str">
        <f t="shared" si="180"/>
        <v>30 de mayo de 2018</v>
      </c>
      <c r="N1097" s="39">
        <f t="shared" si="181"/>
        <v>43221</v>
      </c>
      <c r="O1097" s="9" t="str">
        <f t="shared" si="177"/>
        <v>240.000,00</v>
      </c>
      <c r="P1097" s="8" t="str">
        <f>CONVERTIRNUM(E1097)</f>
        <v>Doscientos Cuarenta Mil Bolívares con 00/100</v>
      </c>
      <c r="Q1097" s="403" t="str">
        <f t="shared" si="182"/>
        <v/>
      </c>
    </row>
    <row r="1098" spans="1:17" ht="15.75" thickBot="1" x14ac:dyDescent="0.3">
      <c r="A1098" s="1">
        <f t="shared" si="183"/>
        <v>1097</v>
      </c>
      <c r="C1098" s="12" t="s">
        <v>17</v>
      </c>
      <c r="D1098" s="2">
        <v>43243</v>
      </c>
      <c r="E1098" s="3">
        <v>400000</v>
      </c>
      <c r="F1098" t="s">
        <v>319</v>
      </c>
      <c r="G1098" s="27" t="s">
        <v>58</v>
      </c>
      <c r="H1098" t="s">
        <v>320</v>
      </c>
      <c r="I1098" s="10" t="s">
        <v>684</v>
      </c>
      <c r="J1098" s="167" t="s">
        <v>22</v>
      </c>
      <c r="L1098" s="9" t="str">
        <f t="shared" si="179"/>
        <v>01097</v>
      </c>
      <c r="M1098" s="71" t="str">
        <f t="shared" si="180"/>
        <v>23 de mayo de 2018</v>
      </c>
      <c r="N1098" s="39">
        <f t="shared" si="181"/>
        <v>43221</v>
      </c>
      <c r="O1098" s="9" t="str">
        <f t="shared" si="177"/>
        <v>400.000,00</v>
      </c>
      <c r="P1098" s="8" t="str">
        <f>CONVERTIRNUM(E1098)</f>
        <v>Cuatrocientos Mil Bolívares con 00/100</v>
      </c>
      <c r="Q1098" s="403" t="str">
        <f t="shared" si="182"/>
        <v/>
      </c>
    </row>
    <row r="1099" spans="1:17" x14ac:dyDescent="0.25">
      <c r="A1099" s="1">
        <f t="shared" si="183"/>
        <v>1098</v>
      </c>
      <c r="C1099" s="12" t="s">
        <v>17</v>
      </c>
      <c r="D1099" s="2">
        <v>43250</v>
      </c>
      <c r="E1099" s="3">
        <f>140000+400000+400000</f>
        <v>940000</v>
      </c>
      <c r="F1099" t="s">
        <v>718</v>
      </c>
      <c r="G1099" t="s">
        <v>719</v>
      </c>
      <c r="H1099" t="s">
        <v>720</v>
      </c>
      <c r="I1099" s="10" t="s">
        <v>721</v>
      </c>
      <c r="J1099" s="167" t="s">
        <v>22</v>
      </c>
      <c r="L1099" s="9" t="str">
        <f t="shared" si="179"/>
        <v>01098</v>
      </c>
      <c r="M1099" s="71" t="str">
        <f t="shared" si="180"/>
        <v>30 de mayo de 2018</v>
      </c>
      <c r="N1099" s="39">
        <f t="shared" si="181"/>
        <v>43221</v>
      </c>
      <c r="O1099" s="9" t="str">
        <f t="shared" ref="O1099:O1106" si="184">TEXT(E1099,"#.##0,00")</f>
        <v>940.000,00</v>
      </c>
      <c r="P1099" s="8" t="str">
        <f t="shared" ref="P1099:P1106" si="185">CONVERTIRNUM(E1099)</f>
        <v>Novecientos Cuarenta Mil Bolívares con 00/100</v>
      </c>
      <c r="Q1099" s="403" t="str">
        <f t="shared" si="182"/>
        <v/>
      </c>
    </row>
    <row r="1100" spans="1:17" x14ac:dyDescent="0.25">
      <c r="A1100" s="1">
        <f t="shared" si="183"/>
        <v>1099</v>
      </c>
      <c r="C1100" s="12" t="s">
        <v>17</v>
      </c>
      <c r="D1100" s="2">
        <v>43250</v>
      </c>
      <c r="E1100" s="3">
        <v>350000</v>
      </c>
      <c r="F1100" t="s">
        <v>718</v>
      </c>
      <c r="G1100" t="s">
        <v>719</v>
      </c>
      <c r="H1100" t="s">
        <v>720</v>
      </c>
      <c r="I1100" s="10" t="s">
        <v>672</v>
      </c>
      <c r="J1100" s="167" t="s">
        <v>673</v>
      </c>
      <c r="L1100" s="9" t="str">
        <f t="shared" si="179"/>
        <v>01099</v>
      </c>
      <c r="M1100" s="71" t="str">
        <f t="shared" si="180"/>
        <v>30 de mayo de 2018</v>
      </c>
      <c r="N1100" s="39">
        <f t="shared" si="181"/>
        <v>43221</v>
      </c>
      <c r="O1100" s="9" t="str">
        <f t="shared" si="184"/>
        <v>350.000,00</v>
      </c>
      <c r="P1100" s="8" t="str">
        <f t="shared" si="185"/>
        <v>Trescientos Cincuenta Mil Bolívares con 00/100</v>
      </c>
      <c r="Q1100" s="403" t="str">
        <f t="shared" si="182"/>
        <v/>
      </c>
    </row>
    <row r="1101" spans="1:17" x14ac:dyDescent="0.25">
      <c r="A1101" s="1">
        <f t="shared" si="183"/>
        <v>1100</v>
      </c>
      <c r="C1101" s="12" t="s">
        <v>17</v>
      </c>
      <c r="D1101" s="2">
        <v>43250</v>
      </c>
      <c r="E1101" s="3">
        <v>250000</v>
      </c>
      <c r="F1101" t="s">
        <v>126</v>
      </c>
      <c r="G1101" t="s">
        <v>127</v>
      </c>
      <c r="H1101" t="s">
        <v>128</v>
      </c>
      <c r="I1101" s="10" t="s">
        <v>672</v>
      </c>
      <c r="J1101" s="167" t="s">
        <v>673</v>
      </c>
      <c r="L1101" s="9" t="str">
        <f t="shared" si="179"/>
        <v>01100</v>
      </c>
      <c r="M1101" s="71" t="str">
        <f t="shared" ref="M1101:M1106" si="186">IF(ISBLANK(D1101),"",TEXT(D1101,"dd")&amp;" de "&amp;TEXT(D1101,"mmmm")&amp;" de "&amp;TEXT(YEAR(D1101),"0"))</f>
        <v>30 de mayo de 2018</v>
      </c>
      <c r="N1101" s="39">
        <f t="shared" si="181"/>
        <v>43221</v>
      </c>
      <c r="O1101" s="9" t="str">
        <f t="shared" si="184"/>
        <v>250.000,00</v>
      </c>
      <c r="P1101" s="8" t="str">
        <f t="shared" si="185"/>
        <v>Doscientos Cincuenta Mil Bolívares con 00/100</v>
      </c>
      <c r="Q1101" s="403" t="str">
        <f t="shared" si="182"/>
        <v/>
      </c>
    </row>
    <row r="1102" spans="1:17" x14ac:dyDescent="0.25">
      <c r="A1102" s="1">
        <f t="shared" si="183"/>
        <v>1101</v>
      </c>
      <c r="C1102" s="12" t="s">
        <v>17</v>
      </c>
      <c r="D1102" s="2">
        <v>43250</v>
      </c>
      <c r="E1102" s="3">
        <v>400000</v>
      </c>
      <c r="F1102" t="s">
        <v>185</v>
      </c>
      <c r="G1102" t="s">
        <v>186</v>
      </c>
      <c r="H1102" t="s">
        <v>187</v>
      </c>
      <c r="I1102" s="10" t="s">
        <v>684</v>
      </c>
      <c r="J1102" s="167" t="s">
        <v>22</v>
      </c>
      <c r="L1102" s="9" t="str">
        <f t="shared" si="179"/>
        <v>01101</v>
      </c>
      <c r="M1102" s="71" t="str">
        <f t="shared" si="186"/>
        <v>30 de mayo de 2018</v>
      </c>
      <c r="N1102" s="39">
        <f t="shared" si="181"/>
        <v>43221</v>
      </c>
      <c r="O1102" s="9" t="str">
        <f t="shared" si="184"/>
        <v>400.000,00</v>
      </c>
      <c r="P1102" s="8" t="str">
        <f t="shared" si="185"/>
        <v>Cuatrocientos Mil Bolívares con 00/100</v>
      </c>
      <c r="Q1102" s="403" t="str">
        <f t="shared" si="182"/>
        <v/>
      </c>
    </row>
    <row r="1103" spans="1:17" ht="15.75" thickBot="1" x14ac:dyDescent="0.3">
      <c r="A1103" s="1">
        <f t="shared" si="183"/>
        <v>1102</v>
      </c>
      <c r="C1103" s="12" t="s">
        <v>17</v>
      </c>
      <c r="D1103" s="2">
        <v>43250</v>
      </c>
      <c r="E1103" s="3">
        <v>350000</v>
      </c>
      <c r="F1103" t="s">
        <v>185</v>
      </c>
      <c r="G1103" t="s">
        <v>186</v>
      </c>
      <c r="H1103" t="s">
        <v>187</v>
      </c>
      <c r="I1103" s="10" t="s">
        <v>672</v>
      </c>
      <c r="J1103" s="167" t="s">
        <v>673</v>
      </c>
      <c r="L1103" s="9" t="str">
        <f t="shared" si="179"/>
        <v>01102</v>
      </c>
      <c r="M1103" s="71" t="str">
        <f t="shared" si="186"/>
        <v>30 de mayo de 2018</v>
      </c>
      <c r="N1103" s="39">
        <f t="shared" si="181"/>
        <v>43221</v>
      </c>
      <c r="O1103" s="9" t="str">
        <f t="shared" si="184"/>
        <v>350.000,00</v>
      </c>
      <c r="P1103" s="8" t="str">
        <f t="shared" si="185"/>
        <v>Trescientos Cincuenta Mil Bolívares con 00/100</v>
      </c>
      <c r="Q1103" s="403" t="str">
        <f t="shared" si="182"/>
        <v/>
      </c>
    </row>
    <row r="1104" spans="1:17" ht="15.75" thickBot="1" x14ac:dyDescent="0.3">
      <c r="A1104" s="1">
        <f t="shared" si="183"/>
        <v>1103</v>
      </c>
      <c r="C1104" s="12" t="s">
        <v>17</v>
      </c>
      <c r="D1104" s="2">
        <v>43251</v>
      </c>
      <c r="E1104" s="3">
        <f>140000+400000</f>
        <v>540000</v>
      </c>
      <c r="F1104" t="s">
        <v>239</v>
      </c>
      <c r="G1104" s="225" t="s">
        <v>240</v>
      </c>
      <c r="H1104" t="s">
        <v>241</v>
      </c>
      <c r="I1104" s="10" t="s">
        <v>695</v>
      </c>
      <c r="J1104" s="167" t="s">
        <v>22</v>
      </c>
      <c r="L1104" s="9" t="str">
        <f t="shared" si="179"/>
        <v>01103</v>
      </c>
      <c r="M1104" s="71" t="str">
        <f t="shared" si="186"/>
        <v>31 de mayo de 2018</v>
      </c>
      <c r="N1104" s="39">
        <f t="shared" si="181"/>
        <v>43221</v>
      </c>
      <c r="O1104" s="9" t="str">
        <f t="shared" si="184"/>
        <v>540.000,00</v>
      </c>
      <c r="P1104" s="8" t="str">
        <f t="shared" si="185"/>
        <v>Quinientos Cuarenta Mil Bolívares con 00/100</v>
      </c>
      <c r="Q1104" s="403" t="str">
        <f t="shared" si="182"/>
        <v/>
      </c>
    </row>
    <row r="1105" spans="1:17" x14ac:dyDescent="0.25">
      <c r="A1105" s="1">
        <f t="shared" si="183"/>
        <v>1104</v>
      </c>
      <c r="C1105" s="12" t="s">
        <v>17</v>
      </c>
      <c r="D1105" s="2">
        <v>43251</v>
      </c>
      <c r="E1105" s="3">
        <v>660000</v>
      </c>
      <c r="F1105" t="s">
        <v>337</v>
      </c>
      <c r="G1105" t="s">
        <v>338</v>
      </c>
      <c r="H1105" t="s">
        <v>339</v>
      </c>
      <c r="I1105" s="10" t="s">
        <v>722</v>
      </c>
      <c r="J1105" s="167" t="s">
        <v>22</v>
      </c>
      <c r="L1105" s="9" t="str">
        <f t="shared" si="179"/>
        <v>01104</v>
      </c>
      <c r="M1105" s="71" t="str">
        <f t="shared" si="186"/>
        <v>31 de mayo de 2018</v>
      </c>
      <c r="N1105" s="39">
        <f t="shared" si="181"/>
        <v>43221</v>
      </c>
      <c r="O1105" s="9" t="str">
        <f t="shared" si="184"/>
        <v>660.000,00</v>
      </c>
      <c r="P1105" s="8" t="str">
        <f t="shared" si="185"/>
        <v>Seiscientos Sesenta Mil Bolívares con 00/100</v>
      </c>
      <c r="Q1105" s="403" t="str">
        <f t="shared" si="182"/>
        <v/>
      </c>
    </row>
    <row r="1106" spans="1:17" x14ac:dyDescent="0.25">
      <c r="A1106" s="1">
        <f t="shared" si="183"/>
        <v>1105</v>
      </c>
      <c r="C1106" s="12" t="s">
        <v>17</v>
      </c>
      <c r="D1106" s="2">
        <v>43253</v>
      </c>
      <c r="E1106" s="3">
        <v>800000</v>
      </c>
      <c r="F1106" t="s">
        <v>197</v>
      </c>
      <c r="G1106" t="s">
        <v>198</v>
      </c>
      <c r="H1106" t="s">
        <v>199</v>
      </c>
      <c r="I1106" s="10" t="s">
        <v>713</v>
      </c>
      <c r="J1106" s="167" t="s">
        <v>22</v>
      </c>
      <c r="L1106" s="9" t="str">
        <f t="shared" si="179"/>
        <v>01105</v>
      </c>
      <c r="M1106" s="71" t="str">
        <f t="shared" si="186"/>
        <v>02 de junio de 2018</v>
      </c>
      <c r="N1106" s="39">
        <f t="shared" si="181"/>
        <v>43252</v>
      </c>
      <c r="O1106" s="9" t="str">
        <f t="shared" si="184"/>
        <v>800.000,00</v>
      </c>
      <c r="P1106" s="8" t="str">
        <f t="shared" si="185"/>
        <v>Ochocientos Mil Bolívares con 00/100</v>
      </c>
      <c r="Q1106" s="403" t="str">
        <f t="shared" si="182"/>
        <v/>
      </c>
    </row>
    <row r="1107" spans="1:17" x14ac:dyDescent="0.25">
      <c r="A1107" s="1">
        <f t="shared" si="183"/>
        <v>1106</v>
      </c>
      <c r="C1107" s="12" t="s">
        <v>17</v>
      </c>
      <c r="D1107" s="2">
        <v>43253</v>
      </c>
      <c r="E1107" s="3">
        <v>350000</v>
      </c>
      <c r="F1107" t="s">
        <v>197</v>
      </c>
      <c r="G1107" t="s">
        <v>198</v>
      </c>
      <c r="H1107" t="s">
        <v>199</v>
      </c>
      <c r="I1107" s="10" t="s">
        <v>672</v>
      </c>
      <c r="J1107" s="167" t="s">
        <v>673</v>
      </c>
      <c r="L1107" s="9" t="str">
        <f t="shared" ref="L1107:L1130" si="187">IF(ISBLANK(A1107),"",TEXT(A1107,"00000"))</f>
        <v>01106</v>
      </c>
      <c r="M1107" s="71" t="str">
        <f t="shared" ref="M1107:M1130" si="188">IF(ISBLANK(D1107),"",TEXT(D1107,"dd")&amp;" de "&amp;TEXT(D1107,"mmmm")&amp;" de "&amp;TEXT(YEAR(D1107),"0"))</f>
        <v>02 de junio de 2018</v>
      </c>
      <c r="N1107" s="39">
        <f t="shared" ref="N1107:N1130" si="189">DATE(YEAR(D1107),MONTH(D1107),1)</f>
        <v>43252</v>
      </c>
      <c r="O1107" s="9" t="str">
        <f t="shared" ref="O1107:O1118" si="190">TEXT(E1107,"#.##0,00")</f>
        <v>350.000,00</v>
      </c>
      <c r="P1107" s="8" t="str">
        <f t="shared" ref="P1107:P1118" si="191">CONVERTIRNUM(E1107)</f>
        <v>Trescientos Cincuenta Mil Bolívares con 00/100</v>
      </c>
      <c r="Q1107" s="403" t="str">
        <f t="shared" si="182"/>
        <v/>
      </c>
    </row>
    <row r="1108" spans="1:17" x14ac:dyDescent="0.25">
      <c r="A1108" s="390">
        <f t="shared" si="183"/>
        <v>1107</v>
      </c>
      <c r="C1108" s="12" t="s">
        <v>17</v>
      </c>
      <c r="D1108" s="2">
        <v>43253</v>
      </c>
      <c r="E1108" s="3">
        <v>350000</v>
      </c>
      <c r="F1108" t="s">
        <v>439</v>
      </c>
      <c r="G1108" t="s">
        <v>440</v>
      </c>
      <c r="H1108" t="s">
        <v>441</v>
      </c>
      <c r="I1108" s="10" t="s">
        <v>672</v>
      </c>
      <c r="J1108" s="167" t="s">
        <v>673</v>
      </c>
      <c r="L1108" s="9" t="str">
        <f t="shared" si="187"/>
        <v>01107</v>
      </c>
      <c r="M1108" s="71" t="str">
        <f t="shared" si="188"/>
        <v>02 de junio de 2018</v>
      </c>
      <c r="N1108" s="39">
        <f t="shared" si="189"/>
        <v>43252</v>
      </c>
      <c r="O1108" s="9" t="str">
        <f t="shared" si="190"/>
        <v>350.000,00</v>
      </c>
      <c r="P1108" s="8" t="str">
        <f t="shared" si="191"/>
        <v>Trescientos Cincuenta Mil Bolívares con 00/100</v>
      </c>
      <c r="Q1108" s="403" t="str">
        <f t="shared" si="182"/>
        <v/>
      </c>
    </row>
    <row r="1109" spans="1:17" x14ac:dyDescent="0.25">
      <c r="A1109" s="1">
        <f t="shared" si="183"/>
        <v>1108</v>
      </c>
      <c r="C1109" s="12" t="s">
        <v>17</v>
      </c>
      <c r="D1109" s="2">
        <v>43255</v>
      </c>
      <c r="E1109" s="3">
        <v>400000</v>
      </c>
      <c r="F1109" t="s">
        <v>698</v>
      </c>
      <c r="G1109" t="s">
        <v>699</v>
      </c>
      <c r="H1109" t="s">
        <v>150</v>
      </c>
      <c r="I1109" s="10" t="s">
        <v>707</v>
      </c>
      <c r="J1109" s="167" t="s">
        <v>22</v>
      </c>
      <c r="L1109" s="9" t="str">
        <f t="shared" si="187"/>
        <v>01108</v>
      </c>
      <c r="M1109" s="71" t="str">
        <f t="shared" si="188"/>
        <v>04 de junio de 2018</v>
      </c>
      <c r="N1109" s="39">
        <f t="shared" si="189"/>
        <v>43252</v>
      </c>
      <c r="O1109" s="9" t="str">
        <f t="shared" si="190"/>
        <v>400.000,00</v>
      </c>
      <c r="P1109" s="8" t="str">
        <f t="shared" si="191"/>
        <v>Cuatrocientos Mil Bolívares con 00/100</v>
      </c>
      <c r="Q1109" s="403" t="str">
        <f t="shared" si="182"/>
        <v/>
      </c>
    </row>
    <row r="1110" spans="1:17" x14ac:dyDescent="0.25">
      <c r="A1110" s="1">
        <f t="shared" si="183"/>
        <v>1109</v>
      </c>
      <c r="C1110" s="12" t="s">
        <v>17</v>
      </c>
      <c r="D1110" s="2">
        <v>43255</v>
      </c>
      <c r="E1110" s="3">
        <v>400000</v>
      </c>
      <c r="F1110" t="s">
        <v>48</v>
      </c>
      <c r="G1110" t="s">
        <v>49</v>
      </c>
      <c r="H1110" t="s">
        <v>50</v>
      </c>
      <c r="I1110" s="10" t="s">
        <v>707</v>
      </c>
      <c r="J1110" s="167" t="s">
        <v>22</v>
      </c>
      <c r="L1110" s="9" t="str">
        <f t="shared" si="187"/>
        <v>01109</v>
      </c>
      <c r="M1110" s="71" t="str">
        <f t="shared" si="188"/>
        <v>04 de junio de 2018</v>
      </c>
      <c r="N1110" s="39">
        <f t="shared" si="189"/>
        <v>43252</v>
      </c>
      <c r="O1110" s="9" t="str">
        <f t="shared" si="190"/>
        <v>400.000,00</v>
      </c>
      <c r="P1110" s="8" t="str">
        <f t="shared" si="191"/>
        <v>Cuatrocientos Mil Bolívares con 00/100</v>
      </c>
      <c r="Q1110" s="403" t="str">
        <f t="shared" si="182"/>
        <v/>
      </c>
    </row>
    <row r="1111" spans="1:17" x14ac:dyDescent="0.25">
      <c r="A1111" s="1">
        <f t="shared" si="183"/>
        <v>1110</v>
      </c>
      <c r="C1111" s="12" t="s">
        <v>17</v>
      </c>
      <c r="D1111" s="2">
        <v>43255</v>
      </c>
      <c r="E1111" s="3">
        <v>400000</v>
      </c>
      <c r="F1111" t="s">
        <v>62</v>
      </c>
      <c r="G1111" t="s">
        <v>63</v>
      </c>
      <c r="H1111" t="s">
        <v>64</v>
      </c>
      <c r="I1111" s="10" t="s">
        <v>684</v>
      </c>
      <c r="J1111" s="167" t="s">
        <v>22</v>
      </c>
      <c r="L1111" s="9" t="str">
        <f t="shared" si="187"/>
        <v>01110</v>
      </c>
      <c r="M1111" s="71" t="str">
        <f t="shared" si="188"/>
        <v>04 de junio de 2018</v>
      </c>
      <c r="N1111" s="39">
        <f t="shared" si="189"/>
        <v>43252</v>
      </c>
      <c r="O1111" s="9" t="str">
        <f t="shared" si="190"/>
        <v>400.000,00</v>
      </c>
      <c r="P1111" s="8" t="str">
        <f t="shared" si="191"/>
        <v>Cuatrocientos Mil Bolívares con 00/100</v>
      </c>
      <c r="Q1111" s="403" t="str">
        <f t="shared" si="182"/>
        <v/>
      </c>
    </row>
    <row r="1112" spans="1:17" x14ac:dyDescent="0.25">
      <c r="A1112" s="1">
        <f t="shared" si="183"/>
        <v>1111</v>
      </c>
      <c r="C1112" s="12" t="s">
        <v>17</v>
      </c>
      <c r="D1112" s="2">
        <v>43255</v>
      </c>
      <c r="E1112" s="3">
        <v>100000</v>
      </c>
      <c r="F1112" t="s">
        <v>167</v>
      </c>
      <c r="G1112" t="s">
        <v>168</v>
      </c>
      <c r="H1112" t="s">
        <v>169</v>
      </c>
      <c r="I1112" s="10" t="s">
        <v>702</v>
      </c>
      <c r="J1112" s="167" t="s">
        <v>22</v>
      </c>
      <c r="L1112" s="9" t="str">
        <f t="shared" si="187"/>
        <v>01111</v>
      </c>
      <c r="M1112" s="71" t="str">
        <f t="shared" si="188"/>
        <v>04 de junio de 2018</v>
      </c>
      <c r="N1112" s="39">
        <f t="shared" si="189"/>
        <v>43252</v>
      </c>
      <c r="O1112" s="9" t="str">
        <f t="shared" si="190"/>
        <v>100.000,00</v>
      </c>
      <c r="P1112" s="8" t="str">
        <f t="shared" si="191"/>
        <v>Cien Mil Bolívares con 00/100</v>
      </c>
      <c r="Q1112" s="403" t="str">
        <f t="shared" si="182"/>
        <v/>
      </c>
    </row>
    <row r="1113" spans="1:17" x14ac:dyDescent="0.25">
      <c r="A1113" s="1">
        <f t="shared" si="183"/>
        <v>1112</v>
      </c>
      <c r="C1113" s="12" t="s">
        <v>17</v>
      </c>
      <c r="D1113" s="2">
        <v>43255</v>
      </c>
      <c r="E1113" s="3">
        <v>400000</v>
      </c>
      <c r="F1113" t="s">
        <v>80</v>
      </c>
      <c r="G1113" t="s">
        <v>81</v>
      </c>
      <c r="H1113" t="s">
        <v>82</v>
      </c>
      <c r="I1113" s="10" t="s">
        <v>707</v>
      </c>
      <c r="J1113" s="167" t="s">
        <v>22</v>
      </c>
      <c r="L1113" s="9" t="str">
        <f t="shared" si="187"/>
        <v>01112</v>
      </c>
      <c r="M1113" s="71" t="str">
        <f t="shared" si="188"/>
        <v>04 de junio de 2018</v>
      </c>
      <c r="N1113" s="39">
        <f t="shared" si="189"/>
        <v>43252</v>
      </c>
      <c r="O1113" s="9" t="str">
        <f t="shared" si="190"/>
        <v>400.000,00</v>
      </c>
      <c r="P1113" s="8" t="str">
        <f t="shared" si="191"/>
        <v>Cuatrocientos Mil Bolívares con 00/100</v>
      </c>
      <c r="Q1113" s="403" t="str">
        <f t="shared" si="182"/>
        <v/>
      </c>
    </row>
    <row r="1114" spans="1:17" x14ac:dyDescent="0.25">
      <c r="A1114" s="1">
        <f t="shared" si="183"/>
        <v>1113</v>
      </c>
      <c r="C1114" s="12" t="s">
        <v>17</v>
      </c>
      <c r="D1114" s="2">
        <v>43255</v>
      </c>
      <c r="E1114" s="3">
        <f>120000+140000+200000</f>
        <v>460000</v>
      </c>
      <c r="F1114" t="s">
        <v>130</v>
      </c>
      <c r="G1114" t="s">
        <v>131</v>
      </c>
      <c r="H1114" t="s">
        <v>132</v>
      </c>
      <c r="I1114" s="10" t="s">
        <v>662</v>
      </c>
      <c r="J1114" s="167" t="s">
        <v>22</v>
      </c>
      <c r="L1114" s="9" t="str">
        <f t="shared" si="187"/>
        <v>01113</v>
      </c>
      <c r="M1114" s="71" t="str">
        <f t="shared" si="188"/>
        <v>04 de junio de 2018</v>
      </c>
      <c r="N1114" s="39">
        <f t="shared" si="189"/>
        <v>43252</v>
      </c>
      <c r="O1114" s="9" t="str">
        <f t="shared" si="190"/>
        <v>460.000,00</v>
      </c>
      <c r="P1114" s="8" t="str">
        <f t="shared" si="191"/>
        <v>Cuatrocientos Sesenta Mil Bolívares con 00/100</v>
      </c>
      <c r="Q1114" s="403" t="str">
        <f t="shared" si="182"/>
        <v/>
      </c>
    </row>
    <row r="1115" spans="1:17" x14ac:dyDescent="0.25">
      <c r="A1115" s="1">
        <f t="shared" si="183"/>
        <v>1114</v>
      </c>
      <c r="C1115" s="12" t="s">
        <v>17</v>
      </c>
      <c r="D1115" s="2">
        <v>43255</v>
      </c>
      <c r="E1115" s="3">
        <v>200000</v>
      </c>
      <c r="F1115" t="s">
        <v>413</v>
      </c>
      <c r="G1115" t="s">
        <v>414</v>
      </c>
      <c r="H1115" t="s">
        <v>415</v>
      </c>
      <c r="I1115" s="10" t="s">
        <v>702</v>
      </c>
      <c r="J1115" s="167" t="s">
        <v>22</v>
      </c>
      <c r="L1115" s="9" t="str">
        <f t="shared" si="187"/>
        <v>01114</v>
      </c>
      <c r="M1115" s="71" t="str">
        <f t="shared" si="188"/>
        <v>04 de junio de 2018</v>
      </c>
      <c r="N1115" s="39">
        <f t="shared" si="189"/>
        <v>43252</v>
      </c>
      <c r="O1115" s="9" t="str">
        <f t="shared" si="190"/>
        <v>200.000,00</v>
      </c>
      <c r="P1115" s="8" t="str">
        <f t="shared" si="191"/>
        <v>Doscientos Mil Bolívares con 00/100</v>
      </c>
      <c r="Q1115" s="403" t="str">
        <f t="shared" si="182"/>
        <v/>
      </c>
    </row>
    <row r="1116" spans="1:17" ht="15.75" thickBot="1" x14ac:dyDescent="0.3">
      <c r="A1116" s="1">
        <f t="shared" si="183"/>
        <v>1115</v>
      </c>
      <c r="C1116" s="12" t="s">
        <v>17</v>
      </c>
      <c r="D1116" s="2">
        <v>43255</v>
      </c>
      <c r="E1116" s="3">
        <v>300000</v>
      </c>
      <c r="F1116" t="s">
        <v>413</v>
      </c>
      <c r="G1116" t="s">
        <v>414</v>
      </c>
      <c r="H1116" t="s">
        <v>415</v>
      </c>
      <c r="I1116" s="10" t="s">
        <v>672</v>
      </c>
      <c r="J1116" s="167" t="s">
        <v>673</v>
      </c>
      <c r="L1116" s="9" t="str">
        <f t="shared" si="187"/>
        <v>01115</v>
      </c>
      <c r="M1116" s="71" t="str">
        <f t="shared" si="188"/>
        <v>04 de junio de 2018</v>
      </c>
      <c r="N1116" s="39">
        <f t="shared" si="189"/>
        <v>43252</v>
      </c>
      <c r="O1116" s="9" t="str">
        <f t="shared" si="190"/>
        <v>300.000,00</v>
      </c>
      <c r="P1116" s="8" t="str">
        <f t="shared" si="191"/>
        <v>Trescientos Mil Bolívares con 00/100</v>
      </c>
      <c r="Q1116" s="403" t="str">
        <f t="shared" si="182"/>
        <v/>
      </c>
    </row>
    <row r="1117" spans="1:17" ht="15.75" thickBot="1" x14ac:dyDescent="0.3">
      <c r="A1117" s="1">
        <f t="shared" si="183"/>
        <v>1116</v>
      </c>
      <c r="C1117" s="12" t="s">
        <v>17</v>
      </c>
      <c r="D1117" s="2">
        <v>43257</v>
      </c>
      <c r="E1117" s="3">
        <f>400000*2</f>
        <v>800000</v>
      </c>
      <c r="F1117" t="s">
        <v>40</v>
      </c>
      <c r="G1117" s="27" t="s">
        <v>58</v>
      </c>
      <c r="H1117" t="s">
        <v>42</v>
      </c>
      <c r="I1117" s="10" t="s">
        <v>723</v>
      </c>
      <c r="J1117" s="167" t="s">
        <v>22</v>
      </c>
      <c r="L1117" s="9" t="str">
        <f t="shared" si="187"/>
        <v>01116</v>
      </c>
      <c r="M1117" s="71" t="str">
        <f t="shared" si="188"/>
        <v>06 de junio de 2018</v>
      </c>
      <c r="N1117" s="39">
        <f t="shared" si="189"/>
        <v>43252</v>
      </c>
      <c r="O1117" s="9" t="str">
        <f t="shared" si="190"/>
        <v>800.000,00</v>
      </c>
      <c r="P1117" s="8" t="str">
        <f t="shared" si="191"/>
        <v>Ochocientos Mil Bolívares con 00/100</v>
      </c>
      <c r="Q1117" s="403" t="str">
        <f t="shared" si="182"/>
        <v/>
      </c>
    </row>
    <row r="1118" spans="1:17" ht="15.75" thickBot="1" x14ac:dyDescent="0.3">
      <c r="A1118" s="1">
        <f t="shared" si="183"/>
        <v>1117</v>
      </c>
      <c r="C1118" s="12" t="s">
        <v>17</v>
      </c>
      <c r="D1118" s="2">
        <v>43257</v>
      </c>
      <c r="E1118" s="3">
        <v>300000</v>
      </c>
      <c r="F1118" t="s">
        <v>40</v>
      </c>
      <c r="G1118" s="27" t="s">
        <v>58</v>
      </c>
      <c r="H1118" t="s">
        <v>42</v>
      </c>
      <c r="I1118" s="10" t="s">
        <v>672</v>
      </c>
      <c r="J1118" s="167" t="s">
        <v>673</v>
      </c>
      <c r="L1118" s="9" t="str">
        <f t="shared" si="187"/>
        <v>01117</v>
      </c>
      <c r="M1118" s="71" t="str">
        <f t="shared" si="188"/>
        <v>06 de junio de 2018</v>
      </c>
      <c r="N1118" s="39">
        <f t="shared" si="189"/>
        <v>43252</v>
      </c>
      <c r="O1118" s="9" t="str">
        <f t="shared" si="190"/>
        <v>300.000,00</v>
      </c>
      <c r="P1118" s="8" t="str">
        <f t="shared" si="191"/>
        <v>Trescientos Mil Bolívares con 00/100</v>
      </c>
      <c r="Q1118" s="403" t="str">
        <f t="shared" si="182"/>
        <v/>
      </c>
    </row>
    <row r="1119" spans="1:17" x14ac:dyDescent="0.25">
      <c r="A1119" s="1">
        <f t="shared" si="183"/>
        <v>1118</v>
      </c>
      <c r="C1119" s="12" t="s">
        <v>17</v>
      </c>
      <c r="D1119" s="2">
        <v>43257</v>
      </c>
      <c r="E1119" s="3">
        <v>400000</v>
      </c>
      <c r="F1119" t="s">
        <v>714</v>
      </c>
      <c r="G1119" t="s">
        <v>715</v>
      </c>
      <c r="H1119" t="s">
        <v>154</v>
      </c>
      <c r="I1119" s="10" t="s">
        <v>707</v>
      </c>
      <c r="J1119" s="167" t="s">
        <v>22</v>
      </c>
      <c r="L1119" s="9" t="str">
        <f t="shared" si="187"/>
        <v>01118</v>
      </c>
      <c r="M1119" s="71" t="str">
        <f t="shared" si="188"/>
        <v>06 de junio de 2018</v>
      </c>
      <c r="N1119" s="39">
        <f t="shared" si="189"/>
        <v>43252</v>
      </c>
      <c r="O1119" s="9" t="str">
        <f>TEXT(E1119,"#.##0,00")</f>
        <v>400.000,00</v>
      </c>
      <c r="P1119" s="8" t="str">
        <f>CONVERTIRNUM(E1119)</f>
        <v>Cuatrocientos Mil Bolívares con 00/100</v>
      </c>
      <c r="Q1119" s="403" t="str">
        <f t="shared" si="182"/>
        <v/>
      </c>
    </row>
    <row r="1120" spans="1:17" x14ac:dyDescent="0.25">
      <c r="A1120" s="1">
        <f t="shared" si="183"/>
        <v>1119</v>
      </c>
      <c r="C1120" s="12" t="s">
        <v>17</v>
      </c>
      <c r="D1120" s="2">
        <v>43257</v>
      </c>
      <c r="E1120" s="3">
        <v>400000</v>
      </c>
      <c r="F1120" t="s">
        <v>484</v>
      </c>
      <c r="G1120" t="s">
        <v>485</v>
      </c>
      <c r="H1120" t="s">
        <v>486</v>
      </c>
      <c r="I1120" s="10" t="s">
        <v>707</v>
      </c>
      <c r="J1120" s="167" t="s">
        <v>22</v>
      </c>
      <c r="L1120" s="9" t="str">
        <f t="shared" si="187"/>
        <v>01119</v>
      </c>
      <c r="M1120" s="71" t="str">
        <f t="shared" si="188"/>
        <v>06 de junio de 2018</v>
      </c>
      <c r="N1120" s="39">
        <f t="shared" si="189"/>
        <v>43252</v>
      </c>
      <c r="O1120" s="9" t="str">
        <f t="shared" ref="O1120:O1152" si="192">TEXT(E1120,"#.##0,00")</f>
        <v>400.000,00</v>
      </c>
      <c r="P1120" s="8" t="str">
        <f t="shared" ref="P1120:P1152" si="193">CONVERTIRNUM(E1120)</f>
        <v>Cuatrocientos Mil Bolívares con 00/100</v>
      </c>
      <c r="Q1120" s="403" t="str">
        <f t="shared" si="182"/>
        <v/>
      </c>
    </row>
    <row r="1121" spans="1:17" x14ac:dyDescent="0.25">
      <c r="A1121" s="1">
        <f t="shared" si="183"/>
        <v>1120</v>
      </c>
      <c r="C1121" s="12" t="s">
        <v>17</v>
      </c>
      <c r="D1121" s="2">
        <v>43257</v>
      </c>
      <c r="E1121" s="3">
        <v>400000</v>
      </c>
      <c r="F1121" t="s">
        <v>18</v>
      </c>
      <c r="G1121" t="s">
        <v>19</v>
      </c>
      <c r="H1121" t="s">
        <v>20</v>
      </c>
      <c r="I1121" s="10" t="s">
        <v>724</v>
      </c>
      <c r="J1121" s="167" t="s">
        <v>22</v>
      </c>
      <c r="L1121" s="9" t="str">
        <f t="shared" si="187"/>
        <v>01120</v>
      </c>
      <c r="M1121" s="71" t="str">
        <f t="shared" si="188"/>
        <v>06 de junio de 2018</v>
      </c>
      <c r="N1121" s="39">
        <f t="shared" si="189"/>
        <v>43252</v>
      </c>
      <c r="O1121" s="9" t="str">
        <f t="shared" si="192"/>
        <v>400.000,00</v>
      </c>
      <c r="P1121" s="8" t="str">
        <f t="shared" si="193"/>
        <v>Cuatrocientos Mil Bolívares con 00/100</v>
      </c>
      <c r="Q1121" s="403" t="str">
        <f t="shared" si="182"/>
        <v/>
      </c>
    </row>
    <row r="1122" spans="1:17" x14ac:dyDescent="0.25">
      <c r="A1122" s="390">
        <f t="shared" si="183"/>
        <v>1121</v>
      </c>
      <c r="C1122" s="12" t="s">
        <v>17</v>
      </c>
      <c r="D1122" s="2">
        <v>43257</v>
      </c>
      <c r="E1122" s="3">
        <v>400000</v>
      </c>
      <c r="F1122" t="s">
        <v>439</v>
      </c>
      <c r="G1122" t="s">
        <v>440</v>
      </c>
      <c r="H1122" t="s">
        <v>441</v>
      </c>
      <c r="I1122" s="10" t="s">
        <v>725</v>
      </c>
      <c r="J1122" s="167" t="s">
        <v>22</v>
      </c>
      <c r="L1122" s="9" t="str">
        <f t="shared" si="187"/>
        <v>01121</v>
      </c>
      <c r="M1122" s="71" t="str">
        <f t="shared" si="188"/>
        <v>06 de junio de 2018</v>
      </c>
      <c r="N1122" s="39">
        <f t="shared" si="189"/>
        <v>43252</v>
      </c>
      <c r="O1122" s="9" t="str">
        <f t="shared" si="192"/>
        <v>400.000,00</v>
      </c>
      <c r="P1122" s="8" t="str">
        <f t="shared" si="193"/>
        <v>Cuatrocientos Mil Bolívares con 00/100</v>
      </c>
      <c r="Q1122" s="403" t="str">
        <f t="shared" si="182"/>
        <v/>
      </c>
    </row>
    <row r="1123" spans="1:17" ht="15.75" thickBot="1" x14ac:dyDescent="0.3">
      <c r="A1123" s="1">
        <f>A1122+1</f>
        <v>1122</v>
      </c>
      <c r="C1123" s="12" t="s">
        <v>17</v>
      </c>
      <c r="D1123" s="2">
        <v>43257</v>
      </c>
      <c r="E1123" s="3">
        <v>400000</v>
      </c>
      <c r="F1123" t="s">
        <v>70</v>
      </c>
      <c r="G1123" t="s">
        <v>71</v>
      </c>
      <c r="H1123" t="s">
        <v>72</v>
      </c>
      <c r="I1123" s="10" t="s">
        <v>707</v>
      </c>
      <c r="J1123" s="167" t="s">
        <v>22</v>
      </c>
      <c r="L1123" s="9" t="str">
        <f t="shared" si="187"/>
        <v>01122</v>
      </c>
      <c r="M1123" s="71" t="str">
        <f t="shared" si="188"/>
        <v>06 de junio de 2018</v>
      </c>
      <c r="N1123" s="39">
        <f t="shared" si="189"/>
        <v>43252</v>
      </c>
      <c r="O1123" s="9" t="str">
        <f t="shared" si="192"/>
        <v>400.000,00</v>
      </c>
      <c r="P1123" s="8" t="str">
        <f t="shared" si="193"/>
        <v>Cuatrocientos Mil Bolívares con 00/100</v>
      </c>
      <c r="Q1123" s="403" t="str">
        <f t="shared" si="182"/>
        <v/>
      </c>
    </row>
    <row r="1124" spans="1:17" ht="15.75" thickBot="1" x14ac:dyDescent="0.3">
      <c r="A1124" s="1">
        <f t="shared" ref="A1124:A1165" si="194">A1123+1</f>
        <v>1123</v>
      </c>
      <c r="C1124" s="12" t="s">
        <v>17</v>
      </c>
      <c r="D1124" s="2">
        <v>43257</v>
      </c>
      <c r="E1124" s="3">
        <v>400000</v>
      </c>
      <c r="F1124" t="s">
        <v>280</v>
      </c>
      <c r="G1124" s="27" t="s">
        <v>58</v>
      </c>
      <c r="H1124" t="s">
        <v>282</v>
      </c>
      <c r="I1124" s="10" t="s">
        <v>726</v>
      </c>
      <c r="J1124" s="167" t="s">
        <v>22</v>
      </c>
      <c r="L1124" s="9" t="str">
        <f t="shared" si="187"/>
        <v>01123</v>
      </c>
      <c r="M1124" s="71" t="str">
        <f t="shared" si="188"/>
        <v>06 de junio de 2018</v>
      </c>
      <c r="N1124" s="39">
        <f t="shared" si="189"/>
        <v>43252</v>
      </c>
      <c r="O1124" s="9" t="str">
        <f t="shared" si="192"/>
        <v>400.000,00</v>
      </c>
      <c r="P1124" s="8" t="str">
        <f t="shared" si="193"/>
        <v>Cuatrocientos Mil Bolívares con 00/100</v>
      </c>
      <c r="Q1124" s="403" t="str">
        <f t="shared" si="182"/>
        <v/>
      </c>
    </row>
    <row r="1125" spans="1:17" x14ac:dyDescent="0.25">
      <c r="A1125" s="1">
        <f t="shared" si="194"/>
        <v>1124</v>
      </c>
      <c r="C1125" s="12" t="s">
        <v>17</v>
      </c>
      <c r="D1125" s="2">
        <v>43257</v>
      </c>
      <c r="E1125" s="3">
        <v>400000</v>
      </c>
      <c r="F1125" t="s">
        <v>36</v>
      </c>
      <c r="G1125" t="s">
        <v>37</v>
      </c>
      <c r="H1125" t="s">
        <v>38</v>
      </c>
      <c r="I1125" s="10" t="s">
        <v>727</v>
      </c>
      <c r="J1125" s="167" t="s">
        <v>22</v>
      </c>
      <c r="L1125" s="9" t="str">
        <f t="shared" si="187"/>
        <v>01124</v>
      </c>
      <c r="M1125" s="71" t="str">
        <f t="shared" si="188"/>
        <v>06 de junio de 2018</v>
      </c>
      <c r="N1125" s="39">
        <f t="shared" si="189"/>
        <v>43252</v>
      </c>
      <c r="O1125" s="9" t="str">
        <f t="shared" si="192"/>
        <v>400.000,00</v>
      </c>
      <c r="P1125" s="8" t="str">
        <f t="shared" si="193"/>
        <v>Cuatrocientos Mil Bolívares con 00/100</v>
      </c>
      <c r="Q1125" s="403" t="str">
        <f t="shared" si="182"/>
        <v/>
      </c>
    </row>
    <row r="1126" spans="1:17" x14ac:dyDescent="0.25">
      <c r="A1126" s="1">
        <f t="shared" si="194"/>
        <v>1125</v>
      </c>
      <c r="C1126" s="12" t="s">
        <v>17</v>
      </c>
      <c r="D1126" s="2">
        <v>43258</v>
      </c>
      <c r="E1126" s="3">
        <v>400000</v>
      </c>
      <c r="F1126" t="s">
        <v>100</v>
      </c>
      <c r="G1126" t="s">
        <v>95</v>
      </c>
      <c r="H1126" t="s">
        <v>101</v>
      </c>
      <c r="I1126" s="10" t="s">
        <v>707</v>
      </c>
      <c r="J1126" s="167" t="s">
        <v>22</v>
      </c>
      <c r="L1126" s="9" t="str">
        <f t="shared" si="187"/>
        <v>01125</v>
      </c>
      <c r="M1126" s="71" t="str">
        <f t="shared" si="188"/>
        <v>07 de junio de 2018</v>
      </c>
      <c r="N1126" s="39">
        <f t="shared" si="189"/>
        <v>43252</v>
      </c>
      <c r="O1126" s="9" t="str">
        <f t="shared" si="192"/>
        <v>400.000,00</v>
      </c>
      <c r="P1126" s="8" t="str">
        <f t="shared" si="193"/>
        <v>Cuatrocientos Mil Bolívares con 00/100</v>
      </c>
      <c r="Q1126" s="403" t="str">
        <f t="shared" si="182"/>
        <v/>
      </c>
    </row>
    <row r="1127" spans="1:17" x14ac:dyDescent="0.25">
      <c r="A1127" s="1">
        <f t="shared" si="194"/>
        <v>1126</v>
      </c>
      <c r="C1127" s="12" t="s">
        <v>17</v>
      </c>
      <c r="D1127" s="2">
        <v>43258</v>
      </c>
      <c r="E1127" s="3">
        <v>400000</v>
      </c>
      <c r="F1127" t="s">
        <v>24</v>
      </c>
      <c r="G1127" t="s">
        <v>25</v>
      </c>
      <c r="H1127" t="s">
        <v>26</v>
      </c>
      <c r="I1127" s="10" t="s">
        <v>707</v>
      </c>
      <c r="J1127" s="167" t="s">
        <v>22</v>
      </c>
      <c r="L1127" s="9" t="str">
        <f t="shared" si="187"/>
        <v>01126</v>
      </c>
      <c r="M1127" s="71" t="str">
        <f t="shared" si="188"/>
        <v>07 de junio de 2018</v>
      </c>
      <c r="N1127" s="39">
        <f t="shared" si="189"/>
        <v>43252</v>
      </c>
      <c r="O1127" s="9" t="str">
        <f t="shared" si="192"/>
        <v>400.000,00</v>
      </c>
      <c r="P1127" s="8" t="str">
        <f t="shared" si="193"/>
        <v>Cuatrocientos Mil Bolívares con 00/100</v>
      </c>
      <c r="Q1127" s="403" t="str">
        <f t="shared" si="182"/>
        <v/>
      </c>
    </row>
    <row r="1128" spans="1:17" ht="15.75" thickBot="1" x14ac:dyDescent="0.3">
      <c r="A1128" s="1">
        <f t="shared" si="194"/>
        <v>1127</v>
      </c>
      <c r="C1128" s="12" t="s">
        <v>17</v>
      </c>
      <c r="D1128" s="2">
        <v>43258</v>
      </c>
      <c r="E1128" s="3">
        <f>400 + 399600</f>
        <v>400000</v>
      </c>
      <c r="F1128" t="s">
        <v>201</v>
      </c>
      <c r="G1128" t="s">
        <v>202</v>
      </c>
      <c r="H1128" t="s">
        <v>203</v>
      </c>
      <c r="I1128" s="10" t="s">
        <v>707</v>
      </c>
      <c r="J1128" s="167" t="s">
        <v>22</v>
      </c>
      <c r="L1128" s="9" t="str">
        <f t="shared" si="187"/>
        <v>01127</v>
      </c>
      <c r="M1128" s="71" t="str">
        <f t="shared" si="188"/>
        <v>07 de junio de 2018</v>
      </c>
      <c r="N1128" s="39">
        <f t="shared" si="189"/>
        <v>43252</v>
      </c>
      <c r="O1128" s="9" t="str">
        <f t="shared" si="192"/>
        <v>400.000,00</v>
      </c>
      <c r="P1128" s="8" t="str">
        <f t="shared" si="193"/>
        <v>Cuatrocientos Mil Bolívares con 00/100</v>
      </c>
      <c r="Q1128" s="403" t="str">
        <f t="shared" si="182"/>
        <v/>
      </c>
    </row>
    <row r="1129" spans="1:17" ht="15.75" thickBot="1" x14ac:dyDescent="0.3">
      <c r="A1129" s="1">
        <f t="shared" si="194"/>
        <v>1128</v>
      </c>
      <c r="C1129" s="12" t="s">
        <v>17</v>
      </c>
      <c r="D1129" s="2">
        <v>43259</v>
      </c>
      <c r="E1129" s="3">
        <v>100000</v>
      </c>
      <c r="F1129" t="s">
        <v>492</v>
      </c>
      <c r="G1129" s="27" t="s">
        <v>58</v>
      </c>
      <c r="H1129" t="s">
        <v>493</v>
      </c>
      <c r="I1129" s="10" t="s">
        <v>702</v>
      </c>
      <c r="J1129" s="167" t="s">
        <v>22</v>
      </c>
      <c r="L1129" s="9" t="str">
        <f t="shared" si="187"/>
        <v>01128</v>
      </c>
      <c r="M1129" s="71" t="str">
        <f t="shared" si="188"/>
        <v>08 de junio de 2018</v>
      </c>
      <c r="N1129" s="39">
        <f t="shared" si="189"/>
        <v>43252</v>
      </c>
      <c r="O1129" s="9" t="str">
        <f t="shared" si="192"/>
        <v>100.000,00</v>
      </c>
      <c r="P1129" s="8" t="str">
        <f t="shared" si="193"/>
        <v>Cien Mil Bolívares con 00/100</v>
      </c>
      <c r="Q1129" s="403" t="str">
        <f t="shared" si="182"/>
        <v/>
      </c>
    </row>
    <row r="1130" spans="1:17" x14ac:dyDescent="0.25">
      <c r="A1130" s="1">
        <f t="shared" si="194"/>
        <v>1129</v>
      </c>
      <c r="C1130" s="12" t="s">
        <v>17</v>
      </c>
      <c r="D1130" s="2">
        <v>43259</v>
      </c>
      <c r="E1130" s="3">
        <v>400000</v>
      </c>
      <c r="F1130" t="s">
        <v>312</v>
      </c>
      <c r="G1130" t="s">
        <v>313</v>
      </c>
      <c r="H1130" t="s">
        <v>314</v>
      </c>
      <c r="I1130" s="10" t="s">
        <v>684</v>
      </c>
      <c r="J1130" s="167" t="s">
        <v>22</v>
      </c>
      <c r="L1130" s="9" t="str">
        <f t="shared" si="187"/>
        <v>01129</v>
      </c>
      <c r="M1130" s="71" t="str">
        <f t="shared" si="188"/>
        <v>08 de junio de 2018</v>
      </c>
      <c r="N1130" s="39">
        <f t="shared" si="189"/>
        <v>43252</v>
      </c>
      <c r="O1130" s="9" t="str">
        <f t="shared" si="192"/>
        <v>400.000,00</v>
      </c>
      <c r="P1130" s="8" t="str">
        <f t="shared" si="193"/>
        <v>Cuatrocientos Mil Bolívares con 00/100</v>
      </c>
      <c r="Q1130" s="403" t="str">
        <f t="shared" si="182"/>
        <v/>
      </c>
    </row>
    <row r="1131" spans="1:17" x14ac:dyDescent="0.25">
      <c r="A1131" s="1">
        <f t="shared" si="194"/>
        <v>1130</v>
      </c>
      <c r="C1131" s="12" t="s">
        <v>17</v>
      </c>
      <c r="D1131" s="2">
        <v>43259</v>
      </c>
      <c r="E1131" s="3">
        <v>350000</v>
      </c>
      <c r="F1131" t="s">
        <v>62</v>
      </c>
      <c r="G1131" t="s">
        <v>63</v>
      </c>
      <c r="H1131" t="s">
        <v>64</v>
      </c>
      <c r="I1131" s="10" t="s">
        <v>672</v>
      </c>
      <c r="J1131" s="167" t="s">
        <v>673</v>
      </c>
      <c r="L1131" s="9" t="str">
        <f t="shared" ref="L1131:L1152" si="195">IF(ISBLANK(A1131),"",TEXT(A1131,"00000"))</f>
        <v>01130</v>
      </c>
      <c r="M1131" s="71" t="str">
        <f t="shared" ref="M1131:M1152" si="196">IF(ISBLANK(D1131),"",TEXT(D1131,"dd")&amp;" de "&amp;TEXT(D1131,"mmmm")&amp;" de "&amp;TEXT(YEAR(D1131),"0"))</f>
        <v>08 de junio de 2018</v>
      </c>
      <c r="N1131" s="39">
        <f t="shared" ref="N1131:N1152" si="197">DATE(YEAR(D1131),MONTH(D1131),1)</f>
        <v>43252</v>
      </c>
      <c r="O1131" s="9" t="str">
        <f t="shared" si="192"/>
        <v>350.000,00</v>
      </c>
      <c r="P1131" s="8" t="str">
        <f t="shared" si="193"/>
        <v>Trescientos Cincuenta Mil Bolívares con 00/100</v>
      </c>
      <c r="Q1131" s="403" t="str">
        <f t="shared" si="182"/>
        <v/>
      </c>
    </row>
    <row r="1132" spans="1:17" ht="15.75" thickBot="1" x14ac:dyDescent="0.3">
      <c r="A1132" s="1">
        <f t="shared" si="194"/>
        <v>1131</v>
      </c>
      <c r="C1132" s="12" t="s">
        <v>17</v>
      </c>
      <c r="D1132" s="2">
        <v>43260</v>
      </c>
      <c r="E1132" s="3">
        <v>100000</v>
      </c>
      <c r="F1132" t="s">
        <v>434</v>
      </c>
      <c r="G1132" t="s">
        <v>435</v>
      </c>
      <c r="H1132" t="s">
        <v>436</v>
      </c>
      <c r="I1132" s="10" t="s">
        <v>728</v>
      </c>
      <c r="J1132" s="167" t="s">
        <v>22</v>
      </c>
      <c r="L1132" s="9" t="str">
        <f t="shared" si="195"/>
        <v>01131</v>
      </c>
      <c r="M1132" s="71" t="str">
        <f t="shared" si="196"/>
        <v>09 de junio de 2018</v>
      </c>
      <c r="N1132" s="39">
        <f t="shared" si="197"/>
        <v>43252</v>
      </c>
      <c r="O1132" s="9" t="str">
        <f t="shared" si="192"/>
        <v>100.000,00</v>
      </c>
      <c r="P1132" s="8" t="str">
        <f t="shared" si="193"/>
        <v>Cien Mil Bolívares con 00/100</v>
      </c>
      <c r="Q1132" s="403" t="str">
        <f t="shared" si="182"/>
        <v/>
      </c>
    </row>
    <row r="1133" spans="1:17" ht="15.75" thickBot="1" x14ac:dyDescent="0.3">
      <c r="A1133" s="1">
        <f t="shared" si="194"/>
        <v>1132</v>
      </c>
      <c r="C1133" s="12" t="s">
        <v>17</v>
      </c>
      <c r="D1133" s="2">
        <v>43260</v>
      </c>
      <c r="E1133" s="3">
        <f>(140*2+400*2)*1000</f>
        <v>1080000</v>
      </c>
      <c r="F1133" t="s">
        <v>480</v>
      </c>
      <c r="G1133" s="27" t="s">
        <v>58</v>
      </c>
      <c r="H1133" t="s">
        <v>482</v>
      </c>
      <c r="I1133" s="10" t="s">
        <v>729</v>
      </c>
      <c r="J1133" s="167" t="s">
        <v>22</v>
      </c>
      <c r="L1133" s="9" t="str">
        <f t="shared" si="195"/>
        <v>01132</v>
      </c>
      <c r="M1133" s="71" t="str">
        <f t="shared" si="196"/>
        <v>09 de junio de 2018</v>
      </c>
      <c r="N1133" s="39">
        <f t="shared" si="197"/>
        <v>43252</v>
      </c>
      <c r="O1133" s="9" t="str">
        <f t="shared" si="192"/>
        <v>1.080.000,00</v>
      </c>
      <c r="P1133" s="8" t="str">
        <f t="shared" si="193"/>
        <v>Un Millón Ochenta Mil Bolívares con 00/100</v>
      </c>
      <c r="Q1133" s="403" t="str">
        <f t="shared" si="182"/>
        <v/>
      </c>
    </row>
    <row r="1134" spans="1:17" x14ac:dyDescent="0.25">
      <c r="A1134" s="1">
        <f t="shared" si="194"/>
        <v>1133</v>
      </c>
      <c r="C1134" s="12" t="s">
        <v>17</v>
      </c>
      <c r="D1134" s="2">
        <v>43261</v>
      </c>
      <c r="E1134" s="3">
        <v>400000</v>
      </c>
      <c r="F1134" t="s">
        <v>84</v>
      </c>
      <c r="G1134" t="s">
        <v>85</v>
      </c>
      <c r="H1134" t="s">
        <v>86</v>
      </c>
      <c r="I1134" s="10" t="s">
        <v>707</v>
      </c>
      <c r="J1134" s="167" t="s">
        <v>22</v>
      </c>
      <c r="L1134" s="9" t="str">
        <f t="shared" si="195"/>
        <v>01133</v>
      </c>
      <c r="M1134" s="71" t="str">
        <f t="shared" si="196"/>
        <v>10 de junio de 2018</v>
      </c>
      <c r="N1134" s="39">
        <f t="shared" si="197"/>
        <v>43252</v>
      </c>
      <c r="O1134" s="9" t="str">
        <f t="shared" si="192"/>
        <v>400.000,00</v>
      </c>
      <c r="P1134" s="8" t="str">
        <f t="shared" si="193"/>
        <v>Cuatrocientos Mil Bolívares con 00/100</v>
      </c>
      <c r="Q1134" s="403" t="str">
        <f t="shared" si="182"/>
        <v/>
      </c>
    </row>
    <row r="1135" spans="1:17" x14ac:dyDescent="0.25">
      <c r="A1135" s="1">
        <f t="shared" si="194"/>
        <v>1134</v>
      </c>
      <c r="C1135" s="12" t="s">
        <v>17</v>
      </c>
      <c r="D1135" s="2">
        <v>43261</v>
      </c>
      <c r="E1135" s="3">
        <v>400000</v>
      </c>
      <c r="F1135" t="s">
        <v>118</v>
      </c>
      <c r="G1135" t="s">
        <v>119</v>
      </c>
      <c r="H1135" t="s">
        <v>120</v>
      </c>
      <c r="I1135" s="10" t="s">
        <v>730</v>
      </c>
      <c r="J1135" s="167" t="s">
        <v>22</v>
      </c>
      <c r="L1135" s="9" t="str">
        <f t="shared" si="195"/>
        <v>01134</v>
      </c>
      <c r="M1135" s="71" t="str">
        <f t="shared" si="196"/>
        <v>10 de junio de 2018</v>
      </c>
      <c r="N1135" s="39">
        <f t="shared" si="197"/>
        <v>43252</v>
      </c>
      <c r="O1135" s="9" t="str">
        <f t="shared" si="192"/>
        <v>400.000,00</v>
      </c>
      <c r="P1135" s="8" t="str">
        <f t="shared" si="193"/>
        <v>Cuatrocientos Mil Bolívares con 00/100</v>
      </c>
      <c r="Q1135" s="403" t="str">
        <f t="shared" si="182"/>
        <v/>
      </c>
    </row>
    <row r="1136" spans="1:17" x14ac:dyDescent="0.25">
      <c r="A1136" s="1">
        <f t="shared" si="194"/>
        <v>1135</v>
      </c>
      <c r="C1136" s="12" t="s">
        <v>17</v>
      </c>
      <c r="D1136" s="2">
        <v>43261</v>
      </c>
      <c r="E1136" s="3">
        <v>350000</v>
      </c>
      <c r="F1136" t="s">
        <v>118</v>
      </c>
      <c r="G1136" t="s">
        <v>119</v>
      </c>
      <c r="H1136" t="s">
        <v>120</v>
      </c>
      <c r="I1136" s="10" t="s">
        <v>672</v>
      </c>
      <c r="J1136" s="167" t="s">
        <v>673</v>
      </c>
      <c r="L1136" s="9" t="str">
        <f t="shared" si="195"/>
        <v>01135</v>
      </c>
      <c r="M1136" s="71" t="str">
        <f t="shared" si="196"/>
        <v>10 de junio de 2018</v>
      </c>
      <c r="N1136" s="39">
        <f t="shared" si="197"/>
        <v>43252</v>
      </c>
      <c r="O1136" s="9" t="str">
        <f t="shared" si="192"/>
        <v>350.000,00</v>
      </c>
      <c r="P1136" s="8" t="str">
        <f t="shared" si="193"/>
        <v>Trescientos Cincuenta Mil Bolívares con 00/100</v>
      </c>
      <c r="Q1136" s="403" t="str">
        <f t="shared" si="182"/>
        <v/>
      </c>
    </row>
    <row r="1137" spans="1:17" x14ac:dyDescent="0.25">
      <c r="A1137" s="1">
        <f t="shared" si="194"/>
        <v>1136</v>
      </c>
      <c r="C1137" s="12" t="s">
        <v>17</v>
      </c>
      <c r="D1137" s="2">
        <v>43262</v>
      </c>
      <c r="E1137" s="3">
        <v>400000</v>
      </c>
      <c r="F1137" t="s">
        <v>62</v>
      </c>
      <c r="G1137" t="s">
        <v>63</v>
      </c>
      <c r="H1137" t="s">
        <v>64</v>
      </c>
      <c r="I1137" s="10" t="s">
        <v>707</v>
      </c>
      <c r="J1137" s="167" t="s">
        <v>22</v>
      </c>
      <c r="L1137" s="9" t="str">
        <f t="shared" si="195"/>
        <v>01136</v>
      </c>
      <c r="M1137" s="71" t="str">
        <f t="shared" si="196"/>
        <v>11 de junio de 2018</v>
      </c>
      <c r="N1137" s="39">
        <f t="shared" si="197"/>
        <v>43252</v>
      </c>
      <c r="O1137" s="9" t="str">
        <f t="shared" si="192"/>
        <v>400.000,00</v>
      </c>
      <c r="P1137" s="8" t="str">
        <f t="shared" si="193"/>
        <v>Cuatrocientos Mil Bolívares con 00/100</v>
      </c>
      <c r="Q1137" s="403" t="str">
        <f t="shared" si="182"/>
        <v/>
      </c>
    </row>
    <row r="1138" spans="1:17" x14ac:dyDescent="0.25">
      <c r="A1138" s="1">
        <f t="shared" si="194"/>
        <v>1137</v>
      </c>
      <c r="C1138" s="12" t="s">
        <v>17</v>
      </c>
      <c r="D1138" s="2">
        <v>43262</v>
      </c>
      <c r="E1138" s="3">
        <v>400000</v>
      </c>
      <c r="F1138" t="s">
        <v>363</v>
      </c>
      <c r="G1138" t="s">
        <v>364</v>
      </c>
      <c r="H1138" t="s">
        <v>365</v>
      </c>
      <c r="I1138" s="10" t="s">
        <v>707</v>
      </c>
      <c r="J1138" s="167" t="s">
        <v>22</v>
      </c>
      <c r="L1138" s="9" t="str">
        <f t="shared" si="195"/>
        <v>01137</v>
      </c>
      <c r="M1138" s="71" t="str">
        <f t="shared" si="196"/>
        <v>11 de junio de 2018</v>
      </c>
      <c r="N1138" s="39">
        <f t="shared" si="197"/>
        <v>43252</v>
      </c>
      <c r="O1138" s="9" t="str">
        <f t="shared" si="192"/>
        <v>400.000,00</v>
      </c>
      <c r="P1138" s="8" t="str">
        <f t="shared" si="193"/>
        <v>Cuatrocientos Mil Bolívares con 00/100</v>
      </c>
      <c r="Q1138" s="403" t="str">
        <f t="shared" si="182"/>
        <v/>
      </c>
    </row>
    <row r="1139" spans="1:17" x14ac:dyDescent="0.25">
      <c r="A1139" s="1">
        <f t="shared" si="194"/>
        <v>1138</v>
      </c>
      <c r="C1139" s="12" t="s">
        <v>17</v>
      </c>
      <c r="D1139" s="2">
        <v>43264</v>
      </c>
      <c r="E1139" s="3">
        <v>200000</v>
      </c>
      <c r="F1139" t="s">
        <v>402</v>
      </c>
      <c r="G1139" t="s">
        <v>403</v>
      </c>
      <c r="H1139" t="s">
        <v>404</v>
      </c>
      <c r="I1139" s="10" t="s">
        <v>730</v>
      </c>
      <c r="J1139" s="167" t="s">
        <v>22</v>
      </c>
      <c r="L1139" s="9" t="str">
        <f t="shared" si="195"/>
        <v>01138</v>
      </c>
      <c r="M1139" s="71" t="str">
        <f t="shared" si="196"/>
        <v>13 de junio de 2018</v>
      </c>
      <c r="N1139" s="39">
        <f t="shared" si="197"/>
        <v>43252</v>
      </c>
      <c r="O1139" s="9" t="str">
        <f t="shared" si="192"/>
        <v>200.000,00</v>
      </c>
      <c r="P1139" s="8" t="str">
        <f t="shared" si="193"/>
        <v>Doscientos Mil Bolívares con 00/100</v>
      </c>
      <c r="Q1139" s="403" t="str">
        <f t="shared" si="182"/>
        <v/>
      </c>
    </row>
    <row r="1140" spans="1:17" x14ac:dyDescent="0.25">
      <c r="A1140" s="1">
        <f t="shared" si="194"/>
        <v>1139</v>
      </c>
      <c r="C1140" s="12" t="s">
        <v>17</v>
      </c>
      <c r="D1140" s="2">
        <v>43263</v>
      </c>
      <c r="E1140" s="3">
        <v>400000</v>
      </c>
      <c r="F1140" t="s">
        <v>144</v>
      </c>
      <c r="G1140" t="s">
        <v>661</v>
      </c>
      <c r="H1140" t="s">
        <v>146</v>
      </c>
      <c r="I1140" s="10" t="s">
        <v>707</v>
      </c>
      <c r="J1140" s="167" t="s">
        <v>22</v>
      </c>
      <c r="L1140" s="9" t="str">
        <f t="shared" si="195"/>
        <v>01139</v>
      </c>
      <c r="M1140" s="71" t="str">
        <f t="shared" si="196"/>
        <v>12 de junio de 2018</v>
      </c>
      <c r="N1140" s="39">
        <f t="shared" si="197"/>
        <v>43252</v>
      </c>
      <c r="O1140" s="9" t="str">
        <f t="shared" si="192"/>
        <v>400.000,00</v>
      </c>
      <c r="P1140" s="8" t="str">
        <f t="shared" si="193"/>
        <v>Cuatrocientos Mil Bolívares con 00/100</v>
      </c>
      <c r="Q1140" s="403" t="str">
        <f t="shared" si="182"/>
        <v/>
      </c>
    </row>
    <row r="1141" spans="1:17" x14ac:dyDescent="0.25">
      <c r="A1141" s="1">
        <f t="shared" si="194"/>
        <v>1140</v>
      </c>
      <c r="C1141" s="12" t="s">
        <v>17</v>
      </c>
      <c r="D1141" s="2">
        <v>43264</v>
      </c>
      <c r="E1141" s="3">
        <v>2100000</v>
      </c>
      <c r="F1141" t="s">
        <v>252</v>
      </c>
      <c r="G1141" t="s">
        <v>253</v>
      </c>
      <c r="H1141" t="s">
        <v>254</v>
      </c>
      <c r="I1141" s="10" t="s">
        <v>731</v>
      </c>
      <c r="J1141" s="167" t="s">
        <v>22</v>
      </c>
      <c r="L1141" s="9" t="str">
        <f t="shared" si="195"/>
        <v>01140</v>
      </c>
      <c r="M1141" s="71" t="str">
        <f t="shared" si="196"/>
        <v>13 de junio de 2018</v>
      </c>
      <c r="N1141" s="39">
        <f t="shared" si="197"/>
        <v>43252</v>
      </c>
      <c r="O1141" s="9" t="str">
        <f t="shared" si="192"/>
        <v>2.100.000,00</v>
      </c>
      <c r="P1141" s="8" t="str">
        <f t="shared" si="193"/>
        <v>Dos Millones Cien Mil Bolívares con 00/100</v>
      </c>
      <c r="Q1141" s="403" t="str">
        <f t="shared" si="182"/>
        <v/>
      </c>
    </row>
    <row r="1142" spans="1:17" x14ac:dyDescent="0.25">
      <c r="A1142" s="1">
        <f t="shared" si="194"/>
        <v>1141</v>
      </c>
      <c r="C1142" s="12" t="s">
        <v>17</v>
      </c>
      <c r="D1142" s="2">
        <v>43265</v>
      </c>
      <c r="E1142" s="3">
        <v>800000</v>
      </c>
      <c r="F1142" t="s">
        <v>324</v>
      </c>
      <c r="G1142" t="s">
        <v>325</v>
      </c>
      <c r="H1142" t="s">
        <v>326</v>
      </c>
      <c r="I1142" s="10" t="s">
        <v>723</v>
      </c>
      <c r="J1142" s="167" t="s">
        <v>22</v>
      </c>
      <c r="L1142" s="9" t="str">
        <f t="shared" si="195"/>
        <v>01141</v>
      </c>
      <c r="M1142" s="71" t="str">
        <f t="shared" si="196"/>
        <v>14 de junio de 2018</v>
      </c>
      <c r="N1142" s="39">
        <f t="shared" si="197"/>
        <v>43252</v>
      </c>
      <c r="O1142" s="9" t="str">
        <f t="shared" si="192"/>
        <v>800.000,00</v>
      </c>
      <c r="P1142" s="8" t="str">
        <f t="shared" si="193"/>
        <v>Ochocientos Mil Bolívares con 00/100</v>
      </c>
      <c r="Q1142" s="403" t="str">
        <f t="shared" si="182"/>
        <v/>
      </c>
    </row>
    <row r="1143" spans="1:17" x14ac:dyDescent="0.25">
      <c r="A1143" s="1">
        <f t="shared" si="194"/>
        <v>1142</v>
      </c>
      <c r="C1143" s="12" t="s">
        <v>17</v>
      </c>
      <c r="D1143" s="2">
        <v>43266</v>
      </c>
      <c r="E1143" s="3">
        <v>400000</v>
      </c>
      <c r="F1143" t="s">
        <v>181</v>
      </c>
      <c r="G1143" t="s">
        <v>182</v>
      </c>
      <c r="H1143" t="s">
        <v>183</v>
      </c>
      <c r="I1143" s="10" t="s">
        <v>707</v>
      </c>
      <c r="J1143" s="167" t="s">
        <v>22</v>
      </c>
      <c r="L1143" s="9" t="str">
        <f t="shared" si="195"/>
        <v>01142</v>
      </c>
      <c r="M1143" s="71" t="str">
        <f t="shared" si="196"/>
        <v>15 de junio de 2018</v>
      </c>
      <c r="N1143" s="39">
        <f t="shared" si="197"/>
        <v>43252</v>
      </c>
      <c r="O1143" s="9" t="str">
        <f t="shared" si="192"/>
        <v>400.000,00</v>
      </c>
      <c r="P1143" s="8" t="str">
        <f t="shared" si="193"/>
        <v>Cuatrocientos Mil Bolívares con 00/100</v>
      </c>
      <c r="Q1143" s="403" t="str">
        <f t="shared" si="182"/>
        <v/>
      </c>
    </row>
    <row r="1144" spans="1:17" x14ac:dyDescent="0.25">
      <c r="A1144" s="1">
        <f t="shared" si="194"/>
        <v>1143</v>
      </c>
      <c r="C1144" s="12" t="s">
        <v>17</v>
      </c>
      <c r="D1144" s="2">
        <v>43266</v>
      </c>
      <c r="E1144" s="3">
        <v>400000</v>
      </c>
      <c r="F1144" t="s">
        <v>248</v>
      </c>
      <c r="G1144" t="s">
        <v>249</v>
      </c>
      <c r="H1144" t="s">
        <v>250</v>
      </c>
      <c r="I1144" s="10" t="s">
        <v>707</v>
      </c>
      <c r="J1144" s="167" t="s">
        <v>22</v>
      </c>
      <c r="L1144" s="9" t="str">
        <f t="shared" si="195"/>
        <v>01143</v>
      </c>
      <c r="M1144" s="71" t="str">
        <f t="shared" si="196"/>
        <v>15 de junio de 2018</v>
      </c>
      <c r="N1144" s="39">
        <f t="shared" si="197"/>
        <v>43252</v>
      </c>
      <c r="O1144" s="9" t="str">
        <f t="shared" si="192"/>
        <v>400.000,00</v>
      </c>
      <c r="P1144" s="8" t="str">
        <f t="shared" si="193"/>
        <v>Cuatrocientos Mil Bolívares con 00/100</v>
      </c>
      <c r="Q1144" s="403" t="str">
        <f t="shared" si="182"/>
        <v/>
      </c>
    </row>
    <row r="1145" spans="1:17" x14ac:dyDescent="0.25">
      <c r="A1145" s="1">
        <f t="shared" si="194"/>
        <v>1144</v>
      </c>
      <c r="C1145" s="12" t="s">
        <v>17</v>
      </c>
      <c r="D1145" s="2">
        <v>43266</v>
      </c>
      <c r="E1145" s="3">
        <v>400000</v>
      </c>
      <c r="F1145" t="s">
        <v>248</v>
      </c>
      <c r="G1145" t="s">
        <v>249</v>
      </c>
      <c r="H1145" t="s">
        <v>250</v>
      </c>
      <c r="I1145" s="10" t="s">
        <v>672</v>
      </c>
      <c r="J1145" s="167" t="s">
        <v>673</v>
      </c>
      <c r="L1145" s="9" t="str">
        <f t="shared" si="195"/>
        <v>01144</v>
      </c>
      <c r="M1145" s="71" t="str">
        <f t="shared" si="196"/>
        <v>15 de junio de 2018</v>
      </c>
      <c r="N1145" s="39">
        <f t="shared" si="197"/>
        <v>43252</v>
      </c>
      <c r="O1145" s="9" t="str">
        <f t="shared" si="192"/>
        <v>400.000,00</v>
      </c>
      <c r="P1145" s="8" t="str">
        <f t="shared" si="193"/>
        <v>Cuatrocientos Mil Bolívares con 00/100</v>
      </c>
      <c r="Q1145" s="403" t="str">
        <f t="shared" si="182"/>
        <v/>
      </c>
    </row>
    <row r="1146" spans="1:17" ht="15.75" thickBot="1" x14ac:dyDescent="0.3">
      <c r="A1146" s="1">
        <f t="shared" si="194"/>
        <v>1145</v>
      </c>
      <c r="C1146" s="12" t="s">
        <v>17</v>
      </c>
      <c r="D1146" s="2">
        <v>43269</v>
      </c>
      <c r="E1146" s="3">
        <v>400000</v>
      </c>
      <c r="F1146" t="s">
        <v>103</v>
      </c>
      <c r="G1146" t="s">
        <v>104</v>
      </c>
      <c r="H1146" t="s">
        <v>105</v>
      </c>
      <c r="I1146" s="10" t="s">
        <v>707</v>
      </c>
      <c r="J1146" s="167" t="s">
        <v>22</v>
      </c>
      <c r="L1146" s="9" t="str">
        <f t="shared" si="195"/>
        <v>01145</v>
      </c>
      <c r="M1146" s="71" t="str">
        <f t="shared" si="196"/>
        <v>18 de junio de 2018</v>
      </c>
      <c r="N1146" s="39">
        <f t="shared" si="197"/>
        <v>43252</v>
      </c>
      <c r="O1146" s="9" t="str">
        <f t="shared" si="192"/>
        <v>400.000,00</v>
      </c>
      <c r="P1146" s="8" t="str">
        <f t="shared" si="193"/>
        <v>Cuatrocientos Mil Bolívares con 00/100</v>
      </c>
      <c r="Q1146" s="403" t="str">
        <f t="shared" si="182"/>
        <v/>
      </c>
    </row>
    <row r="1147" spans="1:17" ht="15.75" thickBot="1" x14ac:dyDescent="0.3">
      <c r="A1147" s="1">
        <f t="shared" si="194"/>
        <v>1146</v>
      </c>
      <c r="C1147" s="12" t="s">
        <v>17</v>
      </c>
      <c r="D1147" s="2">
        <v>43269</v>
      </c>
      <c r="E1147" s="3">
        <v>400000</v>
      </c>
      <c r="F1147" t="s">
        <v>177</v>
      </c>
      <c r="G1147" s="27" t="s">
        <v>58</v>
      </c>
      <c r="H1147" t="s">
        <v>179</v>
      </c>
      <c r="I1147" s="10" t="s">
        <v>707</v>
      </c>
      <c r="J1147" s="167" t="s">
        <v>22</v>
      </c>
      <c r="L1147" s="9" t="str">
        <f t="shared" si="195"/>
        <v>01146</v>
      </c>
      <c r="M1147" s="71" t="str">
        <f t="shared" si="196"/>
        <v>18 de junio de 2018</v>
      </c>
      <c r="N1147" s="39">
        <f t="shared" si="197"/>
        <v>43252</v>
      </c>
      <c r="O1147" s="9" t="str">
        <f t="shared" si="192"/>
        <v>400.000,00</v>
      </c>
      <c r="P1147" s="8" t="str">
        <f t="shared" si="193"/>
        <v>Cuatrocientos Mil Bolívares con 00/100</v>
      </c>
      <c r="Q1147" s="403" t="str">
        <f t="shared" si="182"/>
        <v/>
      </c>
    </row>
    <row r="1148" spans="1:17" x14ac:dyDescent="0.25">
      <c r="A1148" s="1">
        <f t="shared" si="194"/>
        <v>1147</v>
      </c>
      <c r="C1148" s="12" t="s">
        <v>17</v>
      </c>
      <c r="D1148" s="2">
        <v>43269</v>
      </c>
      <c r="E1148" s="3">
        <v>600000</v>
      </c>
      <c r="F1148" t="s">
        <v>90</v>
      </c>
      <c r="G1148" t="s">
        <v>91</v>
      </c>
      <c r="H1148" t="s">
        <v>92</v>
      </c>
      <c r="I1148" s="10" t="s">
        <v>732</v>
      </c>
      <c r="J1148" s="167" t="s">
        <v>22</v>
      </c>
      <c r="L1148" s="9" t="str">
        <f t="shared" si="195"/>
        <v>01147</v>
      </c>
      <c r="M1148" s="71" t="str">
        <f t="shared" si="196"/>
        <v>18 de junio de 2018</v>
      </c>
      <c r="N1148" s="39">
        <f t="shared" si="197"/>
        <v>43252</v>
      </c>
      <c r="O1148" s="9" t="str">
        <f t="shared" si="192"/>
        <v>600.000,00</v>
      </c>
      <c r="P1148" s="8" t="str">
        <f t="shared" si="193"/>
        <v>Seiscientos Mil Bolívares con 00/100</v>
      </c>
      <c r="Q1148" s="403" t="str">
        <f t="shared" si="182"/>
        <v/>
      </c>
    </row>
    <row r="1149" spans="1:17" x14ac:dyDescent="0.25">
      <c r="A1149" s="1">
        <f t="shared" si="194"/>
        <v>1148</v>
      </c>
      <c r="C1149" s="12" t="s">
        <v>17</v>
      </c>
      <c r="D1149" s="2">
        <v>43269</v>
      </c>
      <c r="E1149" s="3">
        <v>400000</v>
      </c>
      <c r="F1149" t="s">
        <v>444</v>
      </c>
      <c r="G1149" t="s">
        <v>445</v>
      </c>
      <c r="H1149" t="s">
        <v>75</v>
      </c>
      <c r="I1149" s="10" t="s">
        <v>707</v>
      </c>
      <c r="J1149" s="167" t="s">
        <v>22</v>
      </c>
      <c r="L1149" s="9" t="str">
        <f t="shared" si="195"/>
        <v>01148</v>
      </c>
      <c r="M1149" s="71" t="str">
        <f t="shared" si="196"/>
        <v>18 de junio de 2018</v>
      </c>
      <c r="N1149" s="39">
        <f t="shared" si="197"/>
        <v>43252</v>
      </c>
      <c r="O1149" s="9" t="str">
        <f t="shared" si="192"/>
        <v>400.000,00</v>
      </c>
      <c r="P1149" s="8" t="str">
        <f t="shared" si="193"/>
        <v>Cuatrocientos Mil Bolívares con 00/100</v>
      </c>
      <c r="Q1149" s="403" t="str">
        <f t="shared" si="182"/>
        <v/>
      </c>
    </row>
    <row r="1150" spans="1:17" x14ac:dyDescent="0.25">
      <c r="A1150" s="1">
        <f t="shared" si="194"/>
        <v>1149</v>
      </c>
      <c r="C1150" s="12" t="s">
        <v>17</v>
      </c>
      <c r="D1150" s="2">
        <v>43270</v>
      </c>
      <c r="E1150" s="3">
        <v>400000</v>
      </c>
      <c r="F1150" t="s">
        <v>126</v>
      </c>
      <c r="G1150" t="s">
        <v>127</v>
      </c>
      <c r="H1150" t="s">
        <v>128</v>
      </c>
      <c r="I1150" s="10" t="s">
        <v>707</v>
      </c>
      <c r="J1150" s="167" t="s">
        <v>22</v>
      </c>
      <c r="L1150" s="9" t="str">
        <f t="shared" si="195"/>
        <v>01149</v>
      </c>
      <c r="M1150" s="71" t="str">
        <f t="shared" si="196"/>
        <v>19 de junio de 2018</v>
      </c>
      <c r="N1150" s="39">
        <f t="shared" si="197"/>
        <v>43252</v>
      </c>
      <c r="O1150" s="9" t="str">
        <f t="shared" si="192"/>
        <v>400.000,00</v>
      </c>
      <c r="P1150" s="8" t="str">
        <f t="shared" si="193"/>
        <v>Cuatrocientos Mil Bolívares con 00/100</v>
      </c>
      <c r="Q1150" s="403" t="str">
        <f t="shared" si="182"/>
        <v/>
      </c>
    </row>
    <row r="1151" spans="1:17" x14ac:dyDescent="0.25">
      <c r="A1151" s="1">
        <f t="shared" si="194"/>
        <v>1150</v>
      </c>
      <c r="C1151" s="12" t="s">
        <v>17</v>
      </c>
      <c r="D1151" s="2">
        <v>43270</v>
      </c>
      <c r="E1151" s="3">
        <v>400000</v>
      </c>
      <c r="F1151" t="s">
        <v>130</v>
      </c>
      <c r="G1151" t="s">
        <v>131</v>
      </c>
      <c r="H1151" t="s">
        <v>132</v>
      </c>
      <c r="I1151" s="10" t="s">
        <v>707</v>
      </c>
      <c r="J1151" s="167" t="s">
        <v>22</v>
      </c>
      <c r="L1151" s="9" t="str">
        <f t="shared" si="195"/>
        <v>01150</v>
      </c>
      <c r="M1151" s="71" t="str">
        <f t="shared" si="196"/>
        <v>19 de junio de 2018</v>
      </c>
      <c r="N1151" s="39">
        <f t="shared" si="197"/>
        <v>43252</v>
      </c>
      <c r="O1151" s="9" t="str">
        <f t="shared" si="192"/>
        <v>400.000,00</v>
      </c>
      <c r="P1151" s="8" t="str">
        <f t="shared" si="193"/>
        <v>Cuatrocientos Mil Bolívares con 00/100</v>
      </c>
      <c r="Q1151" s="403" t="str">
        <f t="shared" si="182"/>
        <v/>
      </c>
    </row>
    <row r="1152" spans="1:17" x14ac:dyDescent="0.25">
      <c r="A1152" s="1">
        <f t="shared" si="194"/>
        <v>1151</v>
      </c>
      <c r="C1152" s="12" t="s">
        <v>17</v>
      </c>
      <c r="D1152" s="2">
        <v>43272</v>
      </c>
      <c r="E1152" s="3">
        <v>400000</v>
      </c>
      <c r="F1152" t="s">
        <v>53</v>
      </c>
      <c r="G1152" t="s">
        <v>677</v>
      </c>
      <c r="H1152" t="s">
        <v>55</v>
      </c>
      <c r="I1152" s="10" t="s">
        <v>707</v>
      </c>
      <c r="J1152" s="167" t="s">
        <v>22</v>
      </c>
      <c r="L1152" s="9" t="str">
        <f t="shared" si="195"/>
        <v>01151</v>
      </c>
      <c r="M1152" s="71" t="str">
        <f t="shared" si="196"/>
        <v>21 de junio de 2018</v>
      </c>
      <c r="N1152" s="39">
        <f t="shared" si="197"/>
        <v>43252</v>
      </c>
      <c r="O1152" s="9" t="str">
        <f t="shared" si="192"/>
        <v>400.000,00</v>
      </c>
      <c r="P1152" s="8" t="str">
        <f t="shared" si="193"/>
        <v>Cuatrocientos Mil Bolívares con 00/100</v>
      </c>
      <c r="Q1152" s="403" t="str">
        <f t="shared" si="182"/>
        <v/>
      </c>
    </row>
    <row r="1153" spans="1:17" x14ac:dyDescent="0.25">
      <c r="A1153" s="1">
        <f t="shared" si="194"/>
        <v>1152</v>
      </c>
      <c r="C1153" s="12" t="s">
        <v>17</v>
      </c>
      <c r="D1153" s="2">
        <v>43272</v>
      </c>
      <c r="E1153" s="3">
        <v>100000</v>
      </c>
      <c r="F1153" t="s">
        <v>53</v>
      </c>
      <c r="G1153" t="s">
        <v>677</v>
      </c>
      <c r="H1153" t="s">
        <v>55</v>
      </c>
      <c r="I1153" s="10" t="s">
        <v>733</v>
      </c>
      <c r="J1153" s="167" t="s">
        <v>734</v>
      </c>
      <c r="L1153" s="9" t="str">
        <f t="shared" ref="L1153:L1173" si="198">IF(ISBLANK(A1153),"",TEXT(A1153,"00000"))</f>
        <v>01152</v>
      </c>
      <c r="M1153" s="71" t="str">
        <f t="shared" ref="M1153:M1173" si="199">IF(ISBLANK(D1153),"",TEXT(D1153,"dd")&amp;" de "&amp;TEXT(D1153,"mmmm")&amp;" de "&amp;TEXT(YEAR(D1153),"0"))</f>
        <v>21 de junio de 2018</v>
      </c>
      <c r="N1153" s="39">
        <f t="shared" ref="N1153:N1173" si="200">DATE(YEAR(D1153),MONTH(D1153),1)</f>
        <v>43252</v>
      </c>
      <c r="O1153" s="9" t="str">
        <f t="shared" ref="O1153:O1169" si="201">TEXT(E1153,"#.##0,00")</f>
        <v>100.000,00</v>
      </c>
      <c r="P1153" s="8" t="str">
        <f t="shared" ref="P1153:P1160" si="202">CONVERTIRNUM(E1153)</f>
        <v>Cien Mil Bolívares con 00/100</v>
      </c>
      <c r="Q1153" s="403" t="str">
        <f t="shared" si="182"/>
        <v/>
      </c>
    </row>
    <row r="1154" spans="1:17" x14ac:dyDescent="0.25">
      <c r="A1154" s="1">
        <f t="shared" si="194"/>
        <v>1153</v>
      </c>
      <c r="C1154" s="12" t="s">
        <v>17</v>
      </c>
      <c r="D1154" s="2">
        <v>43272</v>
      </c>
      <c r="E1154" s="3">
        <v>1000000</v>
      </c>
      <c r="F1154" t="s">
        <v>612</v>
      </c>
      <c r="G1154" t="s">
        <v>613</v>
      </c>
      <c r="H1154" t="s">
        <v>614</v>
      </c>
      <c r="I1154" s="10" t="s">
        <v>735</v>
      </c>
      <c r="J1154" s="167" t="s">
        <v>22</v>
      </c>
      <c r="L1154" s="9" t="str">
        <f t="shared" si="198"/>
        <v>01153</v>
      </c>
      <c r="M1154" s="71" t="str">
        <f t="shared" si="199"/>
        <v>21 de junio de 2018</v>
      </c>
      <c r="N1154" s="39">
        <f t="shared" si="200"/>
        <v>43252</v>
      </c>
      <c r="O1154" s="9" t="str">
        <f t="shared" si="201"/>
        <v>1.000.000,00</v>
      </c>
      <c r="P1154" s="8" t="str">
        <f t="shared" si="202"/>
        <v>Un Millón Bolívares con 00/100</v>
      </c>
      <c r="Q1154" s="403" t="str">
        <f t="shared" si="182"/>
        <v/>
      </c>
    </row>
    <row r="1155" spans="1:17" x14ac:dyDescent="0.25">
      <c r="A1155" s="1">
        <f t="shared" si="194"/>
        <v>1154</v>
      </c>
      <c r="C1155" s="12" t="s">
        <v>17</v>
      </c>
      <c r="D1155" s="2">
        <v>43277</v>
      </c>
      <c r="E1155" s="3">
        <v>2550000</v>
      </c>
      <c r="F1155" t="s">
        <v>114</v>
      </c>
      <c r="G1155" t="s">
        <v>115</v>
      </c>
      <c r="H1155" t="s">
        <v>116</v>
      </c>
      <c r="I1155" s="10" t="s">
        <v>736</v>
      </c>
      <c r="J1155" s="167" t="s">
        <v>22</v>
      </c>
      <c r="L1155" s="9" t="str">
        <f t="shared" si="198"/>
        <v>01154</v>
      </c>
      <c r="M1155" s="71" t="str">
        <f t="shared" si="199"/>
        <v>26 de junio de 2018</v>
      </c>
      <c r="N1155" s="39">
        <f t="shared" si="200"/>
        <v>43252</v>
      </c>
      <c r="O1155" s="9" t="str">
        <f t="shared" si="201"/>
        <v>2.550.000,00</v>
      </c>
      <c r="P1155" s="8" t="str">
        <f t="shared" si="202"/>
        <v>Dos Millones Quinientos Cincuenta Mil Bolívares con 00/100</v>
      </c>
      <c r="Q1155" s="403" t="str">
        <f t="shared" ref="Q1155:Q1218" si="203">IF(C1155="û","Anulado","")</f>
        <v/>
      </c>
    </row>
    <row r="1156" spans="1:17" ht="15.75" thickBot="1" x14ac:dyDescent="0.3">
      <c r="A1156" s="1">
        <f t="shared" si="194"/>
        <v>1155</v>
      </c>
      <c r="C1156" s="12" t="s">
        <v>17</v>
      </c>
      <c r="D1156" s="2">
        <v>43277</v>
      </c>
      <c r="E1156" s="3">
        <v>400000</v>
      </c>
      <c r="F1156" t="s">
        <v>633</v>
      </c>
      <c r="G1156" t="s">
        <v>634</v>
      </c>
      <c r="H1156" t="s">
        <v>635</v>
      </c>
      <c r="I1156" s="10" t="s">
        <v>707</v>
      </c>
      <c r="J1156" s="167" t="s">
        <v>22</v>
      </c>
      <c r="L1156" s="9" t="str">
        <f t="shared" si="198"/>
        <v>01155</v>
      </c>
      <c r="M1156" s="71" t="str">
        <f t="shared" si="199"/>
        <v>26 de junio de 2018</v>
      </c>
      <c r="N1156" s="39">
        <f t="shared" si="200"/>
        <v>43252</v>
      </c>
      <c r="O1156" s="9" t="str">
        <f t="shared" si="201"/>
        <v>400.000,00</v>
      </c>
      <c r="P1156" s="8" t="str">
        <f t="shared" si="202"/>
        <v>Cuatrocientos Mil Bolívares con 00/100</v>
      </c>
      <c r="Q1156" s="403" t="str">
        <f t="shared" si="203"/>
        <v/>
      </c>
    </row>
    <row r="1157" spans="1:17" ht="15.75" thickBot="1" x14ac:dyDescent="0.3">
      <c r="A1157" s="1">
        <f t="shared" si="194"/>
        <v>1156</v>
      </c>
      <c r="C1157" s="12" t="s">
        <v>17</v>
      </c>
      <c r="D1157" s="2">
        <v>43277</v>
      </c>
      <c r="E1157" s="3">
        <v>40000</v>
      </c>
      <c r="F1157" t="s">
        <v>303</v>
      </c>
      <c r="G1157" s="27" t="s">
        <v>58</v>
      </c>
      <c r="H1157" t="s">
        <v>304</v>
      </c>
      <c r="I1157" s="10" t="s">
        <v>730</v>
      </c>
      <c r="J1157" s="167" t="s">
        <v>22</v>
      </c>
      <c r="L1157" s="9" t="str">
        <f t="shared" si="198"/>
        <v>01156</v>
      </c>
      <c r="M1157" s="71" t="str">
        <f t="shared" si="199"/>
        <v>26 de junio de 2018</v>
      </c>
      <c r="N1157" s="39">
        <f t="shared" si="200"/>
        <v>43252</v>
      </c>
      <c r="O1157" s="9" t="str">
        <f t="shared" si="201"/>
        <v>40.000,00</v>
      </c>
      <c r="P1157" s="8" t="str">
        <f t="shared" si="202"/>
        <v>Cuarenta Mil Bolívares con 00/100</v>
      </c>
      <c r="Q1157" s="403" t="str">
        <f t="shared" si="203"/>
        <v/>
      </c>
    </row>
    <row r="1158" spans="1:17" x14ac:dyDescent="0.25">
      <c r="A1158" s="1">
        <f t="shared" si="194"/>
        <v>1157</v>
      </c>
      <c r="C1158" s="12" t="s">
        <v>17</v>
      </c>
      <c r="D1158" s="2">
        <v>43277</v>
      </c>
      <c r="E1158" s="3">
        <v>340000</v>
      </c>
      <c r="F1158" t="s">
        <v>284</v>
      </c>
      <c r="G1158" t="s">
        <v>687</v>
      </c>
      <c r="H1158" t="s">
        <v>285</v>
      </c>
      <c r="I1158" s="10" t="s">
        <v>697</v>
      </c>
      <c r="J1158" s="167" t="s">
        <v>22</v>
      </c>
      <c r="L1158" s="9" t="str">
        <f t="shared" si="198"/>
        <v>01157</v>
      </c>
      <c r="M1158" s="71" t="str">
        <f t="shared" si="199"/>
        <v>26 de junio de 2018</v>
      </c>
      <c r="N1158" s="39">
        <f t="shared" si="200"/>
        <v>43252</v>
      </c>
      <c r="O1158" s="9" t="str">
        <f t="shared" si="201"/>
        <v>340.000,00</v>
      </c>
      <c r="P1158" s="8" t="str">
        <f t="shared" si="202"/>
        <v>Trescientos Cuarenta Mil Bolívares con 00/100</v>
      </c>
      <c r="Q1158" s="403" t="str">
        <f t="shared" si="203"/>
        <v/>
      </c>
    </row>
    <row r="1159" spans="1:17" x14ac:dyDescent="0.25">
      <c r="A1159" s="1">
        <f t="shared" si="194"/>
        <v>1158</v>
      </c>
      <c r="C1159" s="12" t="s">
        <v>17</v>
      </c>
      <c r="D1159" s="2">
        <v>43277</v>
      </c>
      <c r="E1159" s="3">
        <v>350000</v>
      </c>
      <c r="F1159" t="s">
        <v>284</v>
      </c>
      <c r="G1159" t="s">
        <v>687</v>
      </c>
      <c r="H1159" t="s">
        <v>285</v>
      </c>
      <c r="I1159" s="10" t="s">
        <v>672</v>
      </c>
      <c r="J1159" s="167" t="s">
        <v>673</v>
      </c>
      <c r="L1159" s="9" t="str">
        <f t="shared" si="198"/>
        <v>01158</v>
      </c>
      <c r="M1159" s="71" t="str">
        <f t="shared" si="199"/>
        <v>26 de junio de 2018</v>
      </c>
      <c r="N1159" s="39">
        <f t="shared" si="200"/>
        <v>43252</v>
      </c>
      <c r="O1159" s="9" t="str">
        <f t="shared" si="201"/>
        <v>350.000,00</v>
      </c>
      <c r="P1159" s="8" t="str">
        <f t="shared" si="202"/>
        <v>Trescientos Cincuenta Mil Bolívares con 00/100</v>
      </c>
      <c r="Q1159" s="403" t="str">
        <f t="shared" si="203"/>
        <v/>
      </c>
    </row>
    <row r="1160" spans="1:17" x14ac:dyDescent="0.25">
      <c r="A1160" s="1">
        <f t="shared" si="194"/>
        <v>1159</v>
      </c>
      <c r="C1160" s="12" t="s">
        <v>17</v>
      </c>
      <c r="D1160" s="2">
        <v>43279</v>
      </c>
      <c r="E1160" s="3">
        <v>1075000</v>
      </c>
      <c r="F1160" t="s">
        <v>558</v>
      </c>
      <c r="G1160" t="s">
        <v>559</v>
      </c>
      <c r="H1160" t="s">
        <v>560</v>
      </c>
      <c r="I1160" s="10" t="s">
        <v>737</v>
      </c>
      <c r="J1160" s="167" t="s">
        <v>22</v>
      </c>
      <c r="L1160" s="9" t="str">
        <f t="shared" si="198"/>
        <v>01159</v>
      </c>
      <c r="M1160" s="71" t="str">
        <f t="shared" si="199"/>
        <v>28 de junio de 2018</v>
      </c>
      <c r="N1160" s="39">
        <f t="shared" si="200"/>
        <v>43252</v>
      </c>
      <c r="O1160" s="9" t="str">
        <f t="shared" si="201"/>
        <v>1.075.000,00</v>
      </c>
      <c r="P1160" s="8" t="str">
        <f t="shared" si="202"/>
        <v>Un Millón Setenta y Cinco Mil Bolívares con 00/100</v>
      </c>
      <c r="Q1160" s="403" t="str">
        <f t="shared" si="203"/>
        <v/>
      </c>
    </row>
    <row r="1161" spans="1:17" x14ac:dyDescent="0.25">
      <c r="A1161" s="1">
        <f t="shared" si="194"/>
        <v>1160</v>
      </c>
      <c r="C1161" s="12" t="s">
        <v>17</v>
      </c>
      <c r="D1161" s="2">
        <v>43279</v>
      </c>
      <c r="E1161" s="3">
        <v>400000</v>
      </c>
      <c r="F1161" t="s">
        <v>408</v>
      </c>
      <c r="G1161" t="s">
        <v>409</v>
      </c>
      <c r="H1161" t="s">
        <v>410</v>
      </c>
      <c r="I1161" s="10" t="s">
        <v>738</v>
      </c>
      <c r="J1161" s="167" t="s">
        <v>22</v>
      </c>
      <c r="L1161" s="9" t="str">
        <f t="shared" si="198"/>
        <v>01160</v>
      </c>
      <c r="M1161" s="71" t="str">
        <f t="shared" si="199"/>
        <v>28 de junio de 2018</v>
      </c>
      <c r="N1161" s="39">
        <f t="shared" si="200"/>
        <v>43252</v>
      </c>
      <c r="O1161" s="9" t="str">
        <f t="shared" si="201"/>
        <v>400.000,00</v>
      </c>
      <c r="P1161" s="8" t="str">
        <f>CONVERTIRNUM(E1161)</f>
        <v>Cuatrocientos Mil Bolívares con 00/100</v>
      </c>
      <c r="Q1161" s="403" t="str">
        <f t="shared" si="203"/>
        <v/>
      </c>
    </row>
    <row r="1162" spans="1:17" x14ac:dyDescent="0.25">
      <c r="A1162" s="1">
        <f t="shared" si="194"/>
        <v>1161</v>
      </c>
      <c r="C1162" s="12" t="s">
        <v>17</v>
      </c>
      <c r="D1162" s="2">
        <v>43279</v>
      </c>
      <c r="E1162" s="3">
        <v>225000</v>
      </c>
      <c r="F1162" t="s">
        <v>36</v>
      </c>
      <c r="G1162" t="s">
        <v>37</v>
      </c>
      <c r="H1162" t="s">
        <v>38</v>
      </c>
      <c r="I1162" s="10" t="s">
        <v>739</v>
      </c>
      <c r="J1162" s="167" t="s">
        <v>22</v>
      </c>
      <c r="L1162" s="9" t="str">
        <f t="shared" si="198"/>
        <v>01161</v>
      </c>
      <c r="M1162" s="71" t="str">
        <f t="shared" si="199"/>
        <v>28 de junio de 2018</v>
      </c>
      <c r="N1162" s="39">
        <f t="shared" si="200"/>
        <v>43252</v>
      </c>
      <c r="O1162" s="9" t="str">
        <f t="shared" si="201"/>
        <v>225.000,00</v>
      </c>
      <c r="P1162" s="8" t="str">
        <f t="shared" ref="P1162:P1169" si="204">CONVERTIRNUM(E1162)</f>
        <v>Doscientos Veinticinco Mil Bolívares con 00/100</v>
      </c>
      <c r="Q1162" s="403" t="str">
        <f t="shared" si="203"/>
        <v/>
      </c>
    </row>
    <row r="1163" spans="1:17" x14ac:dyDescent="0.25">
      <c r="A1163" s="1">
        <f t="shared" si="194"/>
        <v>1162</v>
      </c>
      <c r="C1163" s="12" t="s">
        <v>17</v>
      </c>
      <c r="D1163" s="2">
        <v>43279</v>
      </c>
      <c r="E1163" s="3">
        <v>225000</v>
      </c>
      <c r="F1163" t="s">
        <v>18</v>
      </c>
      <c r="G1163" t="s">
        <v>19</v>
      </c>
      <c r="H1163" t="s">
        <v>20</v>
      </c>
      <c r="I1163" s="10" t="s">
        <v>740</v>
      </c>
      <c r="J1163" s="167" t="s">
        <v>22</v>
      </c>
      <c r="L1163" s="9" t="str">
        <f t="shared" si="198"/>
        <v>01162</v>
      </c>
      <c r="M1163" s="71" t="str">
        <f t="shared" si="199"/>
        <v>28 de junio de 2018</v>
      </c>
      <c r="N1163" s="39">
        <f t="shared" si="200"/>
        <v>43252</v>
      </c>
      <c r="O1163" s="9" t="str">
        <f t="shared" si="201"/>
        <v>225.000,00</v>
      </c>
      <c r="P1163" s="8" t="str">
        <f t="shared" si="204"/>
        <v>Doscientos Veinticinco Mil Bolívares con 00/100</v>
      </c>
      <c r="Q1163" s="403" t="str">
        <f t="shared" si="203"/>
        <v/>
      </c>
    </row>
    <row r="1164" spans="1:17" ht="15.75" thickBot="1" x14ac:dyDescent="0.3">
      <c r="A1164" s="390">
        <f t="shared" si="194"/>
        <v>1163</v>
      </c>
      <c r="C1164" s="12" t="s">
        <v>17</v>
      </c>
      <c r="D1164" s="2">
        <v>43279</v>
      </c>
      <c r="E1164" s="3">
        <v>225000</v>
      </c>
      <c r="F1164" t="s">
        <v>439</v>
      </c>
      <c r="G1164" t="s">
        <v>440</v>
      </c>
      <c r="H1164" t="s">
        <v>441</v>
      </c>
      <c r="I1164" s="10" t="s">
        <v>741</v>
      </c>
      <c r="J1164" s="167" t="s">
        <v>22</v>
      </c>
      <c r="L1164" s="9" t="str">
        <f t="shared" si="198"/>
        <v>01163</v>
      </c>
      <c r="M1164" s="71" t="str">
        <f t="shared" si="199"/>
        <v>28 de junio de 2018</v>
      </c>
      <c r="N1164" s="39">
        <f t="shared" si="200"/>
        <v>43252</v>
      </c>
      <c r="O1164" s="9" t="str">
        <f t="shared" si="201"/>
        <v>225.000,00</v>
      </c>
      <c r="P1164" s="8" t="str">
        <f t="shared" si="204"/>
        <v>Doscientos Veinticinco Mil Bolívares con 00/100</v>
      </c>
      <c r="Q1164" s="403" t="str">
        <f t="shared" si="203"/>
        <v/>
      </c>
    </row>
    <row r="1165" spans="1:17" ht="15.75" thickBot="1" x14ac:dyDescent="0.3">
      <c r="A1165" s="1">
        <f t="shared" si="194"/>
        <v>1164</v>
      </c>
      <c r="C1165" s="255" t="s">
        <v>17</v>
      </c>
      <c r="D1165" s="2">
        <v>43279</v>
      </c>
      <c r="E1165" s="3">
        <v>225000</v>
      </c>
      <c r="F1165" t="s">
        <v>280</v>
      </c>
      <c r="G1165" s="27" t="s">
        <v>58</v>
      </c>
      <c r="H1165" t="s">
        <v>282</v>
      </c>
      <c r="I1165" s="10" t="s">
        <v>742</v>
      </c>
      <c r="J1165" s="167" t="s">
        <v>22</v>
      </c>
      <c r="L1165" s="9" t="str">
        <f t="shared" si="198"/>
        <v>01164</v>
      </c>
      <c r="M1165" s="71" t="str">
        <f t="shared" si="199"/>
        <v>28 de junio de 2018</v>
      </c>
      <c r="N1165" s="39">
        <f t="shared" si="200"/>
        <v>43252</v>
      </c>
      <c r="O1165" s="9" t="str">
        <f t="shared" si="201"/>
        <v>225.000,00</v>
      </c>
      <c r="P1165" s="8" t="str">
        <f t="shared" si="204"/>
        <v>Doscientos Veinticinco Mil Bolívares con 00/100</v>
      </c>
      <c r="Q1165" s="403" t="str">
        <f t="shared" si="203"/>
        <v/>
      </c>
    </row>
    <row r="1166" spans="1:17" x14ac:dyDescent="0.25">
      <c r="A1166" s="1">
        <f>A1165+1</f>
        <v>1165</v>
      </c>
      <c r="C1166" s="12" t="s">
        <v>17</v>
      </c>
      <c r="D1166" s="2">
        <v>43279</v>
      </c>
      <c r="E1166" s="3">
        <v>225000</v>
      </c>
      <c r="F1166" t="s">
        <v>70</v>
      </c>
      <c r="G1166" t="s">
        <v>71</v>
      </c>
      <c r="H1166" t="s">
        <v>72</v>
      </c>
      <c r="I1166" s="10" t="s">
        <v>743</v>
      </c>
      <c r="J1166" s="167" t="s">
        <v>22</v>
      </c>
      <c r="L1166" s="9" t="str">
        <f t="shared" si="198"/>
        <v>01165</v>
      </c>
      <c r="M1166" s="71" t="str">
        <f t="shared" si="199"/>
        <v>28 de junio de 2018</v>
      </c>
      <c r="N1166" s="39">
        <f t="shared" si="200"/>
        <v>43252</v>
      </c>
      <c r="O1166" s="9" t="str">
        <f t="shared" si="201"/>
        <v>225.000,00</v>
      </c>
      <c r="P1166" s="8" t="str">
        <f t="shared" si="204"/>
        <v>Doscientos Veinticinco Mil Bolívares con 00/100</v>
      </c>
      <c r="Q1166" s="403" t="str">
        <f t="shared" si="203"/>
        <v/>
      </c>
    </row>
    <row r="1167" spans="1:17" x14ac:dyDescent="0.25">
      <c r="A1167" s="1">
        <f t="shared" ref="A1167:A1223" si="205">A1166+1</f>
        <v>1166</v>
      </c>
      <c r="C1167" s="12" t="s">
        <v>17</v>
      </c>
      <c r="D1167" s="2">
        <v>43279</v>
      </c>
      <c r="E1167" s="3">
        <f>225000+850000</f>
        <v>1075000</v>
      </c>
      <c r="F1167" t="s">
        <v>484</v>
      </c>
      <c r="G1167" t="s">
        <v>485</v>
      </c>
      <c r="H1167" t="s">
        <v>486</v>
      </c>
      <c r="I1167" s="10" t="s">
        <v>737</v>
      </c>
      <c r="J1167" s="167" t="s">
        <v>22</v>
      </c>
      <c r="L1167" s="9" t="str">
        <f t="shared" si="198"/>
        <v>01166</v>
      </c>
      <c r="M1167" s="71" t="str">
        <f t="shared" si="199"/>
        <v>28 de junio de 2018</v>
      </c>
      <c r="N1167" s="39">
        <f t="shared" si="200"/>
        <v>43252</v>
      </c>
      <c r="O1167" s="9" t="str">
        <f t="shared" si="201"/>
        <v>1.075.000,00</v>
      </c>
      <c r="P1167" s="8" t="str">
        <f t="shared" si="204"/>
        <v>Un Millón Setenta y Cinco Mil Bolívares con 00/100</v>
      </c>
      <c r="Q1167" s="403" t="str">
        <f t="shared" si="203"/>
        <v/>
      </c>
    </row>
    <row r="1168" spans="1:17" x14ac:dyDescent="0.25">
      <c r="A1168" s="1">
        <f t="shared" si="205"/>
        <v>1167</v>
      </c>
      <c r="C1168" s="12" t="s">
        <v>17</v>
      </c>
      <c r="D1168" s="2">
        <v>43279</v>
      </c>
      <c r="E1168" s="3">
        <f>225000+850000</f>
        <v>1075000</v>
      </c>
      <c r="F1168" t="s">
        <v>48</v>
      </c>
      <c r="G1168" t="s">
        <v>49</v>
      </c>
      <c r="H1168" t="s">
        <v>50</v>
      </c>
      <c r="I1168" s="10" t="s">
        <v>737</v>
      </c>
      <c r="J1168" s="167" t="s">
        <v>22</v>
      </c>
      <c r="L1168" s="9" t="str">
        <f t="shared" si="198"/>
        <v>01167</v>
      </c>
      <c r="M1168" s="71" t="str">
        <f t="shared" si="199"/>
        <v>28 de junio de 2018</v>
      </c>
      <c r="N1168" s="39">
        <f t="shared" si="200"/>
        <v>43252</v>
      </c>
      <c r="O1168" s="9" t="str">
        <f t="shared" si="201"/>
        <v>1.075.000,00</v>
      </c>
      <c r="P1168" s="8" t="str">
        <f t="shared" si="204"/>
        <v>Un Millón Setenta y Cinco Mil Bolívares con 00/100</v>
      </c>
      <c r="Q1168" s="403" t="str">
        <f t="shared" si="203"/>
        <v/>
      </c>
    </row>
    <row r="1169" spans="1:17" x14ac:dyDescent="0.25">
      <c r="A1169" s="1">
        <f t="shared" si="205"/>
        <v>1168</v>
      </c>
      <c r="C1169" s="12" t="s">
        <v>17</v>
      </c>
      <c r="D1169" s="2">
        <v>43279</v>
      </c>
      <c r="E1169" s="3">
        <f>225000+850000</f>
        <v>1075000</v>
      </c>
      <c r="F1169" t="s">
        <v>66</v>
      </c>
      <c r="G1169" t="s">
        <v>67</v>
      </c>
      <c r="H1169" t="s">
        <v>68</v>
      </c>
      <c r="I1169" s="10" t="s">
        <v>737</v>
      </c>
      <c r="J1169" s="167" t="s">
        <v>22</v>
      </c>
      <c r="L1169" s="9" t="str">
        <f t="shared" si="198"/>
        <v>01168</v>
      </c>
      <c r="M1169" s="71" t="str">
        <f t="shared" si="199"/>
        <v>28 de junio de 2018</v>
      </c>
      <c r="N1169" s="39">
        <f t="shared" si="200"/>
        <v>43252</v>
      </c>
      <c r="O1169" s="9" t="str">
        <f t="shared" si="201"/>
        <v>1.075.000,00</v>
      </c>
      <c r="P1169" s="8" t="str">
        <f t="shared" si="204"/>
        <v>Un Millón Setenta y Cinco Mil Bolívares con 00/100</v>
      </c>
      <c r="Q1169" s="403" t="str">
        <f t="shared" si="203"/>
        <v/>
      </c>
    </row>
    <row r="1170" spans="1:17" x14ac:dyDescent="0.25">
      <c r="A1170" s="1">
        <f t="shared" si="205"/>
        <v>1169</v>
      </c>
      <c r="C1170" s="12" t="s">
        <v>17</v>
      </c>
      <c r="D1170" s="2">
        <v>43279</v>
      </c>
      <c r="E1170" s="3">
        <v>225000</v>
      </c>
      <c r="F1170" t="s">
        <v>714</v>
      </c>
      <c r="G1170" t="s">
        <v>715</v>
      </c>
      <c r="H1170" t="s">
        <v>154</v>
      </c>
      <c r="I1170" s="10" t="s">
        <v>743</v>
      </c>
      <c r="J1170" s="167" t="s">
        <v>22</v>
      </c>
      <c r="L1170" s="9" t="str">
        <f t="shared" si="198"/>
        <v>01169</v>
      </c>
      <c r="M1170" s="71" t="str">
        <f t="shared" si="199"/>
        <v>28 de junio de 2018</v>
      </c>
      <c r="N1170" s="39">
        <f t="shared" si="200"/>
        <v>43252</v>
      </c>
      <c r="O1170" s="9" t="str">
        <f>TEXT(E1170,"#.##0,00")</f>
        <v>225.000,00</v>
      </c>
      <c r="P1170" s="8" t="str">
        <f>CONVERTIRNUM(E1170)</f>
        <v>Doscientos Veinticinco Mil Bolívares con 00/100</v>
      </c>
      <c r="Q1170" s="403" t="str">
        <f t="shared" si="203"/>
        <v/>
      </c>
    </row>
    <row r="1171" spans="1:17" x14ac:dyDescent="0.25">
      <c r="A1171" s="1">
        <f t="shared" si="205"/>
        <v>1170</v>
      </c>
      <c r="C1171" s="12" t="s">
        <v>17</v>
      </c>
      <c r="D1171" s="2">
        <v>43279</v>
      </c>
      <c r="E1171" s="3">
        <v>400000</v>
      </c>
      <c r="F1171" t="s">
        <v>134</v>
      </c>
      <c r="G1171" t="s">
        <v>135</v>
      </c>
      <c r="H1171" t="s">
        <v>136</v>
      </c>
      <c r="I1171" s="10" t="s">
        <v>738</v>
      </c>
      <c r="J1171" s="167" t="s">
        <v>22</v>
      </c>
      <c r="L1171" s="9" t="str">
        <f t="shared" si="198"/>
        <v>01170</v>
      </c>
      <c r="M1171" s="71" t="str">
        <f t="shared" si="199"/>
        <v>28 de junio de 2018</v>
      </c>
      <c r="N1171" s="39">
        <f t="shared" si="200"/>
        <v>43252</v>
      </c>
      <c r="O1171" s="9" t="str">
        <f>TEXT(E1171,"#.##0,00")</f>
        <v>400.000,00</v>
      </c>
      <c r="P1171" s="8" t="str">
        <f>CONVERTIRNUM(E1171)</f>
        <v>Cuatrocientos Mil Bolívares con 00/100</v>
      </c>
      <c r="Q1171" s="403" t="str">
        <f t="shared" si="203"/>
        <v/>
      </c>
    </row>
    <row r="1172" spans="1:17" x14ac:dyDescent="0.25">
      <c r="A1172" s="1">
        <f t="shared" si="205"/>
        <v>1171</v>
      </c>
      <c r="C1172" s="12" t="s">
        <v>17</v>
      </c>
      <c r="D1172" s="2">
        <v>43280</v>
      </c>
      <c r="E1172" s="3">
        <v>675000</v>
      </c>
      <c r="F1172" t="s">
        <v>162</v>
      </c>
      <c r="G1172" t="s">
        <v>163</v>
      </c>
      <c r="H1172" t="s">
        <v>164</v>
      </c>
      <c r="I1172" s="10" t="s">
        <v>744</v>
      </c>
      <c r="J1172" s="167" t="s">
        <v>22</v>
      </c>
      <c r="L1172" s="9" t="str">
        <f t="shared" si="198"/>
        <v>01171</v>
      </c>
      <c r="M1172" s="71" t="str">
        <f t="shared" si="199"/>
        <v>29 de junio de 2018</v>
      </c>
      <c r="N1172" s="39">
        <f t="shared" si="200"/>
        <v>43252</v>
      </c>
      <c r="O1172" s="9" t="str">
        <f>TEXT(E1172,"#.##0,00")</f>
        <v>675.000,00</v>
      </c>
      <c r="P1172" s="8" t="str">
        <f>CONVERTIRNUM(E1172)</f>
        <v>Seiscientos Setenta y Cinco Mil Bolívares con 00/100</v>
      </c>
      <c r="Q1172" s="403" t="str">
        <f t="shared" si="203"/>
        <v/>
      </c>
    </row>
    <row r="1173" spans="1:17" x14ac:dyDescent="0.25">
      <c r="A1173" s="1">
        <f t="shared" si="205"/>
        <v>1172</v>
      </c>
      <c r="C1173" s="12" t="s">
        <v>17</v>
      </c>
      <c r="D1173" s="2">
        <v>43280</v>
      </c>
      <c r="E1173" s="3">
        <f>225000+850000</f>
        <v>1075000</v>
      </c>
      <c r="F1173" t="s">
        <v>100</v>
      </c>
      <c r="G1173" t="s">
        <v>95</v>
      </c>
      <c r="H1173" t="s">
        <v>101</v>
      </c>
      <c r="I1173" s="10" t="s">
        <v>737</v>
      </c>
      <c r="J1173" s="167" t="s">
        <v>22</v>
      </c>
      <c r="L1173" s="9" t="str">
        <f t="shared" si="198"/>
        <v>01172</v>
      </c>
      <c r="M1173" s="71" t="str">
        <f t="shared" si="199"/>
        <v>29 de junio de 2018</v>
      </c>
      <c r="N1173" s="39">
        <f t="shared" si="200"/>
        <v>43252</v>
      </c>
      <c r="O1173" s="9" t="str">
        <f>TEXT(E1173,"#.##0,00")</f>
        <v>1.075.000,00</v>
      </c>
      <c r="P1173" s="8" t="str">
        <f>CONVERTIRNUM(E1173)</f>
        <v>Un Millón Setenta y Cinco Mil Bolívares con 00/100</v>
      </c>
      <c r="Q1173" s="403" t="str">
        <f t="shared" si="203"/>
        <v/>
      </c>
    </row>
    <row r="1174" spans="1:17" x14ac:dyDescent="0.25">
      <c r="A1174" s="1">
        <f t="shared" si="205"/>
        <v>1173</v>
      </c>
      <c r="C1174" s="12" t="s">
        <v>17</v>
      </c>
      <c r="D1174" s="2">
        <v>43280</v>
      </c>
      <c r="E1174" s="3">
        <v>925000</v>
      </c>
      <c r="F1174" t="s">
        <v>100</v>
      </c>
      <c r="G1174" t="s">
        <v>95</v>
      </c>
      <c r="H1174" t="s">
        <v>101</v>
      </c>
      <c r="I1174" s="10" t="s">
        <v>745</v>
      </c>
      <c r="J1174" s="167" t="s">
        <v>746</v>
      </c>
      <c r="L1174" s="9" t="str">
        <f t="shared" ref="L1174:L1179" si="206">IF(ISBLANK(A1174),"",TEXT(A1174,"00000"))</f>
        <v>01173</v>
      </c>
      <c r="M1174" s="71" t="str">
        <f t="shared" ref="M1174:M1179" si="207">IF(ISBLANK(D1174),"",TEXT(D1174,"dd")&amp;" de "&amp;TEXT(D1174,"mmmm")&amp;" de "&amp;TEXT(YEAR(D1174),"0"))</f>
        <v>29 de junio de 2018</v>
      </c>
      <c r="N1174" s="39">
        <f t="shared" ref="N1174:N1179" si="208">DATE(YEAR(D1174),MONTH(D1174),1)</f>
        <v>43252</v>
      </c>
      <c r="O1174" s="9" t="str">
        <f t="shared" ref="O1174:O1179" si="209">TEXT(E1174,"#.##0,00")</f>
        <v>925.000,00</v>
      </c>
      <c r="P1174" s="8" t="str">
        <f t="shared" ref="P1174:P1179" si="210">CONVERTIRNUM(E1174)</f>
        <v>Novecientos Veinticinco Mil Bolívares con 00/100</v>
      </c>
      <c r="Q1174" s="403" t="str">
        <f t="shared" si="203"/>
        <v/>
      </c>
    </row>
    <row r="1175" spans="1:17" x14ac:dyDescent="0.25">
      <c r="A1175" s="1">
        <f t="shared" si="205"/>
        <v>1174</v>
      </c>
      <c r="C1175" s="12" t="s">
        <v>17</v>
      </c>
      <c r="D1175" s="2">
        <v>43280</v>
      </c>
      <c r="E1175" s="3">
        <v>225000</v>
      </c>
      <c r="F1175" t="s">
        <v>324</v>
      </c>
      <c r="G1175" t="s">
        <v>325</v>
      </c>
      <c r="H1175" t="s">
        <v>326</v>
      </c>
      <c r="I1175" s="10" t="s">
        <v>743</v>
      </c>
      <c r="J1175" s="167" t="s">
        <v>22</v>
      </c>
      <c r="L1175" s="9" t="str">
        <f t="shared" si="206"/>
        <v>01174</v>
      </c>
      <c r="M1175" s="71" t="str">
        <f t="shared" si="207"/>
        <v>29 de junio de 2018</v>
      </c>
      <c r="N1175" s="39">
        <f t="shared" si="208"/>
        <v>43252</v>
      </c>
      <c r="O1175" s="9" t="str">
        <f t="shared" si="209"/>
        <v>225.000,00</v>
      </c>
      <c r="P1175" s="8" t="str">
        <f t="shared" si="210"/>
        <v>Doscientos Veinticinco Mil Bolívares con 00/100</v>
      </c>
      <c r="Q1175" s="403" t="str">
        <f t="shared" si="203"/>
        <v/>
      </c>
    </row>
    <row r="1176" spans="1:17" x14ac:dyDescent="0.25">
      <c r="A1176" s="1">
        <f t="shared" si="205"/>
        <v>1175</v>
      </c>
      <c r="C1176" s="12" t="s">
        <v>17</v>
      </c>
      <c r="D1176" s="2">
        <v>43280</v>
      </c>
      <c r="E1176" s="3">
        <v>625000</v>
      </c>
      <c r="F1176" t="s">
        <v>296</v>
      </c>
      <c r="G1176" t="s">
        <v>297</v>
      </c>
      <c r="H1176" t="s">
        <v>298</v>
      </c>
      <c r="I1176" s="10" t="s">
        <v>707</v>
      </c>
      <c r="J1176" s="167" t="s">
        <v>22</v>
      </c>
      <c r="L1176" s="9" t="str">
        <f t="shared" si="206"/>
        <v>01175</v>
      </c>
      <c r="M1176" s="71" t="str">
        <f t="shared" si="207"/>
        <v>29 de junio de 2018</v>
      </c>
      <c r="N1176" s="39">
        <f t="shared" si="208"/>
        <v>43252</v>
      </c>
      <c r="O1176" s="9" t="str">
        <f t="shared" si="209"/>
        <v>625.000,00</v>
      </c>
      <c r="P1176" s="8" t="str">
        <f t="shared" si="210"/>
        <v>Seiscientos Veinticinco Mil Bolívares con 00/100</v>
      </c>
      <c r="Q1176" s="403" t="str">
        <f t="shared" si="203"/>
        <v/>
      </c>
    </row>
    <row r="1177" spans="1:17" x14ac:dyDescent="0.25">
      <c r="A1177" s="1">
        <f t="shared" si="205"/>
        <v>1176</v>
      </c>
      <c r="C1177" s="12" t="s">
        <v>17</v>
      </c>
      <c r="D1177" s="2">
        <v>43281</v>
      </c>
      <c r="E1177" s="3">
        <v>1075000</v>
      </c>
      <c r="F1177" t="s">
        <v>698</v>
      </c>
      <c r="G1177" t="s">
        <v>699</v>
      </c>
      <c r="H1177" t="s">
        <v>150</v>
      </c>
      <c r="I1177" s="10" t="s">
        <v>737</v>
      </c>
      <c r="J1177" s="167" t="s">
        <v>22</v>
      </c>
      <c r="L1177" s="9" t="str">
        <f t="shared" si="206"/>
        <v>01176</v>
      </c>
      <c r="M1177" s="71" t="str">
        <f t="shared" si="207"/>
        <v>30 de junio de 2018</v>
      </c>
      <c r="N1177" s="39">
        <f t="shared" si="208"/>
        <v>43252</v>
      </c>
      <c r="O1177" s="9" t="str">
        <f t="shared" si="209"/>
        <v>1.075.000,00</v>
      </c>
      <c r="P1177" s="8" t="str">
        <f t="shared" si="210"/>
        <v>Un Millón Setenta y Cinco Mil Bolívares con 00/100</v>
      </c>
      <c r="Q1177" s="403" t="str">
        <f t="shared" si="203"/>
        <v/>
      </c>
    </row>
    <row r="1178" spans="1:17" x14ac:dyDescent="0.25">
      <c r="A1178" s="1">
        <f t="shared" si="205"/>
        <v>1177</v>
      </c>
      <c r="C1178" s="12" t="s">
        <v>17</v>
      </c>
      <c r="D1178" s="2">
        <v>43281</v>
      </c>
      <c r="E1178" s="3">
        <v>225000</v>
      </c>
      <c r="F1178" t="s">
        <v>138</v>
      </c>
      <c r="G1178" t="s">
        <v>139</v>
      </c>
      <c r="H1178" t="s">
        <v>140</v>
      </c>
      <c r="I1178" s="10" t="s">
        <v>743</v>
      </c>
      <c r="J1178" s="167" t="s">
        <v>22</v>
      </c>
      <c r="L1178" s="9" t="str">
        <f t="shared" si="206"/>
        <v>01177</v>
      </c>
      <c r="M1178" s="71" t="str">
        <f t="shared" si="207"/>
        <v>30 de junio de 2018</v>
      </c>
      <c r="N1178" s="39">
        <f t="shared" si="208"/>
        <v>43252</v>
      </c>
      <c r="O1178" s="9" t="str">
        <f t="shared" si="209"/>
        <v>225.000,00</v>
      </c>
      <c r="P1178" s="8" t="str">
        <f t="shared" si="210"/>
        <v>Doscientos Veinticinco Mil Bolívares con 00/100</v>
      </c>
      <c r="Q1178" s="403" t="str">
        <f t="shared" si="203"/>
        <v/>
      </c>
    </row>
    <row r="1179" spans="1:17" x14ac:dyDescent="0.25">
      <c r="A1179" s="1">
        <f t="shared" si="205"/>
        <v>1178</v>
      </c>
      <c r="C1179" s="12" t="s">
        <v>17</v>
      </c>
      <c r="D1179" s="2">
        <v>43281</v>
      </c>
      <c r="E1179" s="3">
        <v>1075000</v>
      </c>
      <c r="F1179" t="s">
        <v>201</v>
      </c>
      <c r="G1179" t="s">
        <v>202</v>
      </c>
      <c r="H1179" t="s">
        <v>203</v>
      </c>
      <c r="I1179" s="10" t="s">
        <v>737</v>
      </c>
      <c r="J1179" s="167" t="s">
        <v>22</v>
      </c>
      <c r="L1179" s="9" t="str">
        <f t="shared" si="206"/>
        <v>01178</v>
      </c>
      <c r="M1179" s="71" t="str">
        <f t="shared" si="207"/>
        <v>30 de junio de 2018</v>
      </c>
      <c r="N1179" s="39">
        <f t="shared" si="208"/>
        <v>43252</v>
      </c>
      <c r="O1179" s="9" t="str">
        <f t="shared" si="209"/>
        <v>1.075.000,00</v>
      </c>
      <c r="P1179" s="8" t="str">
        <f t="shared" si="210"/>
        <v>Un Millón Setenta y Cinco Mil Bolívares con 00/100</v>
      </c>
      <c r="Q1179" s="403" t="str">
        <f t="shared" si="203"/>
        <v/>
      </c>
    </row>
    <row r="1180" spans="1:17" x14ac:dyDescent="0.25">
      <c r="A1180" s="1">
        <f t="shared" si="205"/>
        <v>1179</v>
      </c>
      <c r="C1180" s="12" t="s">
        <v>17</v>
      </c>
      <c r="D1180" s="2">
        <v>43281</v>
      </c>
      <c r="E1180" s="3">
        <v>450000</v>
      </c>
      <c r="F1180" t="s">
        <v>324</v>
      </c>
      <c r="G1180" t="s">
        <v>325</v>
      </c>
      <c r="H1180" t="s">
        <v>326</v>
      </c>
      <c r="I1180" s="10" t="s">
        <v>747</v>
      </c>
      <c r="J1180" s="167" t="s">
        <v>22</v>
      </c>
      <c r="L1180" s="9" t="str">
        <f t="shared" ref="L1180:L1196" si="211">IF(ISBLANK(A1180),"",TEXT(A1180,"00000"))</f>
        <v>01179</v>
      </c>
      <c r="M1180" s="71" t="str">
        <f t="shared" ref="M1180:M1196" si="212">IF(ISBLANK(D1180),"",TEXT(D1180,"dd")&amp;" de "&amp;TEXT(D1180,"mmmm")&amp;" de "&amp;TEXT(YEAR(D1180),"0"))</f>
        <v>30 de junio de 2018</v>
      </c>
      <c r="N1180" s="39">
        <f t="shared" ref="N1180:N1196" si="213">DATE(YEAR(D1180),MONTH(D1180),1)</f>
        <v>43252</v>
      </c>
      <c r="O1180" s="9" t="str">
        <f t="shared" ref="O1180:O1190" si="214">TEXT(E1180,"#.##0,00")</f>
        <v>450.000,00</v>
      </c>
      <c r="P1180" s="8" t="str">
        <f t="shared" ref="P1180:P1190" si="215">CONVERTIRNUM(E1180)</f>
        <v>Cuatrocientos Cincuenta Mil Bolívares con 00/100</v>
      </c>
      <c r="Q1180" s="403" t="str">
        <f t="shared" si="203"/>
        <v/>
      </c>
    </row>
    <row r="1181" spans="1:17" x14ac:dyDescent="0.25">
      <c r="A1181" s="1">
        <f t="shared" si="205"/>
        <v>1180</v>
      </c>
      <c r="C1181" s="12" t="s">
        <v>17</v>
      </c>
      <c r="D1181" s="2">
        <v>43281</v>
      </c>
      <c r="E1181" s="3">
        <v>1075000</v>
      </c>
      <c r="F1181" t="s">
        <v>24</v>
      </c>
      <c r="G1181" t="s">
        <v>25</v>
      </c>
      <c r="H1181" t="s">
        <v>26</v>
      </c>
      <c r="I1181" s="10" t="s">
        <v>737</v>
      </c>
      <c r="J1181" s="167" t="s">
        <v>22</v>
      </c>
      <c r="L1181" s="9" t="str">
        <f t="shared" si="211"/>
        <v>01180</v>
      </c>
      <c r="M1181" s="71" t="str">
        <f t="shared" si="212"/>
        <v>30 de junio de 2018</v>
      </c>
      <c r="N1181" s="39">
        <f t="shared" si="213"/>
        <v>43252</v>
      </c>
      <c r="O1181" s="9" t="str">
        <f t="shared" si="214"/>
        <v>1.075.000,00</v>
      </c>
      <c r="P1181" s="8" t="str">
        <f t="shared" si="215"/>
        <v>Un Millón Setenta y Cinco Mil Bolívares con 00/100</v>
      </c>
      <c r="Q1181" s="403" t="str">
        <f t="shared" si="203"/>
        <v/>
      </c>
    </row>
    <row r="1182" spans="1:17" x14ac:dyDescent="0.25">
      <c r="A1182" s="1">
        <f t="shared" si="205"/>
        <v>1181</v>
      </c>
      <c r="C1182" s="12" t="s">
        <v>17</v>
      </c>
      <c r="D1182" s="2">
        <v>43281</v>
      </c>
      <c r="E1182" s="3">
        <f>2000000-850000-125000</f>
        <v>1025000</v>
      </c>
      <c r="F1182" t="s">
        <v>612</v>
      </c>
      <c r="G1182" t="s">
        <v>613</v>
      </c>
      <c r="H1182" t="s">
        <v>614</v>
      </c>
      <c r="I1182" s="10" t="s">
        <v>748</v>
      </c>
      <c r="J1182" s="167" t="s">
        <v>22</v>
      </c>
      <c r="L1182" s="9" t="str">
        <f t="shared" si="211"/>
        <v>01181</v>
      </c>
      <c r="M1182" s="71" t="str">
        <f t="shared" si="212"/>
        <v>30 de junio de 2018</v>
      </c>
      <c r="N1182" s="39">
        <f t="shared" si="213"/>
        <v>43252</v>
      </c>
      <c r="O1182" s="9" t="str">
        <f t="shared" si="214"/>
        <v>1.025.000,00</v>
      </c>
      <c r="P1182" s="8" t="str">
        <f t="shared" si="215"/>
        <v>Un Millón Veinticinco Mil Bolívares con 00/100</v>
      </c>
      <c r="Q1182" s="403" t="str">
        <f t="shared" si="203"/>
        <v/>
      </c>
    </row>
    <row r="1183" spans="1:17" x14ac:dyDescent="0.25">
      <c r="A1183" s="1">
        <f t="shared" si="205"/>
        <v>1182</v>
      </c>
      <c r="C1183" s="12" t="s">
        <v>17</v>
      </c>
      <c r="D1183" s="2">
        <v>43281</v>
      </c>
      <c r="E1183" s="3">
        <v>1075000</v>
      </c>
      <c r="F1183" t="s">
        <v>90</v>
      </c>
      <c r="G1183" t="s">
        <v>91</v>
      </c>
      <c r="H1183" t="s">
        <v>92</v>
      </c>
      <c r="I1183" s="10" t="s">
        <v>749</v>
      </c>
      <c r="J1183" s="167" t="s">
        <v>22</v>
      </c>
      <c r="L1183" s="9" t="str">
        <f t="shared" si="211"/>
        <v>01182</v>
      </c>
      <c r="M1183" s="71" t="str">
        <f t="shared" si="212"/>
        <v>30 de junio de 2018</v>
      </c>
      <c r="N1183" s="39">
        <f t="shared" si="213"/>
        <v>43252</v>
      </c>
      <c r="O1183" s="9" t="str">
        <f t="shared" si="214"/>
        <v>1.075.000,00</v>
      </c>
      <c r="P1183" s="8" t="str">
        <f t="shared" si="215"/>
        <v>Un Millón Setenta y Cinco Mil Bolívares con 00/100</v>
      </c>
      <c r="Q1183" s="403" t="str">
        <f t="shared" si="203"/>
        <v/>
      </c>
    </row>
    <row r="1184" spans="1:17" x14ac:dyDescent="0.25">
      <c r="A1184" s="1">
        <f t="shared" si="205"/>
        <v>1183</v>
      </c>
      <c r="C1184" s="12" t="s">
        <v>17</v>
      </c>
      <c r="D1184" s="2">
        <v>43282</v>
      </c>
      <c r="E1184" s="3">
        <v>1075000</v>
      </c>
      <c r="F1184" t="s">
        <v>363</v>
      </c>
      <c r="G1184" t="s">
        <v>364</v>
      </c>
      <c r="H1184" t="s">
        <v>365</v>
      </c>
      <c r="I1184" s="10" t="s">
        <v>737</v>
      </c>
      <c r="J1184" s="167" t="s">
        <v>22</v>
      </c>
      <c r="L1184" s="9" t="str">
        <f t="shared" si="211"/>
        <v>01183</v>
      </c>
      <c r="M1184" s="71" t="str">
        <f t="shared" si="212"/>
        <v>01 de julio de 2018</v>
      </c>
      <c r="N1184" s="39">
        <f t="shared" si="213"/>
        <v>43282</v>
      </c>
      <c r="O1184" s="9" t="str">
        <f t="shared" si="214"/>
        <v>1.075.000,00</v>
      </c>
      <c r="P1184" s="8" t="str">
        <f t="shared" si="215"/>
        <v>Un Millón Setenta y Cinco Mil Bolívares con 00/100</v>
      </c>
      <c r="Q1184" s="403" t="str">
        <f t="shared" si="203"/>
        <v/>
      </c>
    </row>
    <row r="1185" spans="1:17" x14ac:dyDescent="0.25">
      <c r="A1185" s="1">
        <f t="shared" si="205"/>
        <v>1184</v>
      </c>
      <c r="C1185" s="12" t="s">
        <v>17</v>
      </c>
      <c r="D1185" s="2">
        <v>43282</v>
      </c>
      <c r="E1185" s="3">
        <v>1075000</v>
      </c>
      <c r="F1185" t="s">
        <v>80</v>
      </c>
      <c r="G1185" t="s">
        <v>81</v>
      </c>
      <c r="H1185" t="s">
        <v>82</v>
      </c>
      <c r="I1185" s="10" t="s">
        <v>737</v>
      </c>
      <c r="J1185" s="167" t="s">
        <v>22</v>
      </c>
      <c r="L1185" s="9" t="str">
        <f t="shared" si="211"/>
        <v>01184</v>
      </c>
      <c r="M1185" s="71" t="str">
        <f t="shared" si="212"/>
        <v>01 de julio de 2018</v>
      </c>
      <c r="N1185" s="39">
        <f t="shared" si="213"/>
        <v>43282</v>
      </c>
      <c r="O1185" s="9" t="str">
        <f t="shared" si="214"/>
        <v>1.075.000,00</v>
      </c>
      <c r="P1185" s="8" t="str">
        <f t="shared" si="215"/>
        <v>Un Millón Setenta y Cinco Mil Bolívares con 00/100</v>
      </c>
      <c r="Q1185" s="403" t="str">
        <f t="shared" si="203"/>
        <v/>
      </c>
    </row>
    <row r="1186" spans="1:17" x14ac:dyDescent="0.25">
      <c r="A1186" s="1">
        <f t="shared" si="205"/>
        <v>1185</v>
      </c>
      <c r="C1186" s="12" t="s">
        <v>17</v>
      </c>
      <c r="D1186" s="2">
        <v>43282</v>
      </c>
      <c r="E1186" s="3">
        <v>400000</v>
      </c>
      <c r="F1186" t="s">
        <v>413</v>
      </c>
      <c r="G1186" t="s">
        <v>414</v>
      </c>
      <c r="H1186" t="s">
        <v>415</v>
      </c>
      <c r="I1186" s="10" t="s">
        <v>447</v>
      </c>
      <c r="J1186" s="167" t="s">
        <v>22</v>
      </c>
      <c r="L1186" s="9" t="str">
        <f t="shared" si="211"/>
        <v>01185</v>
      </c>
      <c r="M1186" s="71" t="str">
        <f t="shared" si="212"/>
        <v>01 de julio de 2018</v>
      </c>
      <c r="N1186" s="39">
        <f t="shared" si="213"/>
        <v>43282</v>
      </c>
      <c r="O1186" s="9" t="str">
        <f t="shared" si="214"/>
        <v>400.000,00</v>
      </c>
      <c r="P1186" s="8" t="str">
        <f t="shared" si="215"/>
        <v>Cuatrocientos Mil Bolívares con 00/100</v>
      </c>
      <c r="Q1186" s="403" t="str">
        <f t="shared" si="203"/>
        <v/>
      </c>
    </row>
    <row r="1187" spans="1:17" x14ac:dyDescent="0.25">
      <c r="A1187" s="1">
        <f t="shared" si="205"/>
        <v>1186</v>
      </c>
      <c r="C1187" s="12" t="s">
        <v>17</v>
      </c>
      <c r="D1187" s="2">
        <v>43282</v>
      </c>
      <c r="E1187" s="3">
        <v>250000</v>
      </c>
      <c r="F1187" t="s">
        <v>126</v>
      </c>
      <c r="G1187" t="s">
        <v>127</v>
      </c>
      <c r="H1187" t="s">
        <v>128</v>
      </c>
      <c r="I1187" s="10" t="s">
        <v>750</v>
      </c>
      <c r="J1187" s="167" t="s">
        <v>22</v>
      </c>
      <c r="L1187" s="9" t="str">
        <f t="shared" si="211"/>
        <v>01186</v>
      </c>
      <c r="M1187" s="71" t="str">
        <f t="shared" si="212"/>
        <v>01 de julio de 2018</v>
      </c>
      <c r="N1187" s="39">
        <f t="shared" si="213"/>
        <v>43282</v>
      </c>
      <c r="O1187" s="9" t="str">
        <f t="shared" si="214"/>
        <v>250.000,00</v>
      </c>
      <c r="P1187" s="8" t="str">
        <f t="shared" si="215"/>
        <v>Doscientos Cincuenta Mil Bolívares con 00/100</v>
      </c>
      <c r="Q1187" s="403" t="str">
        <f t="shared" si="203"/>
        <v/>
      </c>
    </row>
    <row r="1188" spans="1:17" x14ac:dyDescent="0.25">
      <c r="A1188" s="1">
        <f t="shared" si="205"/>
        <v>1187</v>
      </c>
      <c r="C1188" s="12" t="s">
        <v>17</v>
      </c>
      <c r="D1188" s="2">
        <v>43282</v>
      </c>
      <c r="E1188" s="3">
        <v>225000</v>
      </c>
      <c r="F1188" t="s">
        <v>84</v>
      </c>
      <c r="G1188" t="s">
        <v>85</v>
      </c>
      <c r="H1188" t="s">
        <v>86</v>
      </c>
      <c r="I1188" s="10" t="s">
        <v>743</v>
      </c>
      <c r="J1188" s="167" t="s">
        <v>22</v>
      </c>
      <c r="L1188" s="9" t="str">
        <f t="shared" si="211"/>
        <v>01187</v>
      </c>
      <c r="M1188" s="71" t="str">
        <f t="shared" si="212"/>
        <v>01 de julio de 2018</v>
      </c>
      <c r="N1188" s="39">
        <f t="shared" si="213"/>
        <v>43282</v>
      </c>
      <c r="O1188" s="9" t="str">
        <f t="shared" si="214"/>
        <v>225.000,00</v>
      </c>
      <c r="P1188" s="8" t="str">
        <f t="shared" si="215"/>
        <v>Doscientos Veinticinco Mil Bolívares con 00/100</v>
      </c>
      <c r="Q1188" s="403" t="str">
        <f t="shared" si="203"/>
        <v/>
      </c>
    </row>
    <row r="1189" spans="1:17" x14ac:dyDescent="0.25">
      <c r="A1189" s="1">
        <f t="shared" si="205"/>
        <v>1188</v>
      </c>
      <c r="C1189" s="12" t="s">
        <v>17</v>
      </c>
      <c r="D1189" s="2">
        <v>43282</v>
      </c>
      <c r="E1189" s="3">
        <v>1075000</v>
      </c>
      <c r="F1189" t="s">
        <v>243</v>
      </c>
      <c r="G1189" t="s">
        <v>244</v>
      </c>
      <c r="H1189" t="s">
        <v>245</v>
      </c>
      <c r="I1189" s="10" t="s">
        <v>737</v>
      </c>
      <c r="J1189" s="167" t="s">
        <v>22</v>
      </c>
      <c r="L1189" s="9" t="str">
        <f t="shared" si="211"/>
        <v>01188</v>
      </c>
      <c r="M1189" s="71" t="str">
        <f t="shared" si="212"/>
        <v>01 de julio de 2018</v>
      </c>
      <c r="N1189" s="39">
        <f t="shared" si="213"/>
        <v>43282</v>
      </c>
      <c r="O1189" s="9" t="str">
        <f t="shared" si="214"/>
        <v>1.075.000,00</v>
      </c>
      <c r="P1189" s="8" t="str">
        <f t="shared" si="215"/>
        <v>Un Millón Setenta y Cinco Mil Bolívares con 00/100</v>
      </c>
      <c r="Q1189" s="403" t="str">
        <f t="shared" si="203"/>
        <v/>
      </c>
    </row>
    <row r="1190" spans="1:17" x14ac:dyDescent="0.25">
      <c r="A1190" s="1">
        <f t="shared" si="205"/>
        <v>1189</v>
      </c>
      <c r="C1190" s="12" t="s">
        <v>17</v>
      </c>
      <c r="D1190" s="2">
        <v>43283</v>
      </c>
      <c r="E1190" s="3">
        <v>225000</v>
      </c>
      <c r="F1190" t="s">
        <v>181</v>
      </c>
      <c r="G1190" t="s">
        <v>182</v>
      </c>
      <c r="H1190" t="s">
        <v>183</v>
      </c>
      <c r="I1190" s="10" t="s">
        <v>743</v>
      </c>
      <c r="J1190" s="167" t="s">
        <v>22</v>
      </c>
      <c r="L1190" s="9" t="str">
        <f t="shared" si="211"/>
        <v>01189</v>
      </c>
      <c r="M1190" s="71" t="str">
        <f t="shared" si="212"/>
        <v>02 de julio de 2018</v>
      </c>
      <c r="N1190" s="39">
        <f t="shared" si="213"/>
        <v>43282</v>
      </c>
      <c r="O1190" s="9" t="str">
        <f t="shared" si="214"/>
        <v>225.000,00</v>
      </c>
      <c r="P1190" s="8" t="str">
        <f t="shared" si="215"/>
        <v>Doscientos Veinticinco Mil Bolívares con 00/100</v>
      </c>
      <c r="Q1190" s="403" t="str">
        <f t="shared" si="203"/>
        <v/>
      </c>
    </row>
    <row r="1191" spans="1:17" x14ac:dyDescent="0.25">
      <c r="A1191" s="1">
        <f t="shared" si="205"/>
        <v>1190</v>
      </c>
      <c r="C1191" s="12" t="s">
        <v>17</v>
      </c>
      <c r="D1191" s="2">
        <v>43283</v>
      </c>
      <c r="E1191" s="3">
        <v>850000</v>
      </c>
      <c r="F1191" t="s">
        <v>714</v>
      </c>
      <c r="G1191" t="s">
        <v>715</v>
      </c>
      <c r="H1191" t="s">
        <v>154</v>
      </c>
      <c r="I1191" s="10" t="s">
        <v>751</v>
      </c>
      <c r="J1191" s="167" t="s">
        <v>22</v>
      </c>
      <c r="L1191" s="9" t="str">
        <f t="shared" si="211"/>
        <v>01190</v>
      </c>
      <c r="M1191" s="71" t="str">
        <f t="shared" si="212"/>
        <v>02 de julio de 2018</v>
      </c>
      <c r="N1191" s="39">
        <f t="shared" si="213"/>
        <v>43282</v>
      </c>
      <c r="O1191" s="9" t="str">
        <f t="shared" ref="O1191:O1196" si="216">TEXT(E1191,"#.##0,00")</f>
        <v>850.000,00</v>
      </c>
      <c r="P1191" s="8" t="str">
        <f t="shared" ref="P1191:P1196" si="217">CONVERTIRNUM(E1191)</f>
        <v>Ochocientos Cincuenta Mil Bolívares con 00/100</v>
      </c>
      <c r="Q1191" s="403" t="str">
        <f t="shared" si="203"/>
        <v/>
      </c>
    </row>
    <row r="1192" spans="1:17" ht="15.75" thickBot="1" x14ac:dyDescent="0.3">
      <c r="A1192" s="1">
        <f t="shared" si="205"/>
        <v>1191</v>
      </c>
      <c r="C1192" s="12" t="s">
        <v>17</v>
      </c>
      <c r="D1192" s="2">
        <v>43283</v>
      </c>
      <c r="E1192" s="3">
        <v>2325000</v>
      </c>
      <c r="F1192" t="s">
        <v>354</v>
      </c>
      <c r="G1192" t="s">
        <v>355</v>
      </c>
      <c r="H1192" t="s">
        <v>356</v>
      </c>
      <c r="I1192" s="10" t="s">
        <v>752</v>
      </c>
      <c r="J1192" s="167" t="s">
        <v>22</v>
      </c>
      <c r="L1192" s="9" t="str">
        <f t="shared" si="211"/>
        <v>01191</v>
      </c>
      <c r="M1192" s="71" t="str">
        <f t="shared" si="212"/>
        <v>02 de julio de 2018</v>
      </c>
      <c r="N1192" s="39">
        <f t="shared" si="213"/>
        <v>43282</v>
      </c>
      <c r="O1192" s="9" t="str">
        <f t="shared" si="216"/>
        <v>2.325.000,00</v>
      </c>
      <c r="P1192" s="8" t="str">
        <f t="shared" si="217"/>
        <v>Dos Millones Trescientos Veinticinco Mil Bolívares con 00/100</v>
      </c>
      <c r="Q1192" s="403" t="str">
        <f t="shared" si="203"/>
        <v/>
      </c>
    </row>
    <row r="1193" spans="1:17" ht="15.75" thickBot="1" x14ac:dyDescent="0.3">
      <c r="A1193" s="1">
        <f t="shared" si="205"/>
        <v>1192</v>
      </c>
      <c r="C1193" s="255" t="s">
        <v>17</v>
      </c>
      <c r="D1193" s="2">
        <v>43283</v>
      </c>
      <c r="E1193" s="3">
        <v>625000</v>
      </c>
      <c r="F1193" t="s">
        <v>319</v>
      </c>
      <c r="G1193" s="27" t="s">
        <v>58</v>
      </c>
      <c r="H1193" t="s">
        <v>320</v>
      </c>
      <c r="I1193" s="10" t="s">
        <v>707</v>
      </c>
      <c r="J1193" s="167" t="s">
        <v>22</v>
      </c>
      <c r="L1193" s="9" t="str">
        <f t="shared" si="211"/>
        <v>01192</v>
      </c>
      <c r="M1193" s="71" t="str">
        <f t="shared" si="212"/>
        <v>02 de julio de 2018</v>
      </c>
      <c r="N1193" s="39">
        <f t="shared" si="213"/>
        <v>43282</v>
      </c>
      <c r="O1193" s="9" t="str">
        <f t="shared" si="216"/>
        <v>625.000,00</v>
      </c>
      <c r="P1193" s="8" t="str">
        <f t="shared" si="217"/>
        <v>Seiscientos Veinticinco Mil Bolívares con 00/100</v>
      </c>
      <c r="Q1193" s="403" t="str">
        <f t="shared" si="203"/>
        <v/>
      </c>
    </row>
    <row r="1194" spans="1:17" x14ac:dyDescent="0.25">
      <c r="A1194" s="1">
        <f t="shared" si="205"/>
        <v>1193</v>
      </c>
      <c r="C1194" s="12" t="s">
        <v>17</v>
      </c>
      <c r="D1194" s="2">
        <v>43283</v>
      </c>
      <c r="E1194" s="3">
        <f>1000000</f>
        <v>1000000</v>
      </c>
      <c r="F1194" t="s">
        <v>107</v>
      </c>
      <c r="G1194" t="s">
        <v>108</v>
      </c>
      <c r="H1194" t="s">
        <v>109</v>
      </c>
      <c r="I1194" s="10" t="s">
        <v>751</v>
      </c>
      <c r="J1194" s="167" t="s">
        <v>22</v>
      </c>
      <c r="L1194" s="9" t="str">
        <f t="shared" si="211"/>
        <v>01193</v>
      </c>
      <c r="M1194" s="71" t="str">
        <f t="shared" si="212"/>
        <v>02 de julio de 2018</v>
      </c>
      <c r="N1194" s="39">
        <f t="shared" si="213"/>
        <v>43282</v>
      </c>
      <c r="O1194" s="9" t="str">
        <f t="shared" si="216"/>
        <v>1.000.000,00</v>
      </c>
      <c r="P1194" s="8" t="str">
        <f t="shared" si="217"/>
        <v>Un Millón Bolívares con 00/100</v>
      </c>
      <c r="Q1194" s="403" t="str">
        <f t="shared" si="203"/>
        <v/>
      </c>
    </row>
    <row r="1195" spans="1:17" x14ac:dyDescent="0.25">
      <c r="A1195" s="1">
        <f t="shared" si="205"/>
        <v>1194</v>
      </c>
      <c r="C1195" s="12" t="s">
        <v>17</v>
      </c>
      <c r="D1195" s="2">
        <v>43283</v>
      </c>
      <c r="E1195" s="3">
        <v>850000</v>
      </c>
      <c r="F1195" t="s">
        <v>594</v>
      </c>
      <c r="G1195" t="s">
        <v>595</v>
      </c>
      <c r="H1195" t="s">
        <v>596</v>
      </c>
      <c r="I1195" s="10" t="s">
        <v>753</v>
      </c>
      <c r="J1195" s="167" t="s">
        <v>22</v>
      </c>
      <c r="L1195" s="9" t="str">
        <f t="shared" si="211"/>
        <v>01194</v>
      </c>
      <c r="M1195" s="71" t="str">
        <f t="shared" si="212"/>
        <v>02 de julio de 2018</v>
      </c>
      <c r="N1195" s="39">
        <f t="shared" si="213"/>
        <v>43282</v>
      </c>
      <c r="O1195" s="9" t="str">
        <f t="shared" si="216"/>
        <v>850.000,00</v>
      </c>
      <c r="P1195" s="8" t="str">
        <f t="shared" si="217"/>
        <v>Ochocientos Cincuenta Mil Bolívares con 00/100</v>
      </c>
      <c r="Q1195" s="403" t="str">
        <f t="shared" si="203"/>
        <v/>
      </c>
    </row>
    <row r="1196" spans="1:17" x14ac:dyDescent="0.25">
      <c r="A1196" s="1">
        <f t="shared" si="205"/>
        <v>1195</v>
      </c>
      <c r="C1196" s="12" t="s">
        <v>17</v>
      </c>
      <c r="D1196" s="2">
        <v>43284</v>
      </c>
      <c r="E1196" s="3">
        <v>1625000</v>
      </c>
      <c r="F1196" t="s">
        <v>219</v>
      </c>
      <c r="G1196" t="s">
        <v>220</v>
      </c>
      <c r="H1196" t="s">
        <v>221</v>
      </c>
      <c r="I1196" s="10" t="s">
        <v>754</v>
      </c>
      <c r="J1196" s="167" t="s">
        <v>22</v>
      </c>
      <c r="L1196" s="9" t="str">
        <f t="shared" si="211"/>
        <v>01195</v>
      </c>
      <c r="M1196" s="71" t="str">
        <f t="shared" si="212"/>
        <v>03 de julio de 2018</v>
      </c>
      <c r="N1196" s="39">
        <f t="shared" si="213"/>
        <v>43282</v>
      </c>
      <c r="O1196" s="9" t="str">
        <f t="shared" si="216"/>
        <v>1.625.000,00</v>
      </c>
      <c r="P1196" s="8" t="str">
        <f t="shared" si="217"/>
        <v>Un Millón Seiscientos Veinticinco Mil Bolívares con 00/100</v>
      </c>
      <c r="Q1196" s="403" t="str">
        <f t="shared" si="203"/>
        <v/>
      </c>
    </row>
    <row r="1197" spans="1:17" x14ac:dyDescent="0.25">
      <c r="A1197" s="1">
        <f t="shared" si="205"/>
        <v>1196</v>
      </c>
      <c r="C1197" s="12" t="s">
        <v>17</v>
      </c>
      <c r="D1197" s="2">
        <v>43284</v>
      </c>
      <c r="E1197" s="3">
        <v>650000</v>
      </c>
      <c r="F1197" t="s">
        <v>107</v>
      </c>
      <c r="G1197" t="s">
        <v>108</v>
      </c>
      <c r="H1197" t="s">
        <v>109</v>
      </c>
      <c r="I1197" s="10" t="s">
        <v>707</v>
      </c>
      <c r="J1197" s="167" t="s">
        <v>22</v>
      </c>
      <c r="L1197" s="9" t="str">
        <f t="shared" ref="L1197:L1220" si="218">IF(ISBLANK(A1197),"",TEXT(A1197,"00000"))</f>
        <v>01196</v>
      </c>
      <c r="M1197" s="71" t="str">
        <f t="shared" ref="M1197:M1220" si="219">IF(ISBLANK(D1197),"",TEXT(D1197,"dd")&amp;" de "&amp;TEXT(D1197,"mmmm")&amp;" de "&amp;TEXT(YEAR(D1197),"0"))</f>
        <v>03 de julio de 2018</v>
      </c>
      <c r="N1197" s="39">
        <f t="shared" ref="N1197:N1220" si="220">DATE(YEAR(D1197),MONTH(D1197),1)</f>
        <v>43282</v>
      </c>
      <c r="O1197" s="9" t="str">
        <f t="shared" ref="O1197:O1219" si="221">TEXT(E1197,"#.##0,00")</f>
        <v>650.000,00</v>
      </c>
      <c r="P1197" s="8" t="str">
        <f t="shared" ref="P1197:P1219" si="222">CONVERTIRNUM(E1197)</f>
        <v>Seiscientos Cincuenta Mil Bolívares con 00/100</v>
      </c>
      <c r="Q1197" s="403" t="str">
        <f t="shared" si="203"/>
        <v/>
      </c>
    </row>
    <row r="1198" spans="1:17" x14ac:dyDescent="0.25">
      <c r="A1198" s="1">
        <f t="shared" si="205"/>
        <v>1197</v>
      </c>
      <c r="C1198" s="12" t="s">
        <v>17</v>
      </c>
      <c r="D1198" s="2">
        <v>43284</v>
      </c>
      <c r="E1198" s="3">
        <f>875000+350000</f>
        <v>1225000</v>
      </c>
      <c r="F1198" t="s">
        <v>248</v>
      </c>
      <c r="G1198" t="s">
        <v>249</v>
      </c>
      <c r="H1198" t="s">
        <v>250</v>
      </c>
      <c r="I1198" s="10" t="s">
        <v>737</v>
      </c>
      <c r="J1198" s="167" t="s">
        <v>22</v>
      </c>
      <c r="L1198" s="9" t="str">
        <f t="shared" si="218"/>
        <v>01197</v>
      </c>
      <c r="M1198" s="71" t="str">
        <f t="shared" si="219"/>
        <v>03 de julio de 2018</v>
      </c>
      <c r="N1198" s="39">
        <f t="shared" si="220"/>
        <v>43282</v>
      </c>
      <c r="O1198" s="9" t="str">
        <f t="shared" si="221"/>
        <v>1.225.000,00</v>
      </c>
      <c r="P1198" s="8" t="str">
        <f t="shared" si="222"/>
        <v>Un Millón Doscientos Veinticinco Mil Bolívares con 00/100</v>
      </c>
      <c r="Q1198" s="403" t="str">
        <f t="shared" si="203"/>
        <v/>
      </c>
    </row>
    <row r="1199" spans="1:17" x14ac:dyDescent="0.25">
      <c r="A1199" s="1">
        <f t="shared" si="205"/>
        <v>1198</v>
      </c>
      <c r="C1199" s="12" t="s">
        <v>17</v>
      </c>
      <c r="D1199" s="2">
        <v>43284</v>
      </c>
      <c r="E1199" s="3">
        <v>1225000</v>
      </c>
      <c r="F1199" t="s">
        <v>53</v>
      </c>
      <c r="G1199" t="s">
        <v>677</v>
      </c>
      <c r="H1199" t="s">
        <v>55</v>
      </c>
      <c r="I1199" s="10" t="s">
        <v>737</v>
      </c>
      <c r="J1199" s="167" t="s">
        <v>22</v>
      </c>
      <c r="L1199" s="9" t="str">
        <f t="shared" si="218"/>
        <v>01198</v>
      </c>
      <c r="M1199" s="71" t="str">
        <f t="shared" si="219"/>
        <v>03 de julio de 2018</v>
      </c>
      <c r="N1199" s="39">
        <f t="shared" si="220"/>
        <v>43282</v>
      </c>
      <c r="O1199" s="9" t="str">
        <f t="shared" si="221"/>
        <v>1.225.000,00</v>
      </c>
      <c r="P1199" s="8" t="str">
        <f t="shared" si="222"/>
        <v>Un Millón Doscientos Veinticinco Mil Bolívares con 00/100</v>
      </c>
      <c r="Q1199" s="403" t="str">
        <f t="shared" si="203"/>
        <v/>
      </c>
    </row>
    <row r="1200" spans="1:17" x14ac:dyDescent="0.25">
      <c r="A1200" s="1">
        <f t="shared" si="205"/>
        <v>1199</v>
      </c>
      <c r="C1200" s="12" t="s">
        <v>17</v>
      </c>
      <c r="D1200" s="2">
        <v>43284</v>
      </c>
      <c r="E1200" s="3">
        <v>50000</v>
      </c>
      <c r="F1200" t="s">
        <v>53</v>
      </c>
      <c r="G1200" t="s">
        <v>677</v>
      </c>
      <c r="H1200" t="s">
        <v>55</v>
      </c>
      <c r="I1200" s="10" t="s">
        <v>733</v>
      </c>
      <c r="J1200" s="167" t="s">
        <v>734</v>
      </c>
      <c r="L1200" s="9" t="str">
        <f t="shared" si="218"/>
        <v>01199</v>
      </c>
      <c r="M1200" s="71" t="str">
        <f t="shared" si="219"/>
        <v>03 de julio de 2018</v>
      </c>
      <c r="N1200" s="39">
        <f t="shared" si="220"/>
        <v>43282</v>
      </c>
      <c r="O1200" s="9" t="str">
        <f t="shared" si="221"/>
        <v>50.000,00</v>
      </c>
      <c r="P1200" s="8" t="str">
        <f t="shared" si="222"/>
        <v>Cincuenta Mil Bolívares con 00/100</v>
      </c>
      <c r="Q1200" s="403" t="str">
        <f t="shared" si="203"/>
        <v/>
      </c>
    </row>
    <row r="1201" spans="1:17" x14ac:dyDescent="0.25">
      <c r="A1201" s="1">
        <f t="shared" si="205"/>
        <v>1200</v>
      </c>
      <c r="C1201" s="12" t="s">
        <v>17</v>
      </c>
      <c r="D1201" s="2">
        <v>43284</v>
      </c>
      <c r="E1201" s="3">
        <v>400000</v>
      </c>
      <c r="F1201" t="s">
        <v>594</v>
      </c>
      <c r="G1201" t="s">
        <v>595</v>
      </c>
      <c r="H1201" t="s">
        <v>596</v>
      </c>
      <c r="I1201" s="10" t="s">
        <v>738</v>
      </c>
      <c r="J1201" s="167" t="s">
        <v>22</v>
      </c>
      <c r="L1201" s="9" t="str">
        <f t="shared" si="218"/>
        <v>01200</v>
      </c>
      <c r="M1201" s="71" t="str">
        <f t="shared" si="219"/>
        <v>03 de julio de 2018</v>
      </c>
      <c r="N1201" s="39">
        <f t="shared" si="220"/>
        <v>43282</v>
      </c>
      <c r="O1201" s="9" t="str">
        <f t="shared" si="221"/>
        <v>400.000,00</v>
      </c>
      <c r="P1201" s="8" t="str">
        <f t="shared" si="222"/>
        <v>Cuatrocientos Mil Bolívares con 00/100</v>
      </c>
      <c r="Q1201" s="403" t="str">
        <f t="shared" si="203"/>
        <v/>
      </c>
    </row>
    <row r="1202" spans="1:17" x14ac:dyDescent="0.25">
      <c r="A1202" s="1">
        <f t="shared" si="205"/>
        <v>1201</v>
      </c>
      <c r="C1202" s="12" t="s">
        <v>17</v>
      </c>
      <c r="D1202" s="2">
        <v>43284</v>
      </c>
      <c r="E1202" s="3">
        <v>350000</v>
      </c>
      <c r="F1202" t="s">
        <v>594</v>
      </c>
      <c r="G1202" t="s">
        <v>595</v>
      </c>
      <c r="H1202" t="s">
        <v>596</v>
      </c>
      <c r="I1202" s="10" t="s">
        <v>672</v>
      </c>
      <c r="J1202" s="167" t="s">
        <v>673</v>
      </c>
      <c r="L1202" s="9" t="str">
        <f t="shared" si="218"/>
        <v>01201</v>
      </c>
      <c r="M1202" s="71" t="str">
        <f t="shared" si="219"/>
        <v>03 de julio de 2018</v>
      </c>
      <c r="N1202" s="39">
        <f t="shared" si="220"/>
        <v>43282</v>
      </c>
      <c r="O1202" s="9" t="str">
        <f t="shared" si="221"/>
        <v>350.000,00</v>
      </c>
      <c r="P1202" s="8" t="str">
        <f t="shared" si="222"/>
        <v>Trescientos Cincuenta Mil Bolívares con 00/100</v>
      </c>
      <c r="Q1202" s="403" t="str">
        <f t="shared" si="203"/>
        <v/>
      </c>
    </row>
    <row r="1203" spans="1:17" x14ac:dyDescent="0.25">
      <c r="A1203" s="1">
        <f t="shared" si="205"/>
        <v>1202</v>
      </c>
      <c r="C1203" s="12" t="s">
        <v>17</v>
      </c>
      <c r="D1203" s="2">
        <v>43284</v>
      </c>
      <c r="E1203" s="3">
        <v>1475000</v>
      </c>
      <c r="F1203" t="s">
        <v>284</v>
      </c>
      <c r="G1203" t="s">
        <v>687</v>
      </c>
      <c r="H1203" t="s">
        <v>285</v>
      </c>
      <c r="I1203" s="10" t="s">
        <v>732</v>
      </c>
      <c r="J1203" s="167" t="s">
        <v>22</v>
      </c>
      <c r="L1203" s="9" t="str">
        <f t="shared" si="218"/>
        <v>01202</v>
      </c>
      <c r="M1203" s="71" t="str">
        <f t="shared" si="219"/>
        <v>03 de julio de 2018</v>
      </c>
      <c r="N1203" s="39">
        <f t="shared" si="220"/>
        <v>43282</v>
      </c>
      <c r="O1203" s="9" t="str">
        <f t="shared" si="221"/>
        <v>1.475.000,00</v>
      </c>
      <c r="P1203" s="8" t="str">
        <f t="shared" si="222"/>
        <v>Un Millón Cuatrocientos Setenta y Cinco Mil Bolívares con 00/100</v>
      </c>
      <c r="Q1203" s="403" t="str">
        <f t="shared" si="203"/>
        <v/>
      </c>
    </row>
    <row r="1204" spans="1:17" ht="15.75" thickBot="1" x14ac:dyDescent="0.3">
      <c r="A1204" s="1">
        <f t="shared" si="205"/>
        <v>1203</v>
      </c>
      <c r="C1204" s="12" t="s">
        <v>17</v>
      </c>
      <c r="D1204" s="2">
        <v>43284</v>
      </c>
      <c r="E1204" s="3">
        <v>150000</v>
      </c>
      <c r="F1204" t="s">
        <v>24</v>
      </c>
      <c r="G1204" t="s">
        <v>25</v>
      </c>
      <c r="H1204" t="s">
        <v>26</v>
      </c>
      <c r="I1204" s="10" t="s">
        <v>755</v>
      </c>
      <c r="J1204" s="167" t="s">
        <v>22</v>
      </c>
      <c r="L1204" s="9" t="str">
        <f t="shared" si="218"/>
        <v>01203</v>
      </c>
      <c r="M1204" s="71" t="str">
        <f t="shared" si="219"/>
        <v>03 de julio de 2018</v>
      </c>
      <c r="N1204" s="39">
        <f t="shared" si="220"/>
        <v>43282</v>
      </c>
      <c r="O1204" s="9" t="str">
        <f t="shared" si="221"/>
        <v>150.000,00</v>
      </c>
      <c r="P1204" s="8" t="str">
        <f t="shared" si="222"/>
        <v>Ciento Cincuenta Mil Bolívares con 00/100</v>
      </c>
      <c r="Q1204" s="403" t="str">
        <f t="shared" si="203"/>
        <v/>
      </c>
    </row>
    <row r="1205" spans="1:17" ht="15.75" thickBot="1" x14ac:dyDescent="0.3">
      <c r="A1205" s="1">
        <f t="shared" si="205"/>
        <v>1204</v>
      </c>
      <c r="C1205" s="12" t="s">
        <v>17</v>
      </c>
      <c r="D1205" s="2">
        <v>43284</v>
      </c>
      <c r="E1205" s="3">
        <v>2355000</v>
      </c>
      <c r="F1205" s="36" t="s">
        <v>423</v>
      </c>
      <c r="G1205" s="27" t="s">
        <v>58</v>
      </c>
      <c r="H1205" t="s">
        <v>424</v>
      </c>
      <c r="I1205" s="10" t="s">
        <v>723</v>
      </c>
      <c r="J1205" s="167" t="s">
        <v>22</v>
      </c>
      <c r="L1205" s="9" t="str">
        <f t="shared" si="218"/>
        <v>01204</v>
      </c>
      <c r="M1205" s="71" t="str">
        <f t="shared" si="219"/>
        <v>03 de julio de 2018</v>
      </c>
      <c r="N1205" s="39">
        <f t="shared" si="220"/>
        <v>43282</v>
      </c>
      <c r="O1205" s="9" t="str">
        <f t="shared" si="221"/>
        <v>2.355.000,00</v>
      </c>
      <c r="P1205" s="8" t="str">
        <f t="shared" si="222"/>
        <v>Dos Millones Trescientos Cincuenta y Cinco Mil Bolívares con 00/100</v>
      </c>
      <c r="Q1205" s="403" t="str">
        <f t="shared" si="203"/>
        <v/>
      </c>
    </row>
    <row r="1206" spans="1:17" x14ac:dyDescent="0.25">
      <c r="A1206" s="1">
        <f t="shared" si="205"/>
        <v>1205</v>
      </c>
      <c r="C1206" s="12" t="s">
        <v>17</v>
      </c>
      <c r="D1206" s="2">
        <v>43284</v>
      </c>
      <c r="E1206" s="3">
        <v>150000</v>
      </c>
      <c r="F1206" t="s">
        <v>558</v>
      </c>
      <c r="G1206" t="s">
        <v>559</v>
      </c>
      <c r="H1206" t="s">
        <v>560</v>
      </c>
      <c r="I1206" s="10" t="s">
        <v>755</v>
      </c>
      <c r="J1206" s="167" t="s">
        <v>22</v>
      </c>
      <c r="L1206" s="9" t="str">
        <f t="shared" si="218"/>
        <v>01205</v>
      </c>
      <c r="M1206" s="71" t="str">
        <f t="shared" si="219"/>
        <v>03 de julio de 2018</v>
      </c>
      <c r="N1206" s="39">
        <f t="shared" si="220"/>
        <v>43282</v>
      </c>
      <c r="O1206" s="9" t="str">
        <f t="shared" si="221"/>
        <v>150.000,00</v>
      </c>
      <c r="P1206" s="8" t="str">
        <f t="shared" si="222"/>
        <v>Ciento Cincuenta Mil Bolívares con 00/100</v>
      </c>
      <c r="Q1206" s="403" t="str">
        <f t="shared" si="203"/>
        <v/>
      </c>
    </row>
    <row r="1207" spans="1:17" ht="15.75" thickBot="1" x14ac:dyDescent="0.3">
      <c r="A1207" s="1">
        <f t="shared" si="205"/>
        <v>1206</v>
      </c>
      <c r="C1207" s="12" t="s">
        <v>17</v>
      </c>
      <c r="D1207" s="2">
        <v>43284</v>
      </c>
      <c r="E1207" s="3">
        <v>150000</v>
      </c>
      <c r="F1207" t="s">
        <v>243</v>
      </c>
      <c r="G1207" t="s">
        <v>244</v>
      </c>
      <c r="H1207" t="s">
        <v>245</v>
      </c>
      <c r="I1207" s="10" t="s">
        <v>755</v>
      </c>
      <c r="J1207" s="167" t="s">
        <v>22</v>
      </c>
      <c r="L1207" s="9" t="str">
        <f t="shared" si="218"/>
        <v>01206</v>
      </c>
      <c r="M1207" s="71" t="str">
        <f t="shared" si="219"/>
        <v>03 de julio de 2018</v>
      </c>
      <c r="N1207" s="39">
        <f t="shared" si="220"/>
        <v>43282</v>
      </c>
      <c r="O1207" s="9" t="str">
        <f t="shared" si="221"/>
        <v>150.000,00</v>
      </c>
      <c r="P1207" s="8" t="str">
        <f t="shared" si="222"/>
        <v>Ciento Cincuenta Mil Bolívares con 00/100</v>
      </c>
      <c r="Q1207" s="403" t="str">
        <f t="shared" si="203"/>
        <v/>
      </c>
    </row>
    <row r="1208" spans="1:17" ht="15.75" thickBot="1" x14ac:dyDescent="0.3">
      <c r="A1208" s="1">
        <f t="shared" si="205"/>
        <v>1207</v>
      </c>
      <c r="C1208" s="12" t="s">
        <v>17</v>
      </c>
      <c r="D1208" s="2">
        <v>43285</v>
      </c>
      <c r="E1208" s="3">
        <v>825000</v>
      </c>
      <c r="F1208" t="s">
        <v>40</v>
      </c>
      <c r="G1208" s="27" t="s">
        <v>58</v>
      </c>
      <c r="H1208" t="s">
        <v>42</v>
      </c>
      <c r="I1208" s="10" t="s">
        <v>756</v>
      </c>
      <c r="J1208" s="167" t="s">
        <v>22</v>
      </c>
      <c r="L1208" s="9" t="str">
        <f t="shared" si="218"/>
        <v>01207</v>
      </c>
      <c r="M1208" s="71" t="str">
        <f t="shared" si="219"/>
        <v>04 de julio de 2018</v>
      </c>
      <c r="N1208" s="39">
        <f t="shared" si="220"/>
        <v>43282</v>
      </c>
      <c r="O1208" s="9" t="str">
        <f t="shared" si="221"/>
        <v>825.000,00</v>
      </c>
      <c r="P1208" s="8" t="str">
        <f t="shared" si="222"/>
        <v>Ochocientos Veinticinco Mil Bolívares con 00/100</v>
      </c>
      <c r="Q1208" s="403" t="str">
        <f t="shared" si="203"/>
        <v/>
      </c>
    </row>
    <row r="1209" spans="1:17" ht="15.75" thickBot="1" x14ac:dyDescent="0.3">
      <c r="A1209" s="390">
        <f t="shared" si="205"/>
        <v>1208</v>
      </c>
      <c r="C1209" s="12" t="s">
        <v>17</v>
      </c>
      <c r="D1209" s="2">
        <v>43285</v>
      </c>
      <c r="E1209" s="3">
        <v>1000000</v>
      </c>
      <c r="F1209" t="s">
        <v>439</v>
      </c>
      <c r="G1209" t="s">
        <v>440</v>
      </c>
      <c r="H1209" t="s">
        <v>441</v>
      </c>
      <c r="I1209" s="10" t="s">
        <v>757</v>
      </c>
      <c r="J1209" s="167" t="s">
        <v>22</v>
      </c>
      <c r="L1209" s="9" t="str">
        <f t="shared" si="218"/>
        <v>01208</v>
      </c>
      <c r="M1209" s="71" t="str">
        <f t="shared" si="219"/>
        <v>04 de julio de 2018</v>
      </c>
      <c r="N1209" s="39">
        <f t="shared" si="220"/>
        <v>43282</v>
      </c>
      <c r="O1209" s="9" t="str">
        <f t="shared" si="221"/>
        <v>1.000.000,00</v>
      </c>
      <c r="P1209" s="8" t="str">
        <f t="shared" si="222"/>
        <v>Un Millón Bolívares con 00/100</v>
      </c>
      <c r="Q1209" s="403" t="str">
        <f t="shared" si="203"/>
        <v/>
      </c>
    </row>
    <row r="1210" spans="1:17" ht="15.75" thickBot="1" x14ac:dyDescent="0.3">
      <c r="A1210" s="1">
        <f t="shared" si="205"/>
        <v>1209</v>
      </c>
      <c r="C1210" s="255" t="s">
        <v>17</v>
      </c>
      <c r="D1210" s="2">
        <v>43285</v>
      </c>
      <c r="E1210" s="3">
        <v>1000000</v>
      </c>
      <c r="F1210" t="s">
        <v>280</v>
      </c>
      <c r="G1210" s="27" t="s">
        <v>58</v>
      </c>
      <c r="H1210" t="s">
        <v>282</v>
      </c>
      <c r="I1210" s="10" t="s">
        <v>758</v>
      </c>
      <c r="J1210" s="167" t="s">
        <v>22</v>
      </c>
      <c r="L1210" s="9" t="str">
        <f t="shared" si="218"/>
        <v>01209</v>
      </c>
      <c r="M1210" s="71" t="str">
        <f t="shared" si="219"/>
        <v>04 de julio de 2018</v>
      </c>
      <c r="N1210" s="39">
        <f t="shared" si="220"/>
        <v>43282</v>
      </c>
      <c r="O1210" s="9" t="str">
        <f t="shared" si="221"/>
        <v>1.000.000,00</v>
      </c>
      <c r="P1210" s="8" t="str">
        <f t="shared" si="222"/>
        <v>Un Millón Bolívares con 00/100</v>
      </c>
      <c r="Q1210" s="403" t="str">
        <f t="shared" si="203"/>
        <v/>
      </c>
    </row>
    <row r="1211" spans="1:17" ht="15.75" thickBot="1" x14ac:dyDescent="0.3">
      <c r="A1211" s="1">
        <f t="shared" si="205"/>
        <v>1210</v>
      </c>
      <c r="C1211" s="12" t="s">
        <v>17</v>
      </c>
      <c r="D1211" s="2">
        <v>43285</v>
      </c>
      <c r="E1211" s="3">
        <v>1000000</v>
      </c>
      <c r="F1211" t="s">
        <v>18</v>
      </c>
      <c r="G1211" t="s">
        <v>19</v>
      </c>
      <c r="H1211" t="s">
        <v>20</v>
      </c>
      <c r="I1211" s="10" t="s">
        <v>759</v>
      </c>
      <c r="J1211" s="167" t="s">
        <v>22</v>
      </c>
      <c r="L1211" s="9" t="str">
        <f t="shared" si="218"/>
        <v>01210</v>
      </c>
      <c r="M1211" s="71" t="str">
        <f t="shared" si="219"/>
        <v>04 de julio de 2018</v>
      </c>
      <c r="N1211" s="39">
        <f t="shared" si="220"/>
        <v>43282</v>
      </c>
      <c r="O1211" s="9" t="str">
        <f t="shared" si="221"/>
        <v>1.000.000,00</v>
      </c>
      <c r="P1211" s="8" t="str">
        <f t="shared" si="222"/>
        <v>Un Millón Bolívares con 00/100</v>
      </c>
      <c r="Q1211" s="403" t="str">
        <f t="shared" si="203"/>
        <v/>
      </c>
    </row>
    <row r="1212" spans="1:17" ht="15.75" thickBot="1" x14ac:dyDescent="0.3">
      <c r="A1212" s="1">
        <f t="shared" si="205"/>
        <v>1211</v>
      </c>
      <c r="C1212" s="12" t="s">
        <v>17</v>
      </c>
      <c r="D1212" s="2">
        <v>43228</v>
      </c>
      <c r="E1212" s="3">
        <v>1475000</v>
      </c>
      <c r="F1212" t="s">
        <v>259</v>
      </c>
      <c r="G1212" s="27" t="s">
        <v>58</v>
      </c>
      <c r="H1212" t="s">
        <v>261</v>
      </c>
      <c r="I1212" s="10" t="s">
        <v>760</v>
      </c>
      <c r="J1212" s="167" t="s">
        <v>22</v>
      </c>
      <c r="L1212" s="9" t="str">
        <f t="shared" si="218"/>
        <v>01211</v>
      </c>
      <c r="M1212" s="71" t="str">
        <f t="shared" si="219"/>
        <v>08 de mayo de 2018</v>
      </c>
      <c r="N1212" s="39">
        <f t="shared" si="220"/>
        <v>43221</v>
      </c>
      <c r="O1212" s="9" t="str">
        <f t="shared" si="221"/>
        <v>1.475.000,00</v>
      </c>
      <c r="P1212" s="8" t="str">
        <f t="shared" si="222"/>
        <v>Un Millón Cuatrocientos Setenta y Cinco Mil Bolívares con 00/100</v>
      </c>
      <c r="Q1212" s="403" t="str">
        <f t="shared" si="203"/>
        <v/>
      </c>
    </row>
    <row r="1213" spans="1:17" ht="15.75" thickBot="1" x14ac:dyDescent="0.3">
      <c r="A1213" s="1">
        <f t="shared" si="205"/>
        <v>1212</v>
      </c>
      <c r="C1213" s="12" t="s">
        <v>17</v>
      </c>
      <c r="D1213" s="2">
        <v>43285</v>
      </c>
      <c r="E1213" s="3">
        <v>500000</v>
      </c>
      <c r="F1213" t="s">
        <v>418</v>
      </c>
      <c r="G1213" t="s">
        <v>419</v>
      </c>
      <c r="H1213" t="s">
        <v>420</v>
      </c>
      <c r="I1213" s="10" t="s">
        <v>761</v>
      </c>
      <c r="J1213" s="167" t="s">
        <v>22</v>
      </c>
      <c r="L1213" s="9" t="str">
        <f t="shared" si="218"/>
        <v>01212</v>
      </c>
      <c r="M1213" s="71" t="str">
        <f t="shared" si="219"/>
        <v>04 de julio de 2018</v>
      </c>
      <c r="N1213" s="39">
        <f t="shared" si="220"/>
        <v>43282</v>
      </c>
      <c r="O1213" s="9" t="str">
        <f t="shared" si="221"/>
        <v>500.000,00</v>
      </c>
      <c r="P1213" s="8" t="str">
        <f t="shared" si="222"/>
        <v>Quinientos Mil Bolívares con 00/100</v>
      </c>
      <c r="Q1213" s="403" t="str">
        <f t="shared" si="203"/>
        <v/>
      </c>
    </row>
    <row r="1214" spans="1:17" ht="15.75" thickBot="1" x14ac:dyDescent="0.3">
      <c r="A1214" s="1">
        <f t="shared" si="205"/>
        <v>1213</v>
      </c>
      <c r="C1214" s="255" t="s">
        <v>17</v>
      </c>
      <c r="D1214" s="2">
        <v>43285</v>
      </c>
      <c r="E1214" s="3">
        <v>1000000</v>
      </c>
      <c r="F1214" t="s">
        <v>319</v>
      </c>
      <c r="G1214" s="27" t="s">
        <v>58</v>
      </c>
      <c r="H1214" t="s">
        <v>320</v>
      </c>
      <c r="I1214" s="10" t="s">
        <v>751</v>
      </c>
      <c r="J1214" s="167" t="s">
        <v>22</v>
      </c>
      <c r="L1214" s="9" t="str">
        <f t="shared" si="218"/>
        <v>01213</v>
      </c>
      <c r="M1214" s="71" t="str">
        <f t="shared" si="219"/>
        <v>04 de julio de 2018</v>
      </c>
      <c r="N1214" s="39">
        <f t="shared" si="220"/>
        <v>43282</v>
      </c>
      <c r="O1214" s="9" t="str">
        <f t="shared" si="221"/>
        <v>1.000.000,00</v>
      </c>
      <c r="P1214" s="8" t="str">
        <f t="shared" si="222"/>
        <v>Un Millón Bolívares con 00/100</v>
      </c>
      <c r="Q1214" s="403" t="str">
        <f t="shared" si="203"/>
        <v/>
      </c>
    </row>
    <row r="1215" spans="1:17" x14ac:dyDescent="0.25">
      <c r="A1215" s="1">
        <f t="shared" si="205"/>
        <v>1214</v>
      </c>
      <c r="C1215" s="12" t="s">
        <v>17</v>
      </c>
      <c r="D1215" s="2">
        <v>43285</v>
      </c>
      <c r="E1215" s="3">
        <v>1000000</v>
      </c>
      <c r="F1215" t="s">
        <v>94</v>
      </c>
      <c r="G1215" t="s">
        <v>607</v>
      </c>
      <c r="H1215" t="s">
        <v>96</v>
      </c>
      <c r="I1215" s="10" t="s">
        <v>751</v>
      </c>
      <c r="J1215" s="167" t="s">
        <v>22</v>
      </c>
      <c r="L1215" s="9" t="str">
        <f t="shared" si="218"/>
        <v>01214</v>
      </c>
      <c r="M1215" s="71" t="str">
        <f t="shared" si="219"/>
        <v>04 de julio de 2018</v>
      </c>
      <c r="N1215" s="39">
        <f t="shared" si="220"/>
        <v>43282</v>
      </c>
      <c r="O1215" s="9" t="str">
        <f t="shared" si="221"/>
        <v>1.000.000,00</v>
      </c>
      <c r="P1215" s="8" t="str">
        <f t="shared" si="222"/>
        <v>Un Millón Bolívares con 00/100</v>
      </c>
      <c r="Q1215" s="403" t="str">
        <f t="shared" si="203"/>
        <v/>
      </c>
    </row>
    <row r="1216" spans="1:17" x14ac:dyDescent="0.25">
      <c r="A1216" s="1">
        <f t="shared" si="205"/>
        <v>1215</v>
      </c>
      <c r="C1216" s="12" t="s">
        <v>17</v>
      </c>
      <c r="D1216" s="2">
        <v>43286</v>
      </c>
      <c r="E1216" s="3">
        <v>1225000</v>
      </c>
      <c r="F1216" t="s">
        <v>62</v>
      </c>
      <c r="G1216" t="s">
        <v>63</v>
      </c>
      <c r="H1216" t="s">
        <v>64</v>
      </c>
      <c r="I1216" s="10" t="s">
        <v>737</v>
      </c>
      <c r="J1216" s="167" t="s">
        <v>22</v>
      </c>
      <c r="L1216" s="9" t="str">
        <f t="shared" si="218"/>
        <v>01215</v>
      </c>
      <c r="M1216" s="71" t="str">
        <f t="shared" si="219"/>
        <v>05 de julio de 2018</v>
      </c>
      <c r="N1216" s="39">
        <f t="shared" si="220"/>
        <v>43282</v>
      </c>
      <c r="O1216" s="9" t="str">
        <f t="shared" si="221"/>
        <v>1.225.000,00</v>
      </c>
      <c r="P1216" s="8" t="str">
        <f t="shared" si="222"/>
        <v>Un Millón Doscientos Veinticinco Mil Bolívares con 00/100</v>
      </c>
      <c r="Q1216" s="403" t="str">
        <f t="shared" si="203"/>
        <v/>
      </c>
    </row>
    <row r="1217" spans="1:17" x14ac:dyDescent="0.25">
      <c r="A1217" s="1">
        <f t="shared" si="205"/>
        <v>1216</v>
      </c>
      <c r="C1217" s="12" t="s">
        <v>17</v>
      </c>
      <c r="D1217" s="2">
        <v>43286</v>
      </c>
      <c r="E1217" s="3">
        <v>600000</v>
      </c>
      <c r="F1217" t="s">
        <v>28</v>
      </c>
      <c r="G1217" t="s">
        <v>717</v>
      </c>
      <c r="H1217" t="s">
        <v>30</v>
      </c>
      <c r="I1217" s="10" t="s">
        <v>730</v>
      </c>
      <c r="J1217" s="167" t="s">
        <v>22</v>
      </c>
      <c r="L1217" s="9" t="str">
        <f t="shared" si="218"/>
        <v>01216</v>
      </c>
      <c r="M1217" s="71" t="str">
        <f t="shared" si="219"/>
        <v>05 de julio de 2018</v>
      </c>
      <c r="N1217" s="39">
        <f t="shared" si="220"/>
        <v>43282</v>
      </c>
      <c r="O1217" s="9" t="str">
        <f t="shared" si="221"/>
        <v>600.000,00</v>
      </c>
      <c r="P1217" s="8" t="str">
        <f t="shared" si="222"/>
        <v>Seiscientos Mil Bolívares con 00/100</v>
      </c>
      <c r="Q1217" s="403" t="str">
        <f t="shared" si="203"/>
        <v/>
      </c>
    </row>
    <row r="1218" spans="1:17" x14ac:dyDescent="0.25">
      <c r="A1218" s="1">
        <f t="shared" si="205"/>
        <v>1217</v>
      </c>
      <c r="C1218" s="12" t="s">
        <v>17</v>
      </c>
      <c r="D1218" s="2">
        <v>43286</v>
      </c>
      <c r="E1218" s="3">
        <v>100000</v>
      </c>
      <c r="F1218" t="s">
        <v>167</v>
      </c>
      <c r="G1218" t="s">
        <v>168</v>
      </c>
      <c r="H1218" t="s">
        <v>169</v>
      </c>
      <c r="I1218" s="10" t="s">
        <v>730</v>
      </c>
      <c r="J1218" s="167" t="s">
        <v>22</v>
      </c>
      <c r="L1218" s="9" t="str">
        <f t="shared" si="218"/>
        <v>01217</v>
      </c>
      <c r="M1218" s="71" t="str">
        <f t="shared" si="219"/>
        <v>05 de julio de 2018</v>
      </c>
      <c r="N1218" s="39">
        <f t="shared" si="220"/>
        <v>43282</v>
      </c>
      <c r="O1218" s="9" t="str">
        <f t="shared" si="221"/>
        <v>100.000,00</v>
      </c>
      <c r="P1218" s="8" t="str">
        <f t="shared" si="222"/>
        <v>Cien Mil Bolívares con 00/100</v>
      </c>
      <c r="Q1218" s="403" t="str">
        <f t="shared" si="203"/>
        <v/>
      </c>
    </row>
    <row r="1219" spans="1:17" x14ac:dyDescent="0.25">
      <c r="A1219" s="1">
        <f t="shared" si="205"/>
        <v>1218</v>
      </c>
      <c r="C1219" s="12" t="s">
        <v>17</v>
      </c>
      <c r="D1219" s="2">
        <v>43286</v>
      </c>
      <c r="E1219" s="3">
        <v>150000</v>
      </c>
      <c r="F1219" t="s">
        <v>80</v>
      </c>
      <c r="G1219" t="s">
        <v>81</v>
      </c>
      <c r="H1219" t="s">
        <v>82</v>
      </c>
      <c r="I1219" s="10" t="s">
        <v>755</v>
      </c>
      <c r="J1219" s="167" t="s">
        <v>22</v>
      </c>
      <c r="L1219" s="9" t="str">
        <f t="shared" si="218"/>
        <v>01218</v>
      </c>
      <c r="M1219" s="71" t="str">
        <f t="shared" si="219"/>
        <v>05 de julio de 2018</v>
      </c>
      <c r="N1219" s="39">
        <f t="shared" si="220"/>
        <v>43282</v>
      </c>
      <c r="O1219" s="9" t="str">
        <f t="shared" si="221"/>
        <v>150.000,00</v>
      </c>
      <c r="P1219" s="8" t="str">
        <f t="shared" si="222"/>
        <v>Ciento Cincuenta Mil Bolívares con 00/100</v>
      </c>
      <c r="Q1219" s="403" t="str">
        <f t="shared" ref="Q1219:Q1282" si="223">IF(C1219="û","Anulado","")</f>
        <v/>
      </c>
    </row>
    <row r="1220" spans="1:17" x14ac:dyDescent="0.25">
      <c r="A1220" s="1">
        <f t="shared" si="205"/>
        <v>1219</v>
      </c>
      <c r="C1220" s="12" t="s">
        <v>17</v>
      </c>
      <c r="D1220" s="2">
        <v>43287</v>
      </c>
      <c r="E1220" s="3">
        <v>225000</v>
      </c>
      <c r="F1220" t="s">
        <v>134</v>
      </c>
      <c r="G1220" t="s">
        <v>135</v>
      </c>
      <c r="H1220" t="s">
        <v>136</v>
      </c>
      <c r="I1220" s="10" t="s">
        <v>743</v>
      </c>
      <c r="J1220" s="167" t="s">
        <v>22</v>
      </c>
      <c r="L1220" s="9" t="str">
        <f t="shared" si="218"/>
        <v>01219</v>
      </c>
      <c r="M1220" s="71" t="str">
        <f t="shared" si="219"/>
        <v>06 de julio de 2018</v>
      </c>
      <c r="N1220" s="39">
        <f t="shared" si="220"/>
        <v>43282</v>
      </c>
      <c r="O1220" s="9" t="str">
        <f t="shared" ref="O1220:O1228" si="224">TEXT(E1220,"#.##0,00")</f>
        <v>225.000,00</v>
      </c>
      <c r="P1220" s="8" t="str">
        <f t="shared" ref="P1220:P1228" si="225">CONVERTIRNUM(E1220)</f>
        <v>Doscientos Veinticinco Mil Bolívares con 00/100</v>
      </c>
      <c r="Q1220" s="403" t="str">
        <f t="shared" si="223"/>
        <v/>
      </c>
    </row>
    <row r="1221" spans="1:17" x14ac:dyDescent="0.25">
      <c r="A1221" s="1">
        <f t="shared" si="205"/>
        <v>1220</v>
      </c>
      <c r="C1221" s="12" t="s">
        <v>17</v>
      </c>
      <c r="D1221" s="2">
        <v>43288</v>
      </c>
      <c r="E1221" s="3">
        <v>1000000</v>
      </c>
      <c r="F1221" t="s">
        <v>455</v>
      </c>
      <c r="G1221" t="s">
        <v>762</v>
      </c>
      <c r="H1221" t="s">
        <v>456</v>
      </c>
      <c r="I1221" s="10" t="s">
        <v>751</v>
      </c>
      <c r="J1221" s="167" t="s">
        <v>22</v>
      </c>
      <c r="L1221" s="9" t="str">
        <f>IF(ISBLANK(A1221),"",TEXT(A1221,"00000"))</f>
        <v>01220</v>
      </c>
      <c r="M1221" s="71" t="str">
        <f>IF(ISBLANK(D1221),"",TEXT(D1221,"dd")&amp;" de "&amp;TEXT(D1221,"mmmm")&amp;" de "&amp;TEXT(YEAR(D1221),"0"))</f>
        <v>07 de julio de 2018</v>
      </c>
      <c r="N1221" s="39">
        <f>DATE(YEAR(D1221),MONTH(D1221),1)</f>
        <v>43282</v>
      </c>
      <c r="O1221" s="9" t="str">
        <f t="shared" si="224"/>
        <v>1.000.000,00</v>
      </c>
      <c r="P1221" s="8" t="str">
        <f t="shared" si="225"/>
        <v>Un Millón Bolívares con 00/100</v>
      </c>
      <c r="Q1221" s="403" t="str">
        <f t="shared" si="223"/>
        <v/>
      </c>
    </row>
    <row r="1222" spans="1:17" x14ac:dyDescent="0.25">
      <c r="A1222" s="1">
        <f t="shared" si="205"/>
        <v>1221</v>
      </c>
      <c r="C1222" s="12" t="s">
        <v>17</v>
      </c>
      <c r="D1222" s="2">
        <v>43288</v>
      </c>
      <c r="E1222" s="3">
        <v>400000</v>
      </c>
      <c r="F1222" t="s">
        <v>243</v>
      </c>
      <c r="G1222" t="s">
        <v>244</v>
      </c>
      <c r="H1222" t="s">
        <v>245</v>
      </c>
      <c r="I1222" s="10" t="s">
        <v>763</v>
      </c>
      <c r="J1222" s="167" t="s">
        <v>22</v>
      </c>
      <c r="L1222" s="9" t="str">
        <f>IF(ISBLANK(A1222),"",TEXT(A1222,"00000"))</f>
        <v>01221</v>
      </c>
      <c r="M1222" s="71" t="str">
        <f>IF(ISBLANK(D1222),"",TEXT(D1222,"dd")&amp;" de "&amp;TEXT(D1222,"mmmm")&amp;" de "&amp;TEXT(YEAR(D1222),"0"))</f>
        <v>07 de julio de 2018</v>
      </c>
      <c r="N1222" s="39">
        <f>DATE(YEAR(D1222),MONTH(D1222),1)</f>
        <v>43282</v>
      </c>
      <c r="O1222" s="9" t="str">
        <f t="shared" si="224"/>
        <v>400.000,00</v>
      </c>
      <c r="P1222" s="8" t="str">
        <f t="shared" si="225"/>
        <v>Cuatrocientos Mil Bolívares con 00/100</v>
      </c>
      <c r="Q1222" s="403" t="str">
        <f t="shared" si="223"/>
        <v/>
      </c>
    </row>
    <row r="1223" spans="1:17" x14ac:dyDescent="0.25">
      <c r="A1223" s="1">
        <f t="shared" si="205"/>
        <v>1222</v>
      </c>
      <c r="C1223" s="12" t="s">
        <v>17</v>
      </c>
      <c r="D1223" s="2">
        <v>43288</v>
      </c>
      <c r="E1223" s="3">
        <v>1240000</v>
      </c>
      <c r="F1223" t="s">
        <v>44</v>
      </c>
      <c r="G1223" t="s">
        <v>45</v>
      </c>
      <c r="H1223" t="s">
        <v>46</v>
      </c>
      <c r="I1223" s="10" t="s">
        <v>764</v>
      </c>
      <c r="J1223" s="167" t="s">
        <v>22</v>
      </c>
      <c r="L1223" s="9" t="str">
        <f>IF(ISBLANK(A1223),"",TEXT(A1223,"00000"))</f>
        <v>01222</v>
      </c>
      <c r="M1223" s="71" t="str">
        <f>IF(ISBLANK(D1223),"",TEXT(D1223,"dd")&amp;" de "&amp;TEXT(D1223,"mmmm")&amp;" de "&amp;TEXT(YEAR(D1223),"0"))</f>
        <v>07 de julio de 2018</v>
      </c>
      <c r="N1223" s="39">
        <f>DATE(YEAR(D1223),MONTH(D1223),1)</f>
        <v>43282</v>
      </c>
      <c r="O1223" s="9" t="str">
        <f t="shared" si="224"/>
        <v>1.240.000,00</v>
      </c>
      <c r="P1223" s="8" t="str">
        <f t="shared" si="225"/>
        <v>Un Millón Doscientos Cuarenta Mil Bolívares con 00/100</v>
      </c>
      <c r="Q1223" s="403" t="str">
        <f t="shared" si="223"/>
        <v/>
      </c>
    </row>
    <row r="1224" spans="1:17" ht="15.75" thickBot="1" x14ac:dyDescent="0.3">
      <c r="A1224" s="1">
        <f>A1223+1</f>
        <v>1223</v>
      </c>
      <c r="C1224" s="12" t="s">
        <v>17</v>
      </c>
      <c r="D1224" s="2">
        <v>43282</v>
      </c>
      <c r="E1224" s="3">
        <v>625000</v>
      </c>
      <c r="F1224" t="s">
        <v>334</v>
      </c>
      <c r="G1224" t="s">
        <v>85</v>
      </c>
      <c r="H1224" t="s">
        <v>335</v>
      </c>
      <c r="I1224" s="10" t="s">
        <v>707</v>
      </c>
      <c r="J1224" s="167" t="s">
        <v>22</v>
      </c>
      <c r="L1224" s="9" t="str">
        <f>IF(ISBLANK(A1224),"",TEXT(A1224,"00000"))</f>
        <v>01223</v>
      </c>
      <c r="M1224" s="71" t="str">
        <f>IF(ISBLANK(D1224),"",TEXT(D1224,"dd")&amp;" de "&amp;TEXT(D1224,"mmmm")&amp;" de "&amp;TEXT(YEAR(D1224),"0"))</f>
        <v>01 de julio de 2018</v>
      </c>
      <c r="N1224" s="39">
        <f>DATE(YEAR(D1224),MONTH(D1224),1)</f>
        <v>43282</v>
      </c>
      <c r="O1224" s="9" t="str">
        <f t="shared" si="224"/>
        <v>625.000,00</v>
      </c>
      <c r="P1224" s="8" t="str">
        <f t="shared" si="225"/>
        <v>Seiscientos Veinticinco Mil Bolívares con 00/100</v>
      </c>
      <c r="Q1224" s="403" t="str">
        <f t="shared" si="223"/>
        <v/>
      </c>
    </row>
    <row r="1225" spans="1:17" ht="15.75" thickBot="1" x14ac:dyDescent="0.3">
      <c r="A1225" s="1">
        <f t="shared" ref="A1225:A1234" si="226">A1224+1</f>
        <v>1224</v>
      </c>
      <c r="C1225" s="12" t="s">
        <v>17</v>
      </c>
      <c r="D1225" s="2">
        <v>43289</v>
      </c>
      <c r="E1225" s="3">
        <v>650000</v>
      </c>
      <c r="F1225" t="s">
        <v>239</v>
      </c>
      <c r="G1225" s="225" t="s">
        <v>240</v>
      </c>
      <c r="H1225" t="s">
        <v>241</v>
      </c>
      <c r="I1225" s="10" t="s">
        <v>707</v>
      </c>
      <c r="J1225" s="167" t="s">
        <v>22</v>
      </c>
      <c r="L1225" s="9" t="str">
        <f t="shared" ref="L1225:L1228" si="227">IF(ISBLANK(A1225),"",TEXT(A1225,"00000"))</f>
        <v>01224</v>
      </c>
      <c r="M1225" s="71" t="str">
        <f t="shared" ref="M1225:M1228" si="228">IF(ISBLANK(D1225),"",TEXT(D1225,"dd")&amp;" de "&amp;TEXT(D1225,"mmmm")&amp;" de "&amp;TEXT(YEAR(D1225),"0"))</f>
        <v>08 de julio de 2018</v>
      </c>
      <c r="N1225" s="39">
        <f t="shared" ref="N1225:N1228" si="229">DATE(YEAR(D1225),MONTH(D1225),1)</f>
        <v>43282</v>
      </c>
      <c r="O1225" s="9" t="str">
        <f t="shared" si="224"/>
        <v>650.000,00</v>
      </c>
      <c r="P1225" s="8" t="str">
        <f t="shared" si="225"/>
        <v>Seiscientos Cincuenta Mil Bolívares con 00/100</v>
      </c>
      <c r="Q1225" s="403" t="str">
        <f t="shared" si="223"/>
        <v/>
      </c>
    </row>
    <row r="1226" spans="1:17" x14ac:dyDescent="0.25">
      <c r="A1226" s="1">
        <f t="shared" si="226"/>
        <v>1225</v>
      </c>
      <c r="C1226" s="12" t="s">
        <v>17</v>
      </c>
      <c r="D1226" s="2">
        <v>43289</v>
      </c>
      <c r="E1226" s="3">
        <v>1000000</v>
      </c>
      <c r="F1226" t="s">
        <v>118</v>
      </c>
      <c r="G1226" t="s">
        <v>119</v>
      </c>
      <c r="H1226" t="s">
        <v>120</v>
      </c>
      <c r="I1226" s="10" t="s">
        <v>751</v>
      </c>
      <c r="J1226" s="167" t="s">
        <v>22</v>
      </c>
      <c r="L1226" s="9" t="str">
        <f t="shared" si="227"/>
        <v>01225</v>
      </c>
      <c r="M1226" s="71" t="str">
        <f t="shared" si="228"/>
        <v>08 de julio de 2018</v>
      </c>
      <c r="N1226" s="39">
        <f t="shared" si="229"/>
        <v>43282</v>
      </c>
      <c r="O1226" s="9" t="str">
        <f t="shared" si="224"/>
        <v>1.000.000,00</v>
      </c>
      <c r="P1226" s="8" t="str">
        <f t="shared" si="225"/>
        <v>Un Millón Bolívares con 00/100</v>
      </c>
      <c r="Q1226" s="403" t="str">
        <f t="shared" si="223"/>
        <v/>
      </c>
    </row>
    <row r="1227" spans="1:17" x14ac:dyDescent="0.25">
      <c r="A1227" s="1">
        <f t="shared" si="226"/>
        <v>1226</v>
      </c>
      <c r="C1227" s="12" t="s">
        <v>17</v>
      </c>
      <c r="D1227" s="2">
        <v>43289</v>
      </c>
      <c r="E1227" s="3">
        <v>150000</v>
      </c>
      <c r="F1227" t="s">
        <v>484</v>
      </c>
      <c r="G1227" t="s">
        <v>485</v>
      </c>
      <c r="H1227" t="s">
        <v>486</v>
      </c>
      <c r="I1227" s="10" t="s">
        <v>755</v>
      </c>
      <c r="J1227" s="167" t="s">
        <v>22</v>
      </c>
      <c r="L1227" s="9" t="str">
        <f t="shared" si="227"/>
        <v>01226</v>
      </c>
      <c r="M1227" s="71" t="str">
        <f t="shared" si="228"/>
        <v>08 de julio de 2018</v>
      </c>
      <c r="N1227" s="39">
        <f t="shared" si="229"/>
        <v>43282</v>
      </c>
      <c r="O1227" s="9" t="str">
        <f t="shared" si="224"/>
        <v>150.000,00</v>
      </c>
      <c r="P1227" s="8" t="str">
        <f t="shared" si="225"/>
        <v>Ciento Cincuenta Mil Bolívares con 00/100</v>
      </c>
      <c r="Q1227" s="403" t="str">
        <f t="shared" si="223"/>
        <v/>
      </c>
    </row>
    <row r="1228" spans="1:17" x14ac:dyDescent="0.25">
      <c r="A1228" s="1">
        <f t="shared" si="226"/>
        <v>1227</v>
      </c>
      <c r="C1228" s="12" t="s">
        <v>17</v>
      </c>
      <c r="D1228" s="2">
        <v>43290</v>
      </c>
      <c r="E1228" s="3">
        <f>1575000-350000</f>
        <v>1225000</v>
      </c>
      <c r="F1228" t="s">
        <v>337</v>
      </c>
      <c r="G1228" t="s">
        <v>338</v>
      </c>
      <c r="H1228" t="s">
        <v>339</v>
      </c>
      <c r="I1228" s="10" t="s">
        <v>765</v>
      </c>
      <c r="J1228" s="167" t="s">
        <v>22</v>
      </c>
      <c r="L1228" s="9" t="str">
        <f t="shared" si="227"/>
        <v>01227</v>
      </c>
      <c r="M1228" s="71" t="str">
        <f t="shared" si="228"/>
        <v>09 de julio de 2018</v>
      </c>
      <c r="N1228" s="39">
        <f t="shared" si="229"/>
        <v>43282</v>
      </c>
      <c r="O1228" s="9" t="str">
        <f t="shared" si="224"/>
        <v>1.225.000,00</v>
      </c>
      <c r="P1228" s="8" t="str">
        <f t="shared" si="225"/>
        <v>Un Millón Doscientos Veinticinco Mil Bolívares con 00/100</v>
      </c>
      <c r="Q1228" s="403" t="str">
        <f t="shared" si="223"/>
        <v/>
      </c>
    </row>
    <row r="1229" spans="1:17" x14ac:dyDescent="0.25">
      <c r="A1229" s="1">
        <f t="shared" si="226"/>
        <v>1228</v>
      </c>
      <c r="C1229" s="12" t="s">
        <v>17</v>
      </c>
      <c r="D1229" s="2">
        <v>43290</v>
      </c>
      <c r="E1229" s="3">
        <v>350000</v>
      </c>
      <c r="F1229" t="s">
        <v>337</v>
      </c>
      <c r="G1229" t="s">
        <v>338</v>
      </c>
      <c r="H1229" t="s">
        <v>339</v>
      </c>
      <c r="I1229" s="10" t="s">
        <v>672</v>
      </c>
      <c r="J1229" s="167" t="s">
        <v>673</v>
      </c>
      <c r="L1229" s="9" t="str">
        <f t="shared" ref="L1229:L1241" si="230">IF(ISBLANK(A1229),"",TEXT(A1229,"00000"))</f>
        <v>01228</v>
      </c>
      <c r="M1229" s="71" t="str">
        <f t="shared" ref="M1229:M1241" si="231">IF(ISBLANK(D1229),"",TEXT(D1229,"dd")&amp;" de "&amp;TEXT(D1229,"mmmm")&amp;" de "&amp;TEXT(YEAR(D1229),"0"))</f>
        <v>09 de julio de 2018</v>
      </c>
      <c r="N1229" s="39">
        <f t="shared" ref="N1229:N1241" si="232">DATE(YEAR(D1229),MONTH(D1229),1)</f>
        <v>43282</v>
      </c>
      <c r="O1229" s="9" t="str">
        <f t="shared" ref="O1229:O1241" si="233">TEXT(E1229,"#.##0,00")</f>
        <v>350.000,00</v>
      </c>
      <c r="P1229" s="8" t="str">
        <f t="shared" ref="P1229:P1241" si="234">CONVERTIRNUM(E1229)</f>
        <v>Trescientos Cincuenta Mil Bolívares con 00/100</v>
      </c>
      <c r="Q1229" s="403" t="str">
        <f t="shared" si="223"/>
        <v/>
      </c>
    </row>
    <row r="1230" spans="1:17" x14ac:dyDescent="0.25">
      <c r="A1230" s="1">
        <f t="shared" si="226"/>
        <v>1229</v>
      </c>
      <c r="C1230" s="12" t="s">
        <v>17</v>
      </c>
      <c r="D1230" s="2">
        <v>43290</v>
      </c>
      <c r="E1230" s="3">
        <v>1000000</v>
      </c>
      <c r="F1230" t="s">
        <v>84</v>
      </c>
      <c r="G1230" t="s">
        <v>85</v>
      </c>
      <c r="H1230" t="s">
        <v>86</v>
      </c>
      <c r="I1230" s="10" t="s">
        <v>751</v>
      </c>
      <c r="J1230" s="167" t="s">
        <v>22</v>
      </c>
      <c r="L1230" s="9" t="str">
        <f t="shared" si="230"/>
        <v>01229</v>
      </c>
      <c r="M1230" s="71" t="str">
        <f t="shared" si="231"/>
        <v>09 de julio de 2018</v>
      </c>
      <c r="N1230" s="39">
        <f t="shared" si="232"/>
        <v>43282</v>
      </c>
      <c r="O1230" s="9" t="str">
        <f t="shared" si="233"/>
        <v>1.000.000,00</v>
      </c>
      <c r="P1230" s="8" t="str">
        <f t="shared" si="234"/>
        <v>Un Millón Bolívares con 00/100</v>
      </c>
      <c r="Q1230" s="403" t="str">
        <f t="shared" si="223"/>
        <v/>
      </c>
    </row>
    <row r="1231" spans="1:17" x14ac:dyDescent="0.25">
      <c r="A1231" s="1">
        <f t="shared" si="226"/>
        <v>1230</v>
      </c>
      <c r="C1231" s="12" t="s">
        <v>17</v>
      </c>
      <c r="D1231" s="2">
        <v>43290</v>
      </c>
      <c r="E1231" s="3">
        <v>1250000</v>
      </c>
      <c r="F1231" t="s">
        <v>633</v>
      </c>
      <c r="G1231" t="s">
        <v>634</v>
      </c>
      <c r="H1231" t="s">
        <v>635</v>
      </c>
      <c r="I1231" s="10" t="s">
        <v>765</v>
      </c>
      <c r="J1231" s="167" t="s">
        <v>22</v>
      </c>
      <c r="L1231" s="9" t="str">
        <f t="shared" si="230"/>
        <v>01230</v>
      </c>
      <c r="M1231" s="71" t="str">
        <f t="shared" si="231"/>
        <v>09 de julio de 2018</v>
      </c>
      <c r="N1231" s="39">
        <f t="shared" si="232"/>
        <v>43282</v>
      </c>
      <c r="O1231" s="9" t="str">
        <f t="shared" si="233"/>
        <v>1.250.000,00</v>
      </c>
      <c r="P1231" s="8" t="str">
        <f t="shared" si="234"/>
        <v>Un Millón Doscientos Cincuenta Mil Bolívares con 00/100</v>
      </c>
      <c r="Q1231" s="403" t="str">
        <f t="shared" si="223"/>
        <v/>
      </c>
    </row>
    <row r="1232" spans="1:17" x14ac:dyDescent="0.25">
      <c r="A1232" s="1">
        <f t="shared" si="226"/>
        <v>1231</v>
      </c>
      <c r="C1232" s="12" t="s">
        <v>17</v>
      </c>
      <c r="D1232" s="2">
        <v>43290</v>
      </c>
      <c r="E1232" s="3">
        <v>250000</v>
      </c>
      <c r="F1232" t="s">
        <v>103</v>
      </c>
      <c r="G1232" t="s">
        <v>104</v>
      </c>
      <c r="H1232" t="s">
        <v>105</v>
      </c>
      <c r="I1232" s="10" t="s">
        <v>743</v>
      </c>
      <c r="J1232" s="167" t="s">
        <v>22</v>
      </c>
      <c r="L1232" s="9" t="str">
        <f t="shared" si="230"/>
        <v>01231</v>
      </c>
      <c r="M1232" s="71" t="str">
        <f t="shared" si="231"/>
        <v>09 de julio de 2018</v>
      </c>
      <c r="N1232" s="39">
        <f t="shared" si="232"/>
        <v>43282</v>
      </c>
      <c r="O1232" s="9" t="str">
        <f t="shared" si="233"/>
        <v>250.000,00</v>
      </c>
      <c r="P1232" s="8" t="str">
        <f t="shared" si="234"/>
        <v>Doscientos Cincuenta Mil Bolívares con 00/100</v>
      </c>
      <c r="Q1232" s="403" t="str">
        <f t="shared" si="223"/>
        <v/>
      </c>
    </row>
    <row r="1233" spans="1:17" ht="15.75" thickBot="1" x14ac:dyDescent="0.3">
      <c r="A1233" s="1">
        <f t="shared" si="226"/>
        <v>1232</v>
      </c>
      <c r="C1233" s="12" t="s">
        <v>17</v>
      </c>
      <c r="D1233" s="2">
        <v>43290</v>
      </c>
      <c r="E1233" s="3">
        <v>1220000</v>
      </c>
      <c r="F1233" t="s">
        <v>558</v>
      </c>
      <c r="G1233" t="s">
        <v>559</v>
      </c>
      <c r="H1233" t="s">
        <v>560</v>
      </c>
      <c r="I1233" s="10" t="s">
        <v>745</v>
      </c>
      <c r="J1233" s="167" t="s">
        <v>746</v>
      </c>
      <c r="L1233" s="9" t="str">
        <f t="shared" si="230"/>
        <v>01232</v>
      </c>
      <c r="M1233" s="71" t="str">
        <f t="shared" si="231"/>
        <v>09 de julio de 2018</v>
      </c>
      <c r="N1233" s="39">
        <f t="shared" si="232"/>
        <v>43282</v>
      </c>
      <c r="O1233" s="9" t="str">
        <f t="shared" si="233"/>
        <v>1.220.000,00</v>
      </c>
      <c r="P1233" s="8" t="str">
        <f t="shared" si="234"/>
        <v>Un Millón Doscientos Veinte Mil Bolívares con 00/100</v>
      </c>
      <c r="Q1233" s="403" t="str">
        <f t="shared" si="223"/>
        <v/>
      </c>
    </row>
    <row r="1234" spans="1:17" ht="15.75" thickBot="1" x14ac:dyDescent="0.3">
      <c r="A1234" s="1">
        <f t="shared" si="226"/>
        <v>1233</v>
      </c>
      <c r="C1234" s="12" t="s">
        <v>17</v>
      </c>
      <c r="D1234" s="2">
        <v>43290</v>
      </c>
      <c r="E1234" s="3">
        <v>1790000</v>
      </c>
      <c r="F1234" s="31" t="s">
        <v>57</v>
      </c>
      <c r="G1234" s="27" t="s">
        <v>58</v>
      </c>
      <c r="H1234" s="32" t="s">
        <v>59</v>
      </c>
      <c r="I1234" s="10" t="s">
        <v>723</v>
      </c>
      <c r="J1234" s="167" t="s">
        <v>22</v>
      </c>
      <c r="K1234" s="33"/>
      <c r="L1234" s="9" t="str">
        <f t="shared" si="230"/>
        <v>01233</v>
      </c>
      <c r="M1234" s="71" t="str">
        <f t="shared" si="231"/>
        <v>09 de julio de 2018</v>
      </c>
      <c r="N1234" s="39">
        <f t="shared" si="232"/>
        <v>43282</v>
      </c>
      <c r="O1234" s="9" t="str">
        <f t="shared" si="233"/>
        <v>1.790.000,00</v>
      </c>
      <c r="P1234" s="8" t="str">
        <f t="shared" si="234"/>
        <v>Un Millón Setecientos Noventa Mil Bolívares con 00/100</v>
      </c>
      <c r="Q1234" s="403" t="str">
        <f t="shared" si="223"/>
        <v/>
      </c>
    </row>
    <row r="1235" spans="1:17" x14ac:dyDescent="0.25">
      <c r="A1235" s="1">
        <f>A1234+1</f>
        <v>1234</v>
      </c>
      <c r="C1235" s="12" t="s">
        <v>17</v>
      </c>
      <c r="D1235" s="2">
        <v>43290</v>
      </c>
      <c r="E1235" s="3">
        <v>1000000</v>
      </c>
      <c r="F1235" t="s">
        <v>70</v>
      </c>
      <c r="G1235" t="s">
        <v>71</v>
      </c>
      <c r="H1235" t="s">
        <v>72</v>
      </c>
      <c r="I1235" s="10" t="s">
        <v>751</v>
      </c>
      <c r="J1235" s="167" t="s">
        <v>22</v>
      </c>
      <c r="L1235" s="9" t="str">
        <f t="shared" si="230"/>
        <v>01234</v>
      </c>
      <c r="M1235" s="71" t="str">
        <f t="shared" si="231"/>
        <v>09 de julio de 2018</v>
      </c>
      <c r="N1235" s="39">
        <f t="shared" si="232"/>
        <v>43282</v>
      </c>
      <c r="O1235" s="9" t="str">
        <f t="shared" si="233"/>
        <v>1.000.000,00</v>
      </c>
      <c r="P1235" s="8" t="str">
        <f t="shared" si="234"/>
        <v>Un Millón Bolívares con 00/100</v>
      </c>
      <c r="Q1235" s="403" t="str">
        <f t="shared" si="223"/>
        <v/>
      </c>
    </row>
    <row r="1236" spans="1:17" x14ac:dyDescent="0.25">
      <c r="A1236" s="1">
        <f t="shared" ref="A1236:A1299" si="235">A1235+1</f>
        <v>1235</v>
      </c>
      <c r="C1236" s="12" t="s">
        <v>17</v>
      </c>
      <c r="D1236" s="2">
        <v>43290</v>
      </c>
      <c r="E1236" s="3">
        <f>1370000-150000</f>
        <v>1220000</v>
      </c>
      <c r="F1236" t="s">
        <v>48</v>
      </c>
      <c r="G1236" t="s">
        <v>49</v>
      </c>
      <c r="H1236" t="s">
        <v>50</v>
      </c>
      <c r="I1236" s="10" t="s">
        <v>745</v>
      </c>
      <c r="J1236" s="167" t="s">
        <v>746</v>
      </c>
      <c r="L1236" s="9" t="str">
        <f t="shared" si="230"/>
        <v>01235</v>
      </c>
      <c r="M1236" s="71" t="str">
        <f t="shared" si="231"/>
        <v>09 de julio de 2018</v>
      </c>
      <c r="N1236" s="39">
        <f t="shared" si="232"/>
        <v>43282</v>
      </c>
      <c r="O1236" s="9" t="str">
        <f t="shared" si="233"/>
        <v>1.220.000,00</v>
      </c>
      <c r="P1236" s="8" t="str">
        <f t="shared" si="234"/>
        <v>Un Millón Doscientos Veinte Mil Bolívares con 00/100</v>
      </c>
      <c r="Q1236" s="403" t="str">
        <f t="shared" si="223"/>
        <v/>
      </c>
    </row>
    <row r="1237" spans="1:17" x14ac:dyDescent="0.25">
      <c r="A1237" s="1">
        <f t="shared" si="235"/>
        <v>1236</v>
      </c>
      <c r="C1237" s="12" t="s">
        <v>17</v>
      </c>
      <c r="D1237" s="2">
        <v>43290</v>
      </c>
      <c r="E1237" s="3">
        <v>150000</v>
      </c>
      <c r="F1237" t="s">
        <v>48</v>
      </c>
      <c r="G1237" t="s">
        <v>49</v>
      </c>
      <c r="H1237" t="s">
        <v>50</v>
      </c>
      <c r="I1237" s="10" t="s">
        <v>755</v>
      </c>
      <c r="J1237" s="167" t="s">
        <v>22</v>
      </c>
      <c r="L1237" s="9" t="str">
        <f t="shared" si="230"/>
        <v>01236</v>
      </c>
      <c r="M1237" s="71" t="str">
        <f t="shared" si="231"/>
        <v>09 de julio de 2018</v>
      </c>
      <c r="N1237" s="39">
        <f t="shared" si="232"/>
        <v>43282</v>
      </c>
      <c r="O1237" s="9" t="str">
        <f t="shared" si="233"/>
        <v>150.000,00</v>
      </c>
      <c r="P1237" s="8" t="str">
        <f t="shared" si="234"/>
        <v>Ciento Cincuenta Mil Bolívares con 00/100</v>
      </c>
      <c r="Q1237" s="403" t="str">
        <f t="shared" si="223"/>
        <v/>
      </c>
    </row>
    <row r="1238" spans="1:17" x14ac:dyDescent="0.25">
      <c r="A1238" s="1">
        <f t="shared" si="235"/>
        <v>1237</v>
      </c>
      <c r="C1238" s="12" t="s">
        <v>17</v>
      </c>
      <c r="D1238" s="2">
        <v>43290</v>
      </c>
      <c r="E1238" s="3">
        <v>1000000</v>
      </c>
      <c r="F1238" t="s">
        <v>185</v>
      </c>
      <c r="G1238" t="s">
        <v>186</v>
      </c>
      <c r="H1238" t="s">
        <v>187</v>
      </c>
      <c r="I1238" s="10" t="s">
        <v>760</v>
      </c>
      <c r="J1238" s="167" t="s">
        <v>22</v>
      </c>
      <c r="L1238" s="9" t="str">
        <f t="shared" si="230"/>
        <v>01237</v>
      </c>
      <c r="M1238" s="71" t="str">
        <f t="shared" si="231"/>
        <v>09 de julio de 2018</v>
      </c>
      <c r="N1238" s="39">
        <f t="shared" si="232"/>
        <v>43282</v>
      </c>
      <c r="O1238" s="9" t="str">
        <f t="shared" si="233"/>
        <v>1.000.000,00</v>
      </c>
      <c r="P1238" s="8" t="str">
        <f t="shared" si="234"/>
        <v>Un Millón Bolívares con 00/100</v>
      </c>
      <c r="Q1238" s="403" t="str">
        <f t="shared" si="223"/>
        <v/>
      </c>
    </row>
    <row r="1239" spans="1:17" ht="15.75" thickBot="1" x14ac:dyDescent="0.3">
      <c r="A1239" s="1">
        <f t="shared" si="235"/>
        <v>1238</v>
      </c>
      <c r="C1239" s="12" t="s">
        <v>17</v>
      </c>
      <c r="D1239" s="2">
        <v>43290</v>
      </c>
      <c r="E1239" s="3">
        <v>600000</v>
      </c>
      <c r="F1239" t="s">
        <v>402</v>
      </c>
      <c r="G1239" t="s">
        <v>403</v>
      </c>
      <c r="H1239" t="s">
        <v>404</v>
      </c>
      <c r="I1239" s="10" t="s">
        <v>766</v>
      </c>
      <c r="J1239" s="167" t="s">
        <v>22</v>
      </c>
      <c r="L1239" s="9" t="str">
        <f t="shared" si="230"/>
        <v>01238</v>
      </c>
      <c r="M1239" s="71" t="str">
        <f t="shared" si="231"/>
        <v>09 de julio de 2018</v>
      </c>
      <c r="N1239" s="39">
        <f t="shared" si="232"/>
        <v>43282</v>
      </c>
      <c r="O1239" s="9" t="str">
        <f t="shared" si="233"/>
        <v>600.000,00</v>
      </c>
      <c r="P1239" s="8" t="str">
        <f t="shared" si="234"/>
        <v>Seiscientos Mil Bolívares con 00/100</v>
      </c>
      <c r="Q1239" s="403" t="str">
        <f t="shared" si="223"/>
        <v/>
      </c>
    </row>
    <row r="1240" spans="1:17" ht="15.75" thickBot="1" x14ac:dyDescent="0.3">
      <c r="A1240" s="1">
        <f t="shared" si="235"/>
        <v>1239</v>
      </c>
      <c r="C1240" s="255" t="s">
        <v>17</v>
      </c>
      <c r="D1240" s="2">
        <v>43290</v>
      </c>
      <c r="E1240" s="3">
        <v>1220000</v>
      </c>
      <c r="F1240" t="s">
        <v>280</v>
      </c>
      <c r="G1240" s="27" t="s">
        <v>58</v>
      </c>
      <c r="H1240" t="s">
        <v>282</v>
      </c>
      <c r="I1240" s="10" t="s">
        <v>767</v>
      </c>
      <c r="J1240" s="167" t="s">
        <v>746</v>
      </c>
      <c r="L1240" s="9" t="str">
        <f t="shared" si="230"/>
        <v>01239</v>
      </c>
      <c r="M1240" s="71" t="str">
        <f t="shared" si="231"/>
        <v>09 de julio de 2018</v>
      </c>
      <c r="N1240" s="39">
        <f t="shared" si="232"/>
        <v>43282</v>
      </c>
      <c r="O1240" s="9" t="str">
        <f t="shared" si="233"/>
        <v>1.220.000,00</v>
      </c>
      <c r="P1240" s="8" t="str">
        <f t="shared" si="234"/>
        <v>Un Millón Doscientos Veinte Mil Bolívares con 00/100</v>
      </c>
      <c r="Q1240" s="403" t="str">
        <f t="shared" si="223"/>
        <v/>
      </c>
    </row>
    <row r="1241" spans="1:17" x14ac:dyDescent="0.25">
      <c r="A1241" s="1">
        <f t="shared" si="235"/>
        <v>1240</v>
      </c>
      <c r="C1241" s="12" t="s">
        <v>17</v>
      </c>
      <c r="D1241" s="2">
        <v>43290</v>
      </c>
      <c r="E1241" s="3">
        <v>630000</v>
      </c>
      <c r="F1241" t="s">
        <v>312</v>
      </c>
      <c r="G1241" t="s">
        <v>313</v>
      </c>
      <c r="H1241" t="s">
        <v>314</v>
      </c>
      <c r="I1241" s="10" t="s">
        <v>760</v>
      </c>
      <c r="J1241" s="167" t="s">
        <v>22</v>
      </c>
      <c r="L1241" s="9" t="str">
        <f t="shared" si="230"/>
        <v>01240</v>
      </c>
      <c r="M1241" s="71" t="str">
        <f t="shared" si="231"/>
        <v>09 de julio de 2018</v>
      </c>
      <c r="N1241" s="39">
        <f t="shared" si="232"/>
        <v>43282</v>
      </c>
      <c r="O1241" s="9" t="str">
        <f t="shared" si="233"/>
        <v>630.000,00</v>
      </c>
      <c r="P1241" s="8" t="str">
        <f t="shared" si="234"/>
        <v>Seiscientos Treinta Mil Bolívares con 00/100</v>
      </c>
      <c r="Q1241" s="403" t="str">
        <f t="shared" si="223"/>
        <v/>
      </c>
    </row>
    <row r="1242" spans="1:17" x14ac:dyDescent="0.25">
      <c r="A1242" s="1">
        <f t="shared" si="235"/>
        <v>1241</v>
      </c>
      <c r="C1242" s="12" t="s">
        <v>17</v>
      </c>
      <c r="D1242" s="2">
        <v>43291</v>
      </c>
      <c r="E1242" s="3">
        <v>1220000</v>
      </c>
      <c r="F1242" t="s">
        <v>633</v>
      </c>
      <c r="G1242" t="s">
        <v>634</v>
      </c>
      <c r="H1242" t="s">
        <v>635</v>
      </c>
      <c r="I1242" s="10" t="s">
        <v>745</v>
      </c>
      <c r="J1242" s="167" t="s">
        <v>746</v>
      </c>
      <c r="L1242" s="9" t="str">
        <f t="shared" ref="L1242:L1250" si="236">IF(ISBLANK(A1242),"",TEXT(A1242,"00000"))</f>
        <v>01241</v>
      </c>
      <c r="M1242" s="71" t="str">
        <f t="shared" ref="M1242:M1250" si="237">IF(ISBLANK(D1242),"",TEXT(D1242,"dd")&amp;" de "&amp;TEXT(D1242,"mmmm")&amp;" de "&amp;TEXT(YEAR(D1242),"0"))</f>
        <v>10 de julio de 2018</v>
      </c>
      <c r="N1242" s="39">
        <f t="shared" ref="N1242:N1250" si="238">DATE(YEAR(D1242),MONTH(D1242),1)</f>
        <v>43282</v>
      </c>
      <c r="O1242" s="9" t="str">
        <f t="shared" ref="O1242:O1246" si="239">TEXT(E1242,"#.##0,00")</f>
        <v>1.220.000,00</v>
      </c>
      <c r="P1242" s="8" t="str">
        <f t="shared" ref="P1242:P1246" si="240">CONVERTIRNUM(E1242)</f>
        <v>Un Millón Doscientos Veinte Mil Bolívares con 00/100</v>
      </c>
      <c r="Q1242" s="403" t="str">
        <f t="shared" si="223"/>
        <v/>
      </c>
    </row>
    <row r="1243" spans="1:17" x14ac:dyDescent="0.25">
      <c r="A1243" s="1">
        <f t="shared" si="235"/>
        <v>1242</v>
      </c>
      <c r="C1243" s="12" t="s">
        <v>17</v>
      </c>
      <c r="D1243" s="2">
        <v>43291</v>
      </c>
      <c r="E1243" s="3">
        <v>1220000</v>
      </c>
      <c r="F1243" t="s">
        <v>219</v>
      </c>
      <c r="G1243" t="s">
        <v>220</v>
      </c>
      <c r="H1243" t="s">
        <v>221</v>
      </c>
      <c r="I1243" s="10" t="s">
        <v>768</v>
      </c>
      <c r="J1243" s="167" t="s">
        <v>746</v>
      </c>
      <c r="L1243" s="9" t="str">
        <f t="shared" si="236"/>
        <v>01242</v>
      </c>
      <c r="M1243" s="71" t="str">
        <f t="shared" si="237"/>
        <v>10 de julio de 2018</v>
      </c>
      <c r="N1243" s="39">
        <f t="shared" si="238"/>
        <v>43282</v>
      </c>
      <c r="O1243" s="9" t="str">
        <f t="shared" si="239"/>
        <v>1.220.000,00</v>
      </c>
      <c r="P1243" s="8" t="str">
        <f t="shared" si="240"/>
        <v>Un Millón Doscientos Veinte Mil Bolívares con 00/100</v>
      </c>
      <c r="Q1243" s="403" t="str">
        <f t="shared" si="223"/>
        <v/>
      </c>
    </row>
    <row r="1244" spans="1:17" x14ac:dyDescent="0.25">
      <c r="A1244" s="1">
        <f t="shared" si="235"/>
        <v>1243</v>
      </c>
      <c r="C1244" s="12" t="s">
        <v>17</v>
      </c>
      <c r="D1244" s="2">
        <v>43291</v>
      </c>
      <c r="E1244" s="3">
        <v>150000</v>
      </c>
      <c r="F1244" t="s">
        <v>363</v>
      </c>
      <c r="G1244" t="s">
        <v>364</v>
      </c>
      <c r="H1244" t="s">
        <v>365</v>
      </c>
      <c r="I1244" s="10" t="s">
        <v>755</v>
      </c>
      <c r="J1244" s="167" t="s">
        <v>22</v>
      </c>
      <c r="L1244" s="9" t="str">
        <f t="shared" si="236"/>
        <v>01243</v>
      </c>
      <c r="M1244" s="71" t="str">
        <f t="shared" si="237"/>
        <v>10 de julio de 2018</v>
      </c>
      <c r="N1244" s="39">
        <f t="shared" si="238"/>
        <v>43282</v>
      </c>
      <c r="O1244" s="9" t="str">
        <f t="shared" si="239"/>
        <v>150.000,00</v>
      </c>
      <c r="P1244" s="8" t="str">
        <f t="shared" si="240"/>
        <v>Ciento Cincuenta Mil Bolívares con 00/100</v>
      </c>
      <c r="Q1244" s="403" t="str">
        <f t="shared" si="223"/>
        <v/>
      </c>
    </row>
    <row r="1245" spans="1:17" x14ac:dyDescent="0.25">
      <c r="A1245" s="1">
        <f t="shared" si="235"/>
        <v>1244</v>
      </c>
      <c r="C1245" s="12" t="s">
        <v>17</v>
      </c>
      <c r="D1245" s="2">
        <v>43291</v>
      </c>
      <c r="E1245" s="3">
        <v>1220000</v>
      </c>
      <c r="F1245" t="s">
        <v>363</v>
      </c>
      <c r="G1245" t="s">
        <v>364</v>
      </c>
      <c r="H1245" t="s">
        <v>365</v>
      </c>
      <c r="I1245" s="10" t="s">
        <v>745</v>
      </c>
      <c r="J1245" s="167" t="s">
        <v>746</v>
      </c>
      <c r="L1245" s="9" t="str">
        <f t="shared" si="236"/>
        <v>01244</v>
      </c>
      <c r="M1245" s="71" t="str">
        <f t="shared" si="237"/>
        <v>10 de julio de 2018</v>
      </c>
      <c r="N1245" s="39">
        <f t="shared" si="238"/>
        <v>43282</v>
      </c>
      <c r="O1245" s="9" t="str">
        <f t="shared" si="239"/>
        <v>1.220.000,00</v>
      </c>
      <c r="P1245" s="8" t="str">
        <f t="shared" si="240"/>
        <v>Un Millón Doscientos Veinte Mil Bolívares con 00/100</v>
      </c>
      <c r="Q1245" s="403" t="str">
        <f t="shared" si="223"/>
        <v/>
      </c>
    </row>
    <row r="1246" spans="1:17" x14ac:dyDescent="0.25">
      <c r="A1246" s="390">
        <f t="shared" si="235"/>
        <v>1245</v>
      </c>
      <c r="C1246" s="12" t="s">
        <v>17</v>
      </c>
      <c r="D1246" s="2">
        <v>43291</v>
      </c>
      <c r="E1246" s="3">
        <v>1220000</v>
      </c>
      <c r="F1246" t="s">
        <v>439</v>
      </c>
      <c r="G1246" t="s">
        <v>440</v>
      </c>
      <c r="H1246" t="s">
        <v>441</v>
      </c>
      <c r="I1246" s="10" t="s">
        <v>769</v>
      </c>
      <c r="J1246" s="167" t="s">
        <v>746</v>
      </c>
      <c r="L1246" s="9" t="str">
        <f t="shared" si="236"/>
        <v>01245</v>
      </c>
      <c r="M1246" s="71" t="str">
        <f t="shared" si="237"/>
        <v>10 de julio de 2018</v>
      </c>
      <c r="N1246" s="39">
        <f t="shared" si="238"/>
        <v>43282</v>
      </c>
      <c r="O1246" s="9" t="str">
        <f t="shared" si="239"/>
        <v>1.220.000,00</v>
      </c>
      <c r="P1246" s="8" t="str">
        <f t="shared" si="240"/>
        <v>Un Millón Doscientos Veinte Mil Bolívares con 00/100</v>
      </c>
      <c r="Q1246" s="403" t="str">
        <f t="shared" si="223"/>
        <v/>
      </c>
    </row>
    <row r="1247" spans="1:17" x14ac:dyDescent="0.25">
      <c r="A1247" s="1">
        <f t="shared" si="235"/>
        <v>1246</v>
      </c>
      <c r="C1247" s="12" t="s">
        <v>17</v>
      </c>
      <c r="D1247" s="2">
        <v>43291</v>
      </c>
      <c r="E1247" s="3">
        <v>1220000</v>
      </c>
      <c r="F1247" t="s">
        <v>162</v>
      </c>
      <c r="G1247" t="s">
        <v>163</v>
      </c>
      <c r="H1247" t="s">
        <v>164</v>
      </c>
      <c r="I1247" s="10" t="s">
        <v>745</v>
      </c>
      <c r="J1247" s="167" t="s">
        <v>746</v>
      </c>
      <c r="L1247" s="9" t="str">
        <f t="shared" si="236"/>
        <v>01246</v>
      </c>
      <c r="M1247" s="71" t="str">
        <f t="shared" si="237"/>
        <v>10 de julio de 2018</v>
      </c>
      <c r="N1247" s="39">
        <f t="shared" si="238"/>
        <v>43282</v>
      </c>
      <c r="O1247" s="9" t="str">
        <f>TEXT(E1247,"#.##0,00")</f>
        <v>1.220.000,00</v>
      </c>
      <c r="P1247" s="8" t="str">
        <f>CONVERTIRNUM(E1247)</f>
        <v>Un Millón Doscientos Veinte Mil Bolívares con 00/100</v>
      </c>
      <c r="Q1247" s="403" t="str">
        <f t="shared" si="223"/>
        <v/>
      </c>
    </row>
    <row r="1248" spans="1:17" x14ac:dyDescent="0.25">
      <c r="A1248" s="1">
        <f t="shared" si="235"/>
        <v>1247</v>
      </c>
      <c r="C1248" s="12" t="s">
        <v>17</v>
      </c>
      <c r="D1248" s="2">
        <v>43291</v>
      </c>
      <c r="E1248" s="3">
        <v>1625000</v>
      </c>
      <c r="F1248" t="s">
        <v>264</v>
      </c>
      <c r="G1248" t="s">
        <v>265</v>
      </c>
      <c r="H1248" t="s">
        <v>266</v>
      </c>
      <c r="I1248" s="10" t="s">
        <v>770</v>
      </c>
      <c r="J1248" s="167" t="s">
        <v>22</v>
      </c>
      <c r="L1248" s="9" t="str">
        <f t="shared" si="236"/>
        <v>01247</v>
      </c>
      <c r="M1248" s="71" t="str">
        <f t="shared" si="237"/>
        <v>10 de julio de 2018</v>
      </c>
      <c r="N1248" s="39">
        <f t="shared" si="238"/>
        <v>43282</v>
      </c>
      <c r="O1248" s="9" t="str">
        <f t="shared" ref="O1248:O1250" si="241">TEXT(E1248,"#.##0,00")</f>
        <v>1.625.000,00</v>
      </c>
      <c r="P1248" s="8" t="str">
        <f t="shared" ref="P1248:P1250" si="242">CONVERTIRNUM(E1248)</f>
        <v>Un Millón Seiscientos Veinticinco Mil Bolívares con 00/100</v>
      </c>
      <c r="Q1248" s="403" t="str">
        <f t="shared" si="223"/>
        <v/>
      </c>
    </row>
    <row r="1249" spans="1:17" x14ac:dyDescent="0.25">
      <c r="A1249" s="1">
        <f t="shared" si="235"/>
        <v>1248</v>
      </c>
      <c r="C1249" s="12" t="s">
        <v>17</v>
      </c>
      <c r="D1249" s="2">
        <v>43291</v>
      </c>
      <c r="E1249" s="3">
        <v>1220000</v>
      </c>
      <c r="F1249" t="s">
        <v>107</v>
      </c>
      <c r="G1249" t="s">
        <v>108</v>
      </c>
      <c r="H1249" t="s">
        <v>109</v>
      </c>
      <c r="I1249" s="10" t="s">
        <v>745</v>
      </c>
      <c r="J1249" s="167" t="s">
        <v>746</v>
      </c>
      <c r="L1249" s="9" t="str">
        <f t="shared" si="236"/>
        <v>01248</v>
      </c>
      <c r="M1249" s="71" t="str">
        <f t="shared" si="237"/>
        <v>10 de julio de 2018</v>
      </c>
      <c r="N1249" s="39">
        <f t="shared" si="238"/>
        <v>43282</v>
      </c>
      <c r="O1249" s="9" t="str">
        <f t="shared" si="241"/>
        <v>1.220.000,00</v>
      </c>
      <c r="P1249" s="8" t="str">
        <f t="shared" si="242"/>
        <v>Un Millón Doscientos Veinte Mil Bolívares con 00/100</v>
      </c>
      <c r="Q1249" s="403" t="str">
        <f t="shared" si="223"/>
        <v/>
      </c>
    </row>
    <row r="1250" spans="1:17" x14ac:dyDescent="0.25">
      <c r="A1250" s="1">
        <f t="shared" si="235"/>
        <v>1249</v>
      </c>
      <c r="C1250" s="12" t="s">
        <v>17</v>
      </c>
      <c r="D1250" s="2">
        <v>43291</v>
      </c>
      <c r="E1250" s="3">
        <f>835000+165000</f>
        <v>1000000</v>
      </c>
      <c r="F1250" t="s">
        <v>36</v>
      </c>
      <c r="G1250" t="s">
        <v>37</v>
      </c>
      <c r="H1250" t="s">
        <v>38</v>
      </c>
      <c r="I1250" s="10" t="s">
        <v>751</v>
      </c>
      <c r="J1250" s="167" t="s">
        <v>22</v>
      </c>
      <c r="L1250" s="9" t="str">
        <f t="shared" si="236"/>
        <v>01249</v>
      </c>
      <c r="M1250" s="71" t="str">
        <f t="shared" si="237"/>
        <v>10 de julio de 2018</v>
      </c>
      <c r="N1250" s="39">
        <f t="shared" si="238"/>
        <v>43282</v>
      </c>
      <c r="O1250" s="9" t="str">
        <f t="shared" si="241"/>
        <v>1.000.000,00</v>
      </c>
      <c r="P1250" s="8" t="str">
        <f t="shared" si="242"/>
        <v>Un Millón Bolívares con 00/100</v>
      </c>
      <c r="Q1250" s="403" t="str">
        <f t="shared" si="223"/>
        <v/>
      </c>
    </row>
    <row r="1251" spans="1:17" x14ac:dyDescent="0.25">
      <c r="A1251" s="1">
        <f t="shared" si="235"/>
        <v>1250</v>
      </c>
      <c r="C1251" s="12" t="s">
        <v>17</v>
      </c>
      <c r="D1251" s="2">
        <v>43291</v>
      </c>
      <c r="E1251" s="3">
        <v>1220000</v>
      </c>
      <c r="F1251" t="s">
        <v>36</v>
      </c>
      <c r="G1251" t="s">
        <v>37</v>
      </c>
      <c r="H1251" t="s">
        <v>38</v>
      </c>
      <c r="I1251" s="10" t="s">
        <v>745</v>
      </c>
      <c r="J1251" s="167" t="s">
        <v>746</v>
      </c>
      <c r="L1251" s="9" t="str">
        <f t="shared" ref="L1251:L1259" si="243">IF(ISBLANK(A1251),"",TEXT(A1251,"00000"))</f>
        <v>01250</v>
      </c>
      <c r="M1251" s="71" t="str">
        <f t="shared" ref="M1251:M1259" si="244">IF(ISBLANK(D1251),"",TEXT(D1251,"dd")&amp;" de "&amp;TEXT(D1251,"mmmm")&amp;" de "&amp;TEXT(YEAR(D1251),"0"))</f>
        <v>10 de julio de 2018</v>
      </c>
      <c r="N1251" s="39">
        <f t="shared" ref="N1251:N1259" si="245">DATE(YEAR(D1251),MONTH(D1251),1)</f>
        <v>43282</v>
      </c>
      <c r="O1251" s="9" t="str">
        <f t="shared" ref="O1251:O1259" si="246">TEXT(E1251,"#.##0,00")</f>
        <v>1.220.000,00</v>
      </c>
      <c r="P1251" s="8" t="str">
        <f t="shared" ref="P1251:P1259" si="247">CONVERTIRNUM(E1251)</f>
        <v>Un Millón Doscientos Veinte Mil Bolívares con 00/100</v>
      </c>
      <c r="Q1251" s="403" t="str">
        <f t="shared" si="223"/>
        <v/>
      </c>
    </row>
    <row r="1252" spans="1:17" x14ac:dyDescent="0.25">
      <c r="A1252" s="1">
        <f t="shared" si="235"/>
        <v>1251</v>
      </c>
      <c r="C1252" s="12" t="s">
        <v>17</v>
      </c>
      <c r="D1252" s="2">
        <v>43291</v>
      </c>
      <c r="E1252" s="3">
        <v>150000</v>
      </c>
      <c r="F1252" t="s">
        <v>201</v>
      </c>
      <c r="G1252" t="s">
        <v>202</v>
      </c>
      <c r="H1252" t="s">
        <v>203</v>
      </c>
      <c r="I1252" s="10" t="s">
        <v>755</v>
      </c>
      <c r="J1252" s="167" t="s">
        <v>22</v>
      </c>
      <c r="L1252" s="9" t="str">
        <f t="shared" si="243"/>
        <v>01251</v>
      </c>
      <c r="M1252" s="71" t="str">
        <f t="shared" si="244"/>
        <v>10 de julio de 2018</v>
      </c>
      <c r="N1252" s="39">
        <f t="shared" si="245"/>
        <v>43282</v>
      </c>
      <c r="O1252" s="9" t="str">
        <f t="shared" si="246"/>
        <v>150.000,00</v>
      </c>
      <c r="P1252" s="8" t="str">
        <f t="shared" si="247"/>
        <v>Ciento Cincuenta Mil Bolívares con 00/100</v>
      </c>
      <c r="Q1252" s="403" t="str">
        <f t="shared" si="223"/>
        <v/>
      </c>
    </row>
    <row r="1253" spans="1:17" x14ac:dyDescent="0.25">
      <c r="A1253" s="1">
        <f t="shared" si="235"/>
        <v>1252</v>
      </c>
      <c r="C1253" s="12" t="s">
        <v>17</v>
      </c>
      <c r="D1253" s="2">
        <v>43291</v>
      </c>
      <c r="E1253" s="3">
        <v>1150000</v>
      </c>
      <c r="F1253" t="s">
        <v>594</v>
      </c>
      <c r="G1253" t="s">
        <v>595</v>
      </c>
      <c r="H1253" t="s">
        <v>596</v>
      </c>
      <c r="I1253" s="10" t="s">
        <v>771</v>
      </c>
      <c r="J1253" s="167" t="s">
        <v>22</v>
      </c>
      <c r="L1253" s="9" t="str">
        <f t="shared" si="243"/>
        <v>01252</v>
      </c>
      <c r="M1253" s="71" t="str">
        <f t="shared" si="244"/>
        <v>10 de julio de 2018</v>
      </c>
      <c r="N1253" s="39">
        <f t="shared" si="245"/>
        <v>43282</v>
      </c>
      <c r="O1253" s="9" t="str">
        <f t="shared" si="246"/>
        <v>1.150.000,00</v>
      </c>
      <c r="P1253" s="8" t="str">
        <f t="shared" si="247"/>
        <v>Un Millón Ciento Cincuenta Mil Bolívares con 00/100</v>
      </c>
      <c r="Q1253" s="403" t="str">
        <f t="shared" si="223"/>
        <v/>
      </c>
    </row>
    <row r="1254" spans="1:17" x14ac:dyDescent="0.25">
      <c r="A1254" s="1">
        <f t="shared" si="235"/>
        <v>1253</v>
      </c>
      <c r="C1254" s="12" t="s">
        <v>17</v>
      </c>
      <c r="D1254" s="2">
        <v>43291</v>
      </c>
      <c r="E1254" s="3">
        <v>1220000</v>
      </c>
      <c r="F1254" t="s">
        <v>24</v>
      </c>
      <c r="G1254" t="s">
        <v>25</v>
      </c>
      <c r="H1254" t="s">
        <v>26</v>
      </c>
      <c r="I1254" s="10" t="s">
        <v>745</v>
      </c>
      <c r="J1254" s="167" t="s">
        <v>746</v>
      </c>
      <c r="L1254" s="9" t="str">
        <f t="shared" si="243"/>
        <v>01253</v>
      </c>
      <c r="M1254" s="71" t="str">
        <f t="shared" si="244"/>
        <v>10 de julio de 2018</v>
      </c>
      <c r="N1254" s="39">
        <f t="shared" si="245"/>
        <v>43282</v>
      </c>
      <c r="O1254" s="9" t="str">
        <f t="shared" si="246"/>
        <v>1.220.000,00</v>
      </c>
      <c r="P1254" s="8" t="str">
        <f t="shared" si="247"/>
        <v>Un Millón Doscientos Veinte Mil Bolívares con 00/100</v>
      </c>
      <c r="Q1254" s="403" t="str">
        <f t="shared" si="223"/>
        <v/>
      </c>
    </row>
    <row r="1255" spans="1:17" x14ac:dyDescent="0.25">
      <c r="A1255" s="1">
        <f t="shared" si="235"/>
        <v>1254</v>
      </c>
      <c r="C1255" s="12" t="s">
        <v>17</v>
      </c>
      <c r="D1255" s="2">
        <v>43291</v>
      </c>
      <c r="E1255" s="3">
        <v>1220000</v>
      </c>
      <c r="F1255" t="s">
        <v>444</v>
      </c>
      <c r="G1255" t="s">
        <v>445</v>
      </c>
      <c r="H1255" t="s">
        <v>75</v>
      </c>
      <c r="I1255" s="10" t="s">
        <v>745</v>
      </c>
      <c r="J1255" s="167" t="s">
        <v>746</v>
      </c>
      <c r="L1255" s="9" t="str">
        <f t="shared" si="243"/>
        <v>01254</v>
      </c>
      <c r="M1255" s="71" t="str">
        <f t="shared" si="244"/>
        <v>10 de julio de 2018</v>
      </c>
      <c r="N1255" s="39">
        <f t="shared" si="245"/>
        <v>43282</v>
      </c>
      <c r="O1255" s="9" t="str">
        <f t="shared" si="246"/>
        <v>1.220.000,00</v>
      </c>
      <c r="P1255" s="8" t="str">
        <f t="shared" si="247"/>
        <v>Un Millón Doscientos Veinte Mil Bolívares con 00/100</v>
      </c>
      <c r="Q1255" s="403" t="str">
        <f t="shared" si="223"/>
        <v/>
      </c>
    </row>
    <row r="1256" spans="1:17" ht="15.75" thickBot="1" x14ac:dyDescent="0.3">
      <c r="A1256" s="1">
        <f t="shared" si="235"/>
        <v>1255</v>
      </c>
      <c r="C1256" s="12" t="s">
        <v>17</v>
      </c>
      <c r="D1256" s="2">
        <v>43291</v>
      </c>
      <c r="E1256" s="3">
        <f>2250000-1220000</f>
        <v>1030000</v>
      </c>
      <c r="F1256" t="s">
        <v>444</v>
      </c>
      <c r="G1256" t="s">
        <v>445</v>
      </c>
      <c r="H1256" t="s">
        <v>75</v>
      </c>
      <c r="I1256" s="10" t="s">
        <v>772</v>
      </c>
      <c r="J1256" s="167" t="s">
        <v>22</v>
      </c>
      <c r="L1256" s="9" t="str">
        <f t="shared" si="243"/>
        <v>01255</v>
      </c>
      <c r="M1256" s="71" t="str">
        <f t="shared" si="244"/>
        <v>10 de julio de 2018</v>
      </c>
      <c r="N1256" s="39">
        <f t="shared" si="245"/>
        <v>43282</v>
      </c>
      <c r="O1256" s="9" t="str">
        <f t="shared" si="246"/>
        <v>1.030.000,00</v>
      </c>
      <c r="P1256" s="8" t="str">
        <f t="shared" si="247"/>
        <v>Un Millón Treinta Mil Bolívares con 00/100</v>
      </c>
      <c r="Q1256" s="403" t="str">
        <f t="shared" si="223"/>
        <v/>
      </c>
    </row>
    <row r="1257" spans="1:17" ht="15.75" thickBot="1" x14ac:dyDescent="0.3">
      <c r="A1257" s="1">
        <f t="shared" si="235"/>
        <v>1256</v>
      </c>
      <c r="C1257" s="12" t="s">
        <v>17</v>
      </c>
      <c r="D1257" s="2">
        <v>43292</v>
      </c>
      <c r="E1257" s="3">
        <v>1220000</v>
      </c>
      <c r="F1257" s="31" t="s">
        <v>57</v>
      </c>
      <c r="G1257" s="27" t="s">
        <v>58</v>
      </c>
      <c r="H1257" s="32" t="s">
        <v>59</v>
      </c>
      <c r="I1257" s="10" t="s">
        <v>745</v>
      </c>
      <c r="J1257" s="167" t="s">
        <v>746</v>
      </c>
      <c r="K1257" s="33"/>
      <c r="L1257" s="9" t="str">
        <f t="shared" si="243"/>
        <v>01256</v>
      </c>
      <c r="M1257" s="71" t="str">
        <f t="shared" si="244"/>
        <v>11 de julio de 2018</v>
      </c>
      <c r="N1257" s="39">
        <f t="shared" si="245"/>
        <v>43282</v>
      </c>
      <c r="O1257" s="9" t="str">
        <f t="shared" si="246"/>
        <v>1.220.000,00</v>
      </c>
      <c r="P1257" s="8" t="str">
        <f t="shared" si="247"/>
        <v>Un Millón Doscientos Veinte Mil Bolívares con 00/100</v>
      </c>
      <c r="Q1257" s="403" t="str">
        <f t="shared" si="223"/>
        <v/>
      </c>
    </row>
    <row r="1258" spans="1:17" x14ac:dyDescent="0.25">
      <c r="A1258" s="1">
        <f t="shared" si="235"/>
        <v>1257</v>
      </c>
      <c r="C1258" s="12" t="s">
        <v>17</v>
      </c>
      <c r="D1258" s="2">
        <v>43292</v>
      </c>
      <c r="E1258" s="3">
        <v>150000</v>
      </c>
      <c r="F1258" t="s">
        <v>714</v>
      </c>
      <c r="G1258" t="s">
        <v>715</v>
      </c>
      <c r="H1258" t="s">
        <v>154</v>
      </c>
      <c r="I1258" s="10" t="s">
        <v>755</v>
      </c>
      <c r="J1258" s="167" t="s">
        <v>22</v>
      </c>
      <c r="L1258" s="9" t="str">
        <f t="shared" si="243"/>
        <v>01257</v>
      </c>
      <c r="M1258" s="71" t="str">
        <f t="shared" si="244"/>
        <v>11 de julio de 2018</v>
      </c>
      <c r="N1258" s="39">
        <f t="shared" si="245"/>
        <v>43282</v>
      </c>
      <c r="O1258" s="9" t="str">
        <f t="shared" si="246"/>
        <v>150.000,00</v>
      </c>
      <c r="P1258" s="8" t="str">
        <f t="shared" si="247"/>
        <v>Ciento Cincuenta Mil Bolívares con 00/100</v>
      </c>
      <c r="Q1258" s="403" t="str">
        <f t="shared" si="223"/>
        <v/>
      </c>
    </row>
    <row r="1259" spans="1:17" x14ac:dyDescent="0.25">
      <c r="A1259" s="1">
        <f t="shared" si="235"/>
        <v>1258</v>
      </c>
      <c r="C1259" s="12" t="s">
        <v>17</v>
      </c>
      <c r="D1259" s="2">
        <v>43292</v>
      </c>
      <c r="E1259" s="3">
        <v>1625000</v>
      </c>
      <c r="F1259" t="s">
        <v>122</v>
      </c>
      <c r="G1259" t="s">
        <v>123</v>
      </c>
      <c r="H1259" t="s">
        <v>124</v>
      </c>
      <c r="I1259" s="10" t="s">
        <v>723</v>
      </c>
      <c r="J1259" s="167" t="s">
        <v>22</v>
      </c>
      <c r="L1259" s="9" t="str">
        <f t="shared" si="243"/>
        <v>01258</v>
      </c>
      <c r="M1259" s="71" t="str">
        <f t="shared" si="244"/>
        <v>11 de julio de 2018</v>
      </c>
      <c r="N1259" s="39">
        <f t="shared" si="245"/>
        <v>43282</v>
      </c>
      <c r="O1259" s="9" t="str">
        <f t="shared" si="246"/>
        <v>1.625.000,00</v>
      </c>
      <c r="P1259" s="8" t="str">
        <f t="shared" si="247"/>
        <v>Un Millón Seiscientos Veinticinco Mil Bolívares con 00/100</v>
      </c>
      <c r="Q1259" s="403" t="str">
        <f t="shared" si="223"/>
        <v/>
      </c>
    </row>
    <row r="1260" spans="1:17" x14ac:dyDescent="0.25">
      <c r="A1260" s="1">
        <f t="shared" si="235"/>
        <v>1259</v>
      </c>
      <c r="C1260" s="12" t="s">
        <v>17</v>
      </c>
      <c r="D1260" s="2">
        <v>43292</v>
      </c>
      <c r="E1260" s="3">
        <v>195000</v>
      </c>
      <c r="F1260" t="s">
        <v>444</v>
      </c>
      <c r="G1260" t="s">
        <v>445</v>
      </c>
      <c r="H1260" t="s">
        <v>75</v>
      </c>
      <c r="I1260" s="10" t="s">
        <v>755</v>
      </c>
      <c r="J1260" s="167" t="s">
        <v>22</v>
      </c>
      <c r="L1260" s="9" t="str">
        <f t="shared" ref="L1260:L1270" si="248">IF(ISBLANK(A1260),"",TEXT(A1260,"00000"))</f>
        <v>01259</v>
      </c>
      <c r="M1260" s="71" t="str">
        <f t="shared" ref="M1260:M1270" si="249">IF(ISBLANK(D1260),"",TEXT(D1260,"dd")&amp;" de "&amp;TEXT(D1260,"mmmm")&amp;" de "&amp;TEXT(YEAR(D1260),"0"))</f>
        <v>11 de julio de 2018</v>
      </c>
      <c r="N1260" s="39">
        <f t="shared" ref="N1260:N1270" si="250">DATE(YEAR(D1260),MONTH(D1260),1)</f>
        <v>43282</v>
      </c>
      <c r="O1260" s="9" t="str">
        <f t="shared" ref="O1260:O1270" si="251">TEXT(E1260,"#.##0,00")</f>
        <v>195.000,00</v>
      </c>
      <c r="P1260" s="8" t="str">
        <f t="shared" ref="P1260:P1263" si="252">CONVERTIRNUM(E1260)</f>
        <v>Ciento Noventa y Cinco Mil Bolívares con 00/100</v>
      </c>
      <c r="Q1260" s="403" t="str">
        <f t="shared" si="223"/>
        <v/>
      </c>
    </row>
    <row r="1261" spans="1:17" x14ac:dyDescent="0.25">
      <c r="A1261" s="1">
        <f t="shared" si="235"/>
        <v>1260</v>
      </c>
      <c r="C1261" s="12" t="s">
        <v>17</v>
      </c>
      <c r="D1261" s="2">
        <v>43293</v>
      </c>
      <c r="E1261" s="3">
        <f>835000+165000</f>
        <v>1000000</v>
      </c>
      <c r="F1261" t="s">
        <v>773</v>
      </c>
      <c r="G1261" t="s">
        <v>774</v>
      </c>
      <c r="H1261" t="s">
        <v>775</v>
      </c>
      <c r="I1261" s="10" t="s">
        <v>751</v>
      </c>
      <c r="J1261" s="167" t="s">
        <v>22</v>
      </c>
      <c r="L1261" s="9" t="str">
        <f t="shared" si="248"/>
        <v>01260</v>
      </c>
      <c r="M1261" s="71" t="str">
        <f t="shared" si="249"/>
        <v>12 de julio de 2018</v>
      </c>
      <c r="N1261" s="39">
        <f t="shared" si="250"/>
        <v>43282</v>
      </c>
      <c r="O1261" s="9" t="str">
        <f t="shared" si="251"/>
        <v>1.000.000,00</v>
      </c>
      <c r="P1261" s="8" t="str">
        <f t="shared" si="252"/>
        <v>Un Millón Bolívares con 00/100</v>
      </c>
      <c r="Q1261" s="403" t="str">
        <f t="shared" si="223"/>
        <v/>
      </c>
    </row>
    <row r="1262" spans="1:17" x14ac:dyDescent="0.25">
      <c r="A1262" s="1">
        <f t="shared" si="235"/>
        <v>1261</v>
      </c>
      <c r="C1262" s="12" t="s">
        <v>17</v>
      </c>
      <c r="D1262" s="2">
        <v>43293</v>
      </c>
      <c r="E1262" s="3">
        <v>1220000</v>
      </c>
      <c r="F1262" t="s">
        <v>773</v>
      </c>
      <c r="G1262" t="s">
        <v>774</v>
      </c>
      <c r="H1262" t="s">
        <v>775</v>
      </c>
      <c r="I1262" s="10" t="s">
        <v>745</v>
      </c>
      <c r="J1262" s="167" t="s">
        <v>746</v>
      </c>
      <c r="L1262" s="9" t="str">
        <f t="shared" si="248"/>
        <v>01261</v>
      </c>
      <c r="M1262" s="71" t="str">
        <f t="shared" si="249"/>
        <v>12 de julio de 2018</v>
      </c>
      <c r="N1262" s="39">
        <f t="shared" si="250"/>
        <v>43282</v>
      </c>
      <c r="O1262" s="9" t="str">
        <f t="shared" si="251"/>
        <v>1.220.000,00</v>
      </c>
      <c r="P1262" s="8" t="str">
        <f t="shared" si="252"/>
        <v>Un Millón Doscientos Veinte Mil Bolívares con 00/100</v>
      </c>
      <c r="Q1262" s="403" t="str">
        <f t="shared" si="223"/>
        <v/>
      </c>
    </row>
    <row r="1263" spans="1:17" x14ac:dyDescent="0.25">
      <c r="A1263" s="1">
        <f t="shared" si="235"/>
        <v>1262</v>
      </c>
      <c r="C1263" s="12" t="s">
        <v>17</v>
      </c>
      <c r="D1263" s="2">
        <v>43293</v>
      </c>
      <c r="E1263" s="3">
        <v>1075000</v>
      </c>
      <c r="F1263" t="s">
        <v>211</v>
      </c>
      <c r="G1263" t="s">
        <v>212</v>
      </c>
      <c r="H1263" t="s">
        <v>213</v>
      </c>
      <c r="I1263" s="10" t="s">
        <v>776</v>
      </c>
      <c r="J1263" s="167" t="s">
        <v>22</v>
      </c>
      <c r="L1263" s="9" t="str">
        <f t="shared" si="248"/>
        <v>01262</v>
      </c>
      <c r="M1263" s="71" t="str">
        <f t="shared" si="249"/>
        <v>12 de julio de 2018</v>
      </c>
      <c r="N1263" s="39">
        <f t="shared" si="250"/>
        <v>43282</v>
      </c>
      <c r="O1263" s="9" t="str">
        <f t="shared" si="251"/>
        <v>1.075.000,00</v>
      </c>
      <c r="P1263" s="8" t="str">
        <f t="shared" si="252"/>
        <v>Un Millón Setenta y Cinco Mil Bolívares con 00/100</v>
      </c>
      <c r="Q1263" s="403" t="str">
        <f t="shared" si="223"/>
        <v/>
      </c>
    </row>
    <row r="1264" spans="1:17" x14ac:dyDescent="0.25">
      <c r="A1264" s="1">
        <f t="shared" si="235"/>
        <v>1263</v>
      </c>
      <c r="C1264" s="12" t="s">
        <v>17</v>
      </c>
      <c r="D1264" s="2">
        <v>43293</v>
      </c>
      <c r="E1264" s="3">
        <v>225000</v>
      </c>
      <c r="F1264" t="s">
        <v>408</v>
      </c>
      <c r="G1264" t="s">
        <v>409</v>
      </c>
      <c r="H1264" t="s">
        <v>410</v>
      </c>
      <c r="I1264" s="10" t="s">
        <v>763</v>
      </c>
      <c r="J1264" s="167" t="s">
        <v>22</v>
      </c>
      <c r="L1264" s="9" t="str">
        <f t="shared" si="248"/>
        <v>01263</v>
      </c>
      <c r="M1264" s="71" t="str">
        <f t="shared" si="249"/>
        <v>12 de julio de 2018</v>
      </c>
      <c r="N1264" s="39">
        <f t="shared" si="250"/>
        <v>43282</v>
      </c>
      <c r="O1264" s="9" t="str">
        <f t="shared" si="251"/>
        <v>225.000,00</v>
      </c>
      <c r="P1264" s="8" t="str">
        <f>CONVERTIRNUM(E1264)</f>
        <v>Doscientos Veinticinco Mil Bolívares con 00/100</v>
      </c>
      <c r="Q1264" s="403" t="str">
        <f t="shared" si="223"/>
        <v/>
      </c>
    </row>
    <row r="1265" spans="1:17" x14ac:dyDescent="0.25">
      <c r="A1265" s="1">
        <f t="shared" si="235"/>
        <v>1264</v>
      </c>
      <c r="C1265" s="12" t="s">
        <v>17</v>
      </c>
      <c r="D1265" s="2">
        <v>43293</v>
      </c>
      <c r="E1265" s="3">
        <v>625000</v>
      </c>
      <c r="F1265" t="s">
        <v>94</v>
      </c>
      <c r="G1265" t="s">
        <v>607</v>
      </c>
      <c r="H1265" t="s">
        <v>96</v>
      </c>
      <c r="I1265" s="10" t="s">
        <v>707</v>
      </c>
      <c r="J1265" s="167" t="s">
        <v>22</v>
      </c>
      <c r="L1265" s="9" t="str">
        <f t="shared" si="248"/>
        <v>01264</v>
      </c>
      <c r="M1265" s="71" t="str">
        <f t="shared" si="249"/>
        <v>12 de julio de 2018</v>
      </c>
      <c r="N1265" s="39">
        <f t="shared" si="250"/>
        <v>43282</v>
      </c>
      <c r="O1265" s="9" t="str">
        <f t="shared" si="251"/>
        <v>625.000,00</v>
      </c>
      <c r="P1265" s="8" t="str">
        <f t="shared" ref="P1265:P1270" si="253">CONVERTIRNUM(E1265)</f>
        <v>Seiscientos Veinticinco Mil Bolívares con 00/100</v>
      </c>
      <c r="Q1265" s="403" t="str">
        <f t="shared" si="223"/>
        <v/>
      </c>
    </row>
    <row r="1266" spans="1:17" x14ac:dyDescent="0.25">
      <c r="A1266" s="1">
        <f t="shared" si="235"/>
        <v>1265</v>
      </c>
      <c r="C1266" s="12" t="s">
        <v>17</v>
      </c>
      <c r="D1266" s="2">
        <v>43293</v>
      </c>
      <c r="E1266" s="3">
        <f>2845000-1220000</f>
        <v>1625000</v>
      </c>
      <c r="F1266" t="s">
        <v>287</v>
      </c>
      <c r="G1266" t="s">
        <v>288</v>
      </c>
      <c r="H1266" t="s">
        <v>289</v>
      </c>
      <c r="I1266" s="10" t="s">
        <v>723</v>
      </c>
      <c r="J1266" s="167" t="s">
        <v>22</v>
      </c>
      <c r="L1266" s="9" t="str">
        <f t="shared" si="248"/>
        <v>01265</v>
      </c>
      <c r="M1266" s="71" t="str">
        <f t="shared" si="249"/>
        <v>12 de julio de 2018</v>
      </c>
      <c r="N1266" s="39">
        <f t="shared" si="250"/>
        <v>43282</v>
      </c>
      <c r="O1266" s="9" t="str">
        <f t="shared" si="251"/>
        <v>1.625.000,00</v>
      </c>
      <c r="P1266" s="8" t="str">
        <f t="shared" si="253"/>
        <v>Un Millón Seiscientos Veinticinco Mil Bolívares con 00/100</v>
      </c>
      <c r="Q1266" s="403" t="str">
        <f t="shared" si="223"/>
        <v/>
      </c>
    </row>
    <row r="1267" spans="1:17" x14ac:dyDescent="0.25">
      <c r="A1267" s="1">
        <f t="shared" si="235"/>
        <v>1266</v>
      </c>
      <c r="C1267" s="12" t="s">
        <v>17</v>
      </c>
      <c r="D1267" s="2">
        <v>43293</v>
      </c>
      <c r="E1267" s="3">
        <v>1220000</v>
      </c>
      <c r="F1267" t="s">
        <v>287</v>
      </c>
      <c r="G1267" t="s">
        <v>288</v>
      </c>
      <c r="H1267" t="s">
        <v>289</v>
      </c>
      <c r="I1267" s="10" t="s">
        <v>745</v>
      </c>
      <c r="J1267" s="167" t="s">
        <v>746</v>
      </c>
      <c r="L1267" s="9" t="str">
        <f t="shared" si="248"/>
        <v>01266</v>
      </c>
      <c r="M1267" s="71" t="str">
        <f t="shared" si="249"/>
        <v>12 de julio de 2018</v>
      </c>
      <c r="N1267" s="39">
        <f t="shared" si="250"/>
        <v>43282</v>
      </c>
      <c r="O1267" s="9" t="str">
        <f t="shared" si="251"/>
        <v>1.220.000,00</v>
      </c>
      <c r="P1267" s="8" t="str">
        <f t="shared" si="253"/>
        <v>Un Millón Doscientos Veinte Mil Bolívares con 00/100</v>
      </c>
      <c r="Q1267" s="403" t="str">
        <f t="shared" si="223"/>
        <v/>
      </c>
    </row>
    <row r="1268" spans="1:17" x14ac:dyDescent="0.25">
      <c r="A1268" s="1">
        <f t="shared" si="235"/>
        <v>1267</v>
      </c>
      <c r="C1268" s="12" t="s">
        <v>17</v>
      </c>
      <c r="D1268" s="2">
        <v>43293</v>
      </c>
      <c r="E1268" s="3">
        <v>2000000</v>
      </c>
      <c r="F1268" t="s">
        <v>230</v>
      </c>
      <c r="G1268" t="s">
        <v>231</v>
      </c>
      <c r="H1268" t="s">
        <v>232</v>
      </c>
      <c r="I1268" s="10" t="s">
        <v>723</v>
      </c>
      <c r="J1268" s="167" t="s">
        <v>22</v>
      </c>
      <c r="L1268" s="9" t="str">
        <f t="shared" si="248"/>
        <v>01267</v>
      </c>
      <c r="M1268" s="71" t="str">
        <f t="shared" si="249"/>
        <v>12 de julio de 2018</v>
      </c>
      <c r="N1268" s="39">
        <f t="shared" si="250"/>
        <v>43282</v>
      </c>
      <c r="O1268" s="9" t="str">
        <f t="shared" si="251"/>
        <v>2.000.000,00</v>
      </c>
      <c r="P1268" s="8" t="str">
        <f t="shared" si="253"/>
        <v>Dos Millones Bolívares con 00/100</v>
      </c>
      <c r="Q1268" s="403" t="str">
        <f t="shared" si="223"/>
        <v/>
      </c>
    </row>
    <row r="1269" spans="1:17" x14ac:dyDescent="0.25">
      <c r="A1269" s="1">
        <f t="shared" si="235"/>
        <v>1268</v>
      </c>
      <c r="C1269" s="12" t="s">
        <v>17</v>
      </c>
      <c r="D1269" s="2">
        <v>43293</v>
      </c>
      <c r="E1269" s="3">
        <v>1500000</v>
      </c>
      <c r="F1269" t="s">
        <v>230</v>
      </c>
      <c r="G1269" t="s">
        <v>231</v>
      </c>
      <c r="H1269" t="s">
        <v>232</v>
      </c>
      <c r="I1269" s="10" t="s">
        <v>745</v>
      </c>
      <c r="J1269" s="167" t="s">
        <v>746</v>
      </c>
      <c r="L1269" s="9" t="str">
        <f t="shared" si="248"/>
        <v>01268</v>
      </c>
      <c r="M1269" s="71" t="str">
        <f t="shared" si="249"/>
        <v>12 de julio de 2018</v>
      </c>
      <c r="N1269" s="39">
        <f t="shared" si="250"/>
        <v>43282</v>
      </c>
      <c r="O1269" s="9" t="str">
        <f t="shared" si="251"/>
        <v>1.500.000,00</v>
      </c>
      <c r="P1269" s="8" t="str">
        <f t="shared" si="253"/>
        <v>Un Millón Quinientos Mil Bolívares con 00/100</v>
      </c>
      <c r="Q1269" s="403" t="str">
        <f t="shared" si="223"/>
        <v/>
      </c>
    </row>
    <row r="1270" spans="1:17" x14ac:dyDescent="0.25">
      <c r="A1270" s="1">
        <f t="shared" si="235"/>
        <v>1269</v>
      </c>
      <c r="C1270" s="12" t="s">
        <v>17</v>
      </c>
      <c r="D1270" s="2">
        <v>43293</v>
      </c>
      <c r="E1270" s="3">
        <v>1300000</v>
      </c>
      <c r="F1270" t="s">
        <v>80</v>
      </c>
      <c r="G1270" t="s">
        <v>81</v>
      </c>
      <c r="H1270" t="s">
        <v>82</v>
      </c>
      <c r="I1270" s="10" t="s">
        <v>745</v>
      </c>
      <c r="J1270" s="167" t="s">
        <v>746</v>
      </c>
      <c r="L1270" s="9" t="str">
        <f t="shared" si="248"/>
        <v>01269</v>
      </c>
      <c r="M1270" s="71" t="str">
        <f t="shared" si="249"/>
        <v>12 de julio de 2018</v>
      </c>
      <c r="N1270" s="39">
        <f t="shared" si="250"/>
        <v>43282</v>
      </c>
      <c r="O1270" s="9" t="str">
        <f t="shared" si="251"/>
        <v>1.300.000,00</v>
      </c>
      <c r="P1270" s="8" t="str">
        <f t="shared" si="253"/>
        <v>Un Millón Trescientos Mil Bolívares con 00/100</v>
      </c>
      <c r="Q1270" s="403" t="str">
        <f t="shared" si="223"/>
        <v/>
      </c>
    </row>
    <row r="1271" spans="1:17" x14ac:dyDescent="0.25">
      <c r="A1271" s="1">
        <f t="shared" si="235"/>
        <v>1270</v>
      </c>
      <c r="C1271" s="12" t="s">
        <v>17</v>
      </c>
      <c r="D1271" s="2">
        <v>43293</v>
      </c>
      <c r="E1271" s="3">
        <v>1220000</v>
      </c>
      <c r="F1271" t="s">
        <v>408</v>
      </c>
      <c r="G1271" t="s">
        <v>409</v>
      </c>
      <c r="H1271" t="s">
        <v>410</v>
      </c>
      <c r="I1271" s="10" t="s">
        <v>745</v>
      </c>
      <c r="J1271" s="167" t="s">
        <v>746</v>
      </c>
      <c r="L1271" s="9" t="str">
        <f t="shared" ref="L1271:L1276" si="254">IF(ISBLANK(A1271),"",TEXT(A1271,"00000"))</f>
        <v>01270</v>
      </c>
      <c r="M1271" s="71" t="str">
        <f t="shared" ref="M1271:M1276" si="255">IF(ISBLANK(D1271),"",TEXT(D1271,"dd")&amp;" de "&amp;TEXT(D1271,"mmmm")&amp;" de "&amp;TEXT(YEAR(D1271),"0"))</f>
        <v>12 de julio de 2018</v>
      </c>
      <c r="N1271" s="39">
        <f t="shared" ref="N1271:N1276" si="256">DATE(YEAR(D1271),MONTH(D1271),1)</f>
        <v>43282</v>
      </c>
      <c r="O1271" s="9" t="str">
        <f t="shared" ref="O1271:O1276" si="257">TEXT(E1271,"#.##0,00")</f>
        <v>1.220.000,00</v>
      </c>
      <c r="P1271" s="8" t="str">
        <f>CONVERTIRNUM(E1271)</f>
        <v>Un Millón Doscientos Veinte Mil Bolívares con 00/100</v>
      </c>
      <c r="Q1271" s="403" t="str">
        <f t="shared" si="223"/>
        <v/>
      </c>
    </row>
    <row r="1272" spans="1:17" x14ac:dyDescent="0.25">
      <c r="A1272" s="1">
        <f t="shared" si="235"/>
        <v>1271</v>
      </c>
      <c r="C1272" s="12" t="s">
        <v>17</v>
      </c>
      <c r="D1272" s="2">
        <v>43293</v>
      </c>
      <c r="E1272" s="3">
        <v>1220000</v>
      </c>
      <c r="F1272" t="s">
        <v>594</v>
      </c>
      <c r="G1272" t="s">
        <v>595</v>
      </c>
      <c r="H1272" t="s">
        <v>596</v>
      </c>
      <c r="I1272" s="10" t="s">
        <v>745</v>
      </c>
      <c r="J1272" s="167" t="s">
        <v>746</v>
      </c>
      <c r="L1272" s="9" t="str">
        <f t="shared" si="254"/>
        <v>01271</v>
      </c>
      <c r="M1272" s="71" t="str">
        <f t="shared" si="255"/>
        <v>12 de julio de 2018</v>
      </c>
      <c r="N1272" s="39">
        <f t="shared" si="256"/>
        <v>43282</v>
      </c>
      <c r="O1272" s="9" t="str">
        <f t="shared" si="257"/>
        <v>1.220.000,00</v>
      </c>
      <c r="P1272" s="8" t="str">
        <f t="shared" ref="P1272:P1276" si="258">CONVERTIRNUM(E1272)</f>
        <v>Un Millón Doscientos Veinte Mil Bolívares con 00/100</v>
      </c>
      <c r="Q1272" s="403" t="str">
        <f t="shared" si="223"/>
        <v/>
      </c>
    </row>
    <row r="1273" spans="1:17" x14ac:dyDescent="0.25">
      <c r="A1273" s="1">
        <f t="shared" si="235"/>
        <v>1272</v>
      </c>
      <c r="C1273" s="12" t="s">
        <v>17</v>
      </c>
      <c r="D1273" s="2">
        <v>43293</v>
      </c>
      <c r="E1273" s="3">
        <v>1220000</v>
      </c>
      <c r="F1273" t="s">
        <v>612</v>
      </c>
      <c r="G1273" t="s">
        <v>613</v>
      </c>
      <c r="H1273" t="s">
        <v>614</v>
      </c>
      <c r="I1273" s="10" t="s">
        <v>777</v>
      </c>
      <c r="J1273" s="167" t="s">
        <v>746</v>
      </c>
      <c r="L1273" s="9" t="str">
        <f t="shared" si="254"/>
        <v>01272</v>
      </c>
      <c r="M1273" s="71" t="str">
        <f t="shared" si="255"/>
        <v>12 de julio de 2018</v>
      </c>
      <c r="N1273" s="39">
        <f t="shared" si="256"/>
        <v>43282</v>
      </c>
      <c r="O1273" s="9" t="str">
        <f t="shared" si="257"/>
        <v>1.220.000,00</v>
      </c>
      <c r="P1273" s="8" t="str">
        <f t="shared" si="258"/>
        <v>Un Millón Doscientos Veinte Mil Bolívares con 00/100</v>
      </c>
      <c r="Q1273" s="403" t="str">
        <f t="shared" si="223"/>
        <v/>
      </c>
    </row>
    <row r="1274" spans="1:17" x14ac:dyDescent="0.25">
      <c r="A1274" s="1">
        <f t="shared" si="235"/>
        <v>1273</v>
      </c>
      <c r="C1274" s="12" t="s">
        <v>17</v>
      </c>
      <c r="D1274" s="2">
        <v>43263</v>
      </c>
      <c r="E1274" s="3">
        <v>1225000</v>
      </c>
      <c r="F1274" t="s">
        <v>144</v>
      </c>
      <c r="G1274" t="s">
        <v>661</v>
      </c>
      <c r="H1274" t="s">
        <v>146</v>
      </c>
      <c r="I1274" s="10" t="s">
        <v>737</v>
      </c>
      <c r="J1274" s="167" t="s">
        <v>22</v>
      </c>
      <c r="L1274" s="9" t="str">
        <f t="shared" si="254"/>
        <v>01273</v>
      </c>
      <c r="M1274" s="71" t="str">
        <f t="shared" si="255"/>
        <v>12 de junio de 2018</v>
      </c>
      <c r="N1274" s="39">
        <f t="shared" si="256"/>
        <v>43252</v>
      </c>
      <c r="O1274" s="9" t="str">
        <f t="shared" si="257"/>
        <v>1.225.000,00</v>
      </c>
      <c r="P1274" s="8" t="str">
        <f t="shared" si="258"/>
        <v>Un Millón Doscientos Veinticinco Mil Bolívares con 00/100</v>
      </c>
      <c r="Q1274" s="403" t="str">
        <f t="shared" si="223"/>
        <v/>
      </c>
    </row>
    <row r="1275" spans="1:17" x14ac:dyDescent="0.25">
      <c r="A1275" s="1">
        <f t="shared" si="235"/>
        <v>1274</v>
      </c>
      <c r="C1275" s="12" t="s">
        <v>17</v>
      </c>
      <c r="D1275" s="2">
        <v>43294</v>
      </c>
      <c r="E1275" s="3">
        <v>1000000</v>
      </c>
      <c r="F1275" t="s">
        <v>181</v>
      </c>
      <c r="G1275" t="s">
        <v>182</v>
      </c>
      <c r="H1275" t="s">
        <v>183</v>
      </c>
      <c r="I1275" s="10" t="s">
        <v>751</v>
      </c>
      <c r="J1275" s="167" t="s">
        <v>22</v>
      </c>
      <c r="L1275" s="9" t="str">
        <f t="shared" si="254"/>
        <v>01274</v>
      </c>
      <c r="M1275" s="71" t="str">
        <f t="shared" si="255"/>
        <v>13 de julio de 2018</v>
      </c>
      <c r="N1275" s="39">
        <f t="shared" si="256"/>
        <v>43282</v>
      </c>
      <c r="O1275" s="9" t="str">
        <f t="shared" si="257"/>
        <v>1.000.000,00</v>
      </c>
      <c r="P1275" s="8" t="str">
        <f t="shared" si="258"/>
        <v>Un Millón Bolívares con 00/100</v>
      </c>
      <c r="Q1275" s="403" t="str">
        <f t="shared" si="223"/>
        <v/>
      </c>
    </row>
    <row r="1276" spans="1:17" x14ac:dyDescent="0.25">
      <c r="A1276" s="1">
        <f t="shared" si="235"/>
        <v>1275</v>
      </c>
      <c r="C1276" s="12" t="s">
        <v>17</v>
      </c>
      <c r="D1276" s="2">
        <v>43294</v>
      </c>
      <c r="E1276" s="3">
        <v>1220000</v>
      </c>
      <c r="F1276" t="s">
        <v>181</v>
      </c>
      <c r="G1276" t="s">
        <v>182</v>
      </c>
      <c r="H1276" t="s">
        <v>183</v>
      </c>
      <c r="I1276" s="10" t="s">
        <v>745</v>
      </c>
      <c r="J1276" s="167" t="s">
        <v>746</v>
      </c>
      <c r="L1276" s="9" t="str">
        <f t="shared" si="254"/>
        <v>01275</v>
      </c>
      <c r="M1276" s="71" t="str">
        <f t="shared" si="255"/>
        <v>13 de julio de 2018</v>
      </c>
      <c r="N1276" s="39">
        <f t="shared" si="256"/>
        <v>43282</v>
      </c>
      <c r="O1276" s="9" t="str">
        <f t="shared" si="257"/>
        <v>1.220.000,00</v>
      </c>
      <c r="P1276" s="8" t="str">
        <f t="shared" si="258"/>
        <v>Un Millón Doscientos Veinte Mil Bolívares con 00/100</v>
      </c>
      <c r="Q1276" s="403" t="str">
        <f t="shared" si="223"/>
        <v/>
      </c>
    </row>
    <row r="1277" spans="1:17" x14ac:dyDescent="0.25">
      <c r="A1277" s="1">
        <f t="shared" si="235"/>
        <v>1276</v>
      </c>
      <c r="C1277" s="12" t="s">
        <v>17</v>
      </c>
      <c r="D1277" s="2">
        <v>43295</v>
      </c>
      <c r="E1277" s="3">
        <v>1000000</v>
      </c>
      <c r="F1277" t="s">
        <v>408</v>
      </c>
      <c r="G1277" t="s">
        <v>409</v>
      </c>
      <c r="H1277" t="s">
        <v>410</v>
      </c>
      <c r="I1277" s="10" t="s">
        <v>751</v>
      </c>
      <c r="J1277" s="167" t="s">
        <v>22</v>
      </c>
      <c r="L1277" s="9" t="str">
        <f t="shared" ref="L1277:L1279" si="259">IF(ISBLANK(A1277),"",TEXT(A1277,"00000"))</f>
        <v>01276</v>
      </c>
      <c r="M1277" s="71" t="str">
        <f t="shared" ref="M1277:M1279" si="260">IF(ISBLANK(D1277),"",TEXT(D1277,"dd")&amp;" de "&amp;TEXT(D1277,"mmmm")&amp;" de "&amp;TEXT(YEAR(D1277),"0"))</f>
        <v>14 de julio de 2018</v>
      </c>
      <c r="N1277" s="39">
        <f t="shared" ref="N1277:N1279" si="261">DATE(YEAR(D1277),MONTH(D1277),1)</f>
        <v>43282</v>
      </c>
      <c r="O1277" s="9" t="str">
        <f t="shared" ref="O1277:O1286" si="262">TEXT(E1277,"#.##0,00")</f>
        <v>1.000.000,00</v>
      </c>
      <c r="P1277" s="8" t="str">
        <f>CONVERTIRNUM(E1277)</f>
        <v>Un Millón Bolívares con 00/100</v>
      </c>
      <c r="Q1277" s="403" t="str">
        <f t="shared" si="223"/>
        <v/>
      </c>
    </row>
    <row r="1278" spans="1:17" x14ac:dyDescent="0.25">
      <c r="A1278" s="1">
        <f t="shared" si="235"/>
        <v>1277</v>
      </c>
      <c r="C1278" s="12" t="s">
        <v>17</v>
      </c>
      <c r="D1278" s="2">
        <v>43295</v>
      </c>
      <c r="E1278" s="3">
        <v>150000</v>
      </c>
      <c r="F1278" t="s">
        <v>324</v>
      </c>
      <c r="G1278" t="s">
        <v>325</v>
      </c>
      <c r="H1278" t="s">
        <v>326</v>
      </c>
      <c r="I1278" s="10" t="s">
        <v>747</v>
      </c>
      <c r="J1278" s="167" t="s">
        <v>22</v>
      </c>
      <c r="L1278" s="9" t="str">
        <f t="shared" si="259"/>
        <v>01277</v>
      </c>
      <c r="M1278" s="71" t="str">
        <f t="shared" si="260"/>
        <v>14 de julio de 2018</v>
      </c>
      <c r="N1278" s="39">
        <f t="shared" si="261"/>
        <v>43282</v>
      </c>
      <c r="O1278" s="9" t="str">
        <f t="shared" si="262"/>
        <v>150.000,00</v>
      </c>
      <c r="P1278" s="8" t="str">
        <f t="shared" ref="P1278:P1286" si="263">CONVERTIRNUM(E1278)</f>
        <v>Ciento Cincuenta Mil Bolívares con 00/100</v>
      </c>
      <c r="Q1278" s="403" t="str">
        <f t="shared" si="223"/>
        <v/>
      </c>
    </row>
    <row r="1279" spans="1:17" x14ac:dyDescent="0.25">
      <c r="A1279" s="1">
        <f t="shared" si="235"/>
        <v>1278</v>
      </c>
      <c r="C1279" s="12" t="s">
        <v>17</v>
      </c>
      <c r="D1279" s="2">
        <v>43295</v>
      </c>
      <c r="E1279" s="3">
        <f>1000000-150000</f>
        <v>850000</v>
      </c>
      <c r="F1279" t="s">
        <v>324</v>
      </c>
      <c r="G1279" t="s">
        <v>325</v>
      </c>
      <c r="H1279" t="s">
        <v>326</v>
      </c>
      <c r="I1279" s="10" t="s">
        <v>745</v>
      </c>
      <c r="J1279" s="167" t="s">
        <v>746</v>
      </c>
      <c r="L1279" s="9" t="str">
        <f t="shared" si="259"/>
        <v>01278</v>
      </c>
      <c r="M1279" s="71" t="str">
        <f t="shared" si="260"/>
        <v>14 de julio de 2018</v>
      </c>
      <c r="N1279" s="39">
        <f t="shared" si="261"/>
        <v>43282</v>
      </c>
      <c r="O1279" s="9" t="str">
        <f t="shared" si="262"/>
        <v>850.000,00</v>
      </c>
      <c r="P1279" s="8" t="str">
        <f t="shared" si="263"/>
        <v>Ochocientos Cincuenta Mil Bolívares con 00/100</v>
      </c>
      <c r="Q1279" s="403" t="str">
        <f t="shared" si="223"/>
        <v/>
      </c>
    </row>
    <row r="1280" spans="1:17" x14ac:dyDescent="0.25">
      <c r="A1280" s="1">
        <f t="shared" si="235"/>
        <v>1279</v>
      </c>
      <c r="C1280" s="12" t="s">
        <v>17</v>
      </c>
      <c r="D1280" s="2">
        <v>43295</v>
      </c>
      <c r="E1280" s="3">
        <v>1220000</v>
      </c>
      <c r="F1280" t="s">
        <v>455</v>
      </c>
      <c r="G1280" t="s">
        <v>762</v>
      </c>
      <c r="H1280" t="s">
        <v>456</v>
      </c>
      <c r="I1280" s="10" t="s">
        <v>745</v>
      </c>
      <c r="J1280" s="167" t="s">
        <v>746</v>
      </c>
      <c r="L1280" s="9" t="str">
        <f>IF(ISBLANK(A1280),"",TEXT(A1280,"00000"))</f>
        <v>01279</v>
      </c>
      <c r="M1280" s="71" t="str">
        <f>IF(ISBLANK(D1280),"",TEXT(D1280,"dd")&amp;" de "&amp;TEXT(D1280,"mmmm")&amp;" de "&amp;TEXT(YEAR(D1280),"0"))</f>
        <v>14 de julio de 2018</v>
      </c>
      <c r="N1280" s="39">
        <f>DATE(YEAR(D1280),MONTH(D1280),1)</f>
        <v>43282</v>
      </c>
      <c r="O1280" s="9" t="str">
        <f t="shared" si="262"/>
        <v>1.220.000,00</v>
      </c>
      <c r="P1280" s="8" t="str">
        <f t="shared" si="263"/>
        <v>Un Millón Doscientos Veinte Mil Bolívares con 00/100</v>
      </c>
      <c r="Q1280" s="403" t="str">
        <f t="shared" si="223"/>
        <v/>
      </c>
    </row>
    <row r="1281" spans="1:17" x14ac:dyDescent="0.25">
      <c r="A1281" s="1">
        <f t="shared" si="235"/>
        <v>1280</v>
      </c>
      <c r="C1281" s="12" t="s">
        <v>17</v>
      </c>
      <c r="D1281" s="2">
        <v>43297</v>
      </c>
      <c r="E1281" s="3">
        <f>225000+600000</f>
        <v>825000</v>
      </c>
      <c r="F1281" t="s">
        <v>342</v>
      </c>
      <c r="G1281" t="s">
        <v>343</v>
      </c>
      <c r="H1281" t="s">
        <v>344</v>
      </c>
      <c r="I1281" s="10" t="s">
        <v>778</v>
      </c>
      <c r="J1281" s="167" t="s">
        <v>22</v>
      </c>
      <c r="L1281" s="9" t="str">
        <f t="shared" ref="L1281:L1286" si="264">IF(ISBLANK(A1281),"",TEXT(A1281,"00000"))</f>
        <v>01280</v>
      </c>
      <c r="M1281" s="71" t="str">
        <f t="shared" ref="M1281:M1286" si="265">IF(ISBLANK(D1281),"",TEXT(D1281,"dd")&amp;" de "&amp;TEXT(D1281,"mmmm")&amp;" de "&amp;TEXT(YEAR(D1281),"0"))</f>
        <v>16 de julio de 2018</v>
      </c>
      <c r="N1281" s="39">
        <f t="shared" ref="N1281:N1286" si="266">DATE(YEAR(D1281),MONTH(D1281),1)</f>
        <v>43282</v>
      </c>
      <c r="O1281" s="9" t="str">
        <f t="shared" si="262"/>
        <v>825.000,00</v>
      </c>
      <c r="P1281" s="8" t="str">
        <f t="shared" si="263"/>
        <v>Ochocientos Veinticinco Mil Bolívares con 00/100</v>
      </c>
      <c r="Q1281" s="403" t="str">
        <f t="shared" si="223"/>
        <v/>
      </c>
    </row>
    <row r="1282" spans="1:17" ht="15.75" thickBot="1" x14ac:dyDescent="0.3">
      <c r="A1282" s="1">
        <f t="shared" si="235"/>
        <v>1281</v>
      </c>
      <c r="C1282" s="12" t="s">
        <v>17</v>
      </c>
      <c r="D1282" s="2">
        <v>43297</v>
      </c>
      <c r="E1282" s="3">
        <v>1220000</v>
      </c>
      <c r="F1282" t="s">
        <v>342</v>
      </c>
      <c r="G1282" t="s">
        <v>343</v>
      </c>
      <c r="H1282" t="s">
        <v>344</v>
      </c>
      <c r="I1282" s="10" t="s">
        <v>745</v>
      </c>
      <c r="J1282" s="167" t="s">
        <v>746</v>
      </c>
      <c r="L1282" s="9" t="str">
        <f t="shared" si="264"/>
        <v>01281</v>
      </c>
      <c r="M1282" s="71" t="str">
        <f t="shared" si="265"/>
        <v>16 de julio de 2018</v>
      </c>
      <c r="N1282" s="39">
        <f t="shared" si="266"/>
        <v>43282</v>
      </c>
      <c r="O1282" s="9" t="str">
        <f t="shared" si="262"/>
        <v>1.220.000,00</v>
      </c>
      <c r="P1282" s="8" t="str">
        <f t="shared" si="263"/>
        <v>Un Millón Doscientos Veinte Mil Bolívares con 00/100</v>
      </c>
      <c r="Q1282" s="403" t="str">
        <f t="shared" si="223"/>
        <v/>
      </c>
    </row>
    <row r="1283" spans="1:17" ht="15.75" thickBot="1" x14ac:dyDescent="0.3">
      <c r="A1283" s="1">
        <f t="shared" si="235"/>
        <v>1282</v>
      </c>
      <c r="C1283" s="255" t="s">
        <v>17</v>
      </c>
      <c r="D1283" s="2">
        <v>43297</v>
      </c>
      <c r="E1283" s="3">
        <v>2225000</v>
      </c>
      <c r="F1283" t="s">
        <v>177</v>
      </c>
      <c r="G1283" s="27" t="s">
        <v>58</v>
      </c>
      <c r="H1283" t="s">
        <v>179</v>
      </c>
      <c r="I1283" s="10" t="s">
        <v>779</v>
      </c>
      <c r="J1283" s="167" t="s">
        <v>22</v>
      </c>
      <c r="L1283" s="9" t="str">
        <f t="shared" si="264"/>
        <v>01282</v>
      </c>
      <c r="M1283" s="71" t="str">
        <f t="shared" si="265"/>
        <v>16 de julio de 2018</v>
      </c>
      <c r="N1283" s="39">
        <f t="shared" si="266"/>
        <v>43282</v>
      </c>
      <c r="O1283" s="9" t="str">
        <f t="shared" si="262"/>
        <v>2.225.000,00</v>
      </c>
      <c r="P1283" s="8" t="str">
        <f t="shared" si="263"/>
        <v>Dos Millones Doscientos Veinticinco Mil Bolívares con 00/100</v>
      </c>
      <c r="Q1283" s="403" t="str">
        <f t="shared" ref="Q1283:Q1346" si="267">IF(C1283="û","Anulado","")</f>
        <v/>
      </c>
    </row>
    <row r="1284" spans="1:17" x14ac:dyDescent="0.25">
      <c r="A1284" s="1">
        <f t="shared" si="235"/>
        <v>1283</v>
      </c>
      <c r="C1284" s="12" t="s">
        <v>17</v>
      </c>
      <c r="D1284" s="2">
        <v>43298</v>
      </c>
      <c r="E1284" s="3">
        <v>800000</v>
      </c>
      <c r="F1284" t="s">
        <v>537</v>
      </c>
      <c r="G1284" t="s">
        <v>538</v>
      </c>
      <c r="H1284" t="s">
        <v>539</v>
      </c>
      <c r="I1284" s="10" t="s">
        <v>760</v>
      </c>
      <c r="J1284" s="167" t="s">
        <v>22</v>
      </c>
      <c r="L1284" s="9" t="str">
        <f t="shared" si="264"/>
        <v>01283</v>
      </c>
      <c r="M1284" s="71" t="str">
        <f t="shared" si="265"/>
        <v>17 de julio de 2018</v>
      </c>
      <c r="N1284" s="39">
        <f t="shared" si="266"/>
        <v>43282</v>
      </c>
      <c r="O1284" s="9" t="str">
        <f t="shared" si="262"/>
        <v>800.000,00</v>
      </c>
      <c r="P1284" s="8" t="str">
        <f t="shared" si="263"/>
        <v>Ochocientos Mil Bolívares con 00/100</v>
      </c>
      <c r="Q1284" s="403" t="str">
        <f t="shared" si="267"/>
        <v/>
      </c>
    </row>
    <row r="1285" spans="1:17" x14ac:dyDescent="0.25">
      <c r="A1285" s="1">
        <f t="shared" si="235"/>
        <v>1284</v>
      </c>
      <c r="C1285" s="12" t="s">
        <v>17</v>
      </c>
      <c r="D1285" s="2">
        <v>43298</v>
      </c>
      <c r="E1285" s="3">
        <v>1000000</v>
      </c>
      <c r="F1285" t="s">
        <v>130</v>
      </c>
      <c r="G1285" t="s">
        <v>131</v>
      </c>
      <c r="H1285" t="s">
        <v>132</v>
      </c>
      <c r="I1285" s="10" t="s">
        <v>751</v>
      </c>
      <c r="J1285" s="167" t="s">
        <v>22</v>
      </c>
      <c r="L1285" s="9" t="str">
        <f t="shared" si="264"/>
        <v>01284</v>
      </c>
      <c r="M1285" s="71" t="str">
        <f t="shared" si="265"/>
        <v>17 de julio de 2018</v>
      </c>
      <c r="N1285" s="39">
        <f t="shared" si="266"/>
        <v>43282</v>
      </c>
      <c r="O1285" s="9" t="str">
        <f t="shared" si="262"/>
        <v>1.000.000,00</v>
      </c>
      <c r="P1285" s="8" t="str">
        <f t="shared" si="263"/>
        <v>Un Millón Bolívares con 00/100</v>
      </c>
      <c r="Q1285" s="403" t="str">
        <f t="shared" si="267"/>
        <v/>
      </c>
    </row>
    <row r="1286" spans="1:17" x14ac:dyDescent="0.25">
      <c r="A1286" s="1">
        <f t="shared" si="235"/>
        <v>1285</v>
      </c>
      <c r="C1286" s="12" t="s">
        <v>17</v>
      </c>
      <c r="D1286" s="2">
        <v>43299</v>
      </c>
      <c r="E1286" s="3">
        <v>1000000</v>
      </c>
      <c r="F1286" t="s">
        <v>103</v>
      </c>
      <c r="G1286" t="s">
        <v>104</v>
      </c>
      <c r="H1286" t="s">
        <v>105</v>
      </c>
      <c r="I1286" s="10" t="s">
        <v>751</v>
      </c>
      <c r="J1286" s="167" t="s">
        <v>22</v>
      </c>
      <c r="L1286" s="9" t="str">
        <f t="shared" si="264"/>
        <v>01285</v>
      </c>
      <c r="M1286" s="71" t="str">
        <f t="shared" si="265"/>
        <v>18 de julio de 2018</v>
      </c>
      <c r="N1286" s="39">
        <f t="shared" si="266"/>
        <v>43282</v>
      </c>
      <c r="O1286" s="9" t="str">
        <f t="shared" si="262"/>
        <v>1.000.000,00</v>
      </c>
      <c r="P1286" s="8" t="str">
        <f t="shared" si="263"/>
        <v>Un Millón Bolívares con 00/100</v>
      </c>
      <c r="Q1286" s="403" t="str">
        <f t="shared" si="267"/>
        <v/>
      </c>
    </row>
    <row r="1287" spans="1:17" x14ac:dyDescent="0.25">
      <c r="A1287" s="1">
        <f t="shared" si="235"/>
        <v>1286</v>
      </c>
      <c r="C1287" s="12" t="s">
        <v>17</v>
      </c>
      <c r="D1287" s="2">
        <v>43299</v>
      </c>
      <c r="E1287" s="3">
        <v>1220000</v>
      </c>
      <c r="F1287" t="s">
        <v>103</v>
      </c>
      <c r="G1287" t="s">
        <v>104</v>
      </c>
      <c r="H1287" t="s">
        <v>105</v>
      </c>
      <c r="I1287" s="10" t="s">
        <v>745</v>
      </c>
      <c r="J1287" s="167" t="s">
        <v>746</v>
      </c>
      <c r="L1287" s="9" t="str">
        <f t="shared" ref="L1287:L1295" si="268">IF(ISBLANK(A1287),"",TEXT(A1287,"00000"))</f>
        <v>01286</v>
      </c>
      <c r="M1287" s="71" t="str">
        <f t="shared" ref="M1287:M1295" si="269">IF(ISBLANK(D1287),"",TEXT(D1287,"dd")&amp;" de "&amp;TEXT(D1287,"mmmm")&amp;" de "&amp;TEXT(YEAR(D1287),"0"))</f>
        <v>18 de julio de 2018</v>
      </c>
      <c r="N1287" s="39">
        <f t="shared" ref="N1287:N1295" si="270">DATE(YEAR(D1287),MONTH(D1287),1)</f>
        <v>43282</v>
      </c>
      <c r="O1287" s="9" t="str">
        <f t="shared" ref="O1287:O1298" si="271">TEXT(E1287,"#.##0,00")</f>
        <v>1.220.000,00</v>
      </c>
      <c r="P1287" s="8" t="str">
        <f t="shared" ref="P1287:P1298" si="272">CONVERTIRNUM(E1287)</f>
        <v>Un Millón Doscientos Veinte Mil Bolívares con 00/100</v>
      </c>
      <c r="Q1287" s="403" t="str">
        <f t="shared" si="267"/>
        <v/>
      </c>
    </row>
    <row r="1288" spans="1:17" x14ac:dyDescent="0.25">
      <c r="A1288" s="1">
        <f t="shared" si="235"/>
        <v>1287</v>
      </c>
      <c r="C1288" s="12" t="s">
        <v>17</v>
      </c>
      <c r="D1288" s="2">
        <v>43299</v>
      </c>
      <c r="E1288" s="3">
        <v>1200000</v>
      </c>
      <c r="F1288" t="s">
        <v>32</v>
      </c>
      <c r="G1288" t="s">
        <v>33</v>
      </c>
      <c r="H1288" t="s">
        <v>34</v>
      </c>
      <c r="I1288" s="349" t="s">
        <v>770</v>
      </c>
      <c r="J1288" s="167" t="s">
        <v>22</v>
      </c>
      <c r="L1288" s="9" t="str">
        <f t="shared" si="268"/>
        <v>01287</v>
      </c>
      <c r="M1288" s="71" t="str">
        <f t="shared" si="269"/>
        <v>18 de julio de 2018</v>
      </c>
      <c r="N1288" s="39">
        <f t="shared" si="270"/>
        <v>43282</v>
      </c>
      <c r="O1288" s="9" t="str">
        <f t="shared" si="271"/>
        <v>1.200.000,00</v>
      </c>
      <c r="P1288" s="8" t="str">
        <f t="shared" si="272"/>
        <v>Un Millón Doscientos Mil Bolívares con 00/100</v>
      </c>
      <c r="Q1288" s="403" t="str">
        <f t="shared" si="267"/>
        <v/>
      </c>
    </row>
    <row r="1289" spans="1:17" x14ac:dyDescent="0.25">
      <c r="A1289" s="1">
        <f>A1288+1</f>
        <v>1288</v>
      </c>
      <c r="C1289" s="12" t="s">
        <v>17</v>
      </c>
      <c r="D1289" s="2">
        <v>43301</v>
      </c>
      <c r="E1289" s="3">
        <v>1220000</v>
      </c>
      <c r="F1289" t="s">
        <v>70</v>
      </c>
      <c r="G1289" t="s">
        <v>71</v>
      </c>
      <c r="H1289" t="s">
        <v>72</v>
      </c>
      <c r="I1289" s="10" t="s">
        <v>745</v>
      </c>
      <c r="J1289" s="167" t="s">
        <v>746</v>
      </c>
      <c r="L1289" s="9" t="str">
        <f t="shared" si="268"/>
        <v>01288</v>
      </c>
      <c r="M1289" s="71" t="str">
        <f t="shared" si="269"/>
        <v>20 de julio de 2018</v>
      </c>
      <c r="N1289" s="39">
        <f t="shared" si="270"/>
        <v>43282</v>
      </c>
      <c r="O1289" s="9" t="str">
        <f t="shared" si="271"/>
        <v>1.220.000,00</v>
      </c>
      <c r="P1289" s="8" t="str">
        <f t="shared" si="272"/>
        <v>Un Millón Doscientos Veinte Mil Bolívares con 00/100</v>
      </c>
      <c r="Q1289" s="403" t="str">
        <f t="shared" si="267"/>
        <v/>
      </c>
    </row>
    <row r="1290" spans="1:17" ht="15.75" thickBot="1" x14ac:dyDescent="0.3">
      <c r="A1290" s="1">
        <f t="shared" si="235"/>
        <v>1289</v>
      </c>
      <c r="C1290" s="12" t="s">
        <v>17</v>
      </c>
      <c r="D1290" s="2">
        <v>43301</v>
      </c>
      <c r="E1290" s="3">
        <v>550000</v>
      </c>
      <c r="F1290" t="s">
        <v>211</v>
      </c>
      <c r="G1290" t="s">
        <v>212</v>
      </c>
      <c r="H1290" t="s">
        <v>213</v>
      </c>
      <c r="I1290" s="10" t="s">
        <v>747</v>
      </c>
      <c r="J1290" s="167" t="s">
        <v>22</v>
      </c>
      <c r="L1290" s="9" t="str">
        <f t="shared" si="268"/>
        <v>01289</v>
      </c>
      <c r="M1290" s="71" t="str">
        <f t="shared" si="269"/>
        <v>20 de julio de 2018</v>
      </c>
      <c r="N1290" s="39">
        <f t="shared" si="270"/>
        <v>43282</v>
      </c>
      <c r="O1290" s="9" t="str">
        <f t="shared" si="271"/>
        <v>550.000,00</v>
      </c>
      <c r="P1290" s="8" t="str">
        <f t="shared" si="272"/>
        <v>Quinientos Cincuenta Mil Bolívares con 00/100</v>
      </c>
      <c r="Q1290" s="403" t="str">
        <f t="shared" si="267"/>
        <v/>
      </c>
    </row>
    <row r="1291" spans="1:17" ht="15.75" thickBot="1" x14ac:dyDescent="0.3">
      <c r="A1291" s="1">
        <f t="shared" si="235"/>
        <v>1290</v>
      </c>
      <c r="C1291" s="255" t="s">
        <v>17</v>
      </c>
      <c r="D1291" s="2">
        <v>43302</v>
      </c>
      <c r="E1291" s="351">
        <v>100000</v>
      </c>
      <c r="F1291" t="s">
        <v>492</v>
      </c>
      <c r="G1291" s="27" t="s">
        <v>58</v>
      </c>
      <c r="H1291" t="s">
        <v>493</v>
      </c>
      <c r="I1291" s="10" t="s">
        <v>730</v>
      </c>
      <c r="J1291" s="167" t="s">
        <v>22</v>
      </c>
      <c r="L1291" s="9" t="str">
        <f t="shared" si="268"/>
        <v>01290</v>
      </c>
      <c r="M1291" s="71" t="str">
        <f t="shared" si="269"/>
        <v>21 de julio de 2018</v>
      </c>
      <c r="N1291" s="39">
        <f t="shared" si="270"/>
        <v>43282</v>
      </c>
      <c r="O1291" s="9" t="str">
        <f t="shared" si="271"/>
        <v>100.000,00</v>
      </c>
      <c r="P1291" s="8" t="str">
        <f t="shared" si="272"/>
        <v>Cien Mil Bolívares con 00/100</v>
      </c>
      <c r="Q1291" s="403" t="str">
        <f t="shared" si="267"/>
        <v/>
      </c>
    </row>
    <row r="1292" spans="1:17" x14ac:dyDescent="0.25">
      <c r="A1292" s="1">
        <f t="shared" si="235"/>
        <v>1291</v>
      </c>
      <c r="C1292" s="12" t="s">
        <v>17</v>
      </c>
      <c r="D1292" s="2">
        <v>43301</v>
      </c>
      <c r="E1292" s="3">
        <v>1000000</v>
      </c>
      <c r="F1292" t="s">
        <v>296</v>
      </c>
      <c r="G1292" t="s">
        <v>297</v>
      </c>
      <c r="H1292" t="s">
        <v>298</v>
      </c>
      <c r="I1292" s="10" t="s">
        <v>751</v>
      </c>
      <c r="J1292" s="167" t="s">
        <v>22</v>
      </c>
      <c r="L1292" s="9" t="str">
        <f t="shared" si="268"/>
        <v>01291</v>
      </c>
      <c r="M1292" s="71" t="str">
        <f t="shared" si="269"/>
        <v>20 de julio de 2018</v>
      </c>
      <c r="N1292" s="39">
        <f t="shared" si="270"/>
        <v>43282</v>
      </c>
      <c r="O1292" s="9" t="str">
        <f t="shared" si="271"/>
        <v>1.000.000,00</v>
      </c>
      <c r="P1292" s="8" t="str">
        <f t="shared" si="272"/>
        <v>Un Millón Bolívares con 00/100</v>
      </c>
      <c r="Q1292" s="403" t="str">
        <f t="shared" si="267"/>
        <v/>
      </c>
    </row>
    <row r="1293" spans="1:17" x14ac:dyDescent="0.25">
      <c r="A1293" s="1">
        <f t="shared" si="235"/>
        <v>1292</v>
      </c>
      <c r="C1293" s="12" t="s">
        <v>17</v>
      </c>
      <c r="D1293" s="2">
        <v>43301</v>
      </c>
      <c r="E1293" s="3">
        <v>1300000</v>
      </c>
      <c r="F1293" t="s">
        <v>296</v>
      </c>
      <c r="G1293" t="s">
        <v>297</v>
      </c>
      <c r="H1293" t="s">
        <v>298</v>
      </c>
      <c r="I1293" s="10" t="s">
        <v>745</v>
      </c>
      <c r="J1293" s="167" t="s">
        <v>746</v>
      </c>
      <c r="L1293" s="9" t="str">
        <f t="shared" si="268"/>
        <v>01292</v>
      </c>
      <c r="M1293" s="71" t="str">
        <f t="shared" si="269"/>
        <v>20 de julio de 2018</v>
      </c>
      <c r="N1293" s="39">
        <f t="shared" si="270"/>
        <v>43282</v>
      </c>
      <c r="O1293" s="9" t="str">
        <f t="shared" si="271"/>
        <v>1.300.000,00</v>
      </c>
      <c r="P1293" s="8" t="str">
        <f t="shared" si="272"/>
        <v>Un Millón Trescientos Mil Bolívares con 00/100</v>
      </c>
      <c r="Q1293" s="403" t="str">
        <f t="shared" si="267"/>
        <v/>
      </c>
    </row>
    <row r="1294" spans="1:17" x14ac:dyDescent="0.25">
      <c r="A1294" s="1">
        <f t="shared" si="235"/>
        <v>1293</v>
      </c>
      <c r="C1294" s="12" t="s">
        <v>17</v>
      </c>
      <c r="D1294" s="2">
        <v>43301</v>
      </c>
      <c r="E1294" s="3">
        <v>3000000</v>
      </c>
      <c r="F1294" t="s">
        <v>296</v>
      </c>
      <c r="G1294" t="s">
        <v>297</v>
      </c>
      <c r="H1294" t="s">
        <v>298</v>
      </c>
      <c r="I1294" s="10" t="s">
        <v>780</v>
      </c>
      <c r="J1294" s="167" t="s">
        <v>652</v>
      </c>
      <c r="L1294" s="9" t="str">
        <f t="shared" si="268"/>
        <v>01293</v>
      </c>
      <c r="M1294" s="71" t="str">
        <f t="shared" si="269"/>
        <v>20 de julio de 2018</v>
      </c>
      <c r="N1294" s="39">
        <f t="shared" si="270"/>
        <v>43282</v>
      </c>
      <c r="O1294" s="9" t="str">
        <f t="shared" si="271"/>
        <v>3.000.000,00</v>
      </c>
      <c r="P1294" s="8" t="str">
        <f t="shared" si="272"/>
        <v>Tres Millones Bolívares con 00/100</v>
      </c>
      <c r="Q1294" s="403" t="str">
        <f t="shared" si="267"/>
        <v/>
      </c>
    </row>
    <row r="1295" spans="1:17" x14ac:dyDescent="0.25">
      <c r="A1295" s="1">
        <f t="shared" si="235"/>
        <v>1294</v>
      </c>
      <c r="C1295" s="12" t="s">
        <v>17</v>
      </c>
      <c r="D1295" s="2">
        <v>43304</v>
      </c>
      <c r="E1295" s="3">
        <v>1220000</v>
      </c>
      <c r="F1295" t="s">
        <v>201</v>
      </c>
      <c r="G1295" t="s">
        <v>202</v>
      </c>
      <c r="H1295" t="s">
        <v>203</v>
      </c>
      <c r="I1295" s="10" t="s">
        <v>745</v>
      </c>
      <c r="J1295" s="167" t="s">
        <v>746</v>
      </c>
      <c r="L1295" s="9" t="str">
        <f t="shared" si="268"/>
        <v>01294</v>
      </c>
      <c r="M1295" s="71" t="str">
        <f t="shared" si="269"/>
        <v>23 de julio de 2018</v>
      </c>
      <c r="N1295" s="39">
        <f t="shared" si="270"/>
        <v>43282</v>
      </c>
      <c r="O1295" s="9" t="str">
        <f t="shared" si="271"/>
        <v>1.220.000,00</v>
      </c>
      <c r="P1295" s="8" t="str">
        <f t="shared" si="272"/>
        <v>Un Millón Doscientos Veinte Mil Bolívares con 00/100</v>
      </c>
      <c r="Q1295" s="403" t="str">
        <f t="shared" si="267"/>
        <v/>
      </c>
    </row>
    <row r="1296" spans="1:17" x14ac:dyDescent="0.25">
      <c r="A1296" s="1">
        <f t="shared" si="235"/>
        <v>1295</v>
      </c>
      <c r="C1296" s="12" t="s">
        <v>17</v>
      </c>
      <c r="D1296" s="2">
        <v>43301</v>
      </c>
      <c r="E1296" s="3">
        <v>1220000</v>
      </c>
      <c r="F1296" t="s">
        <v>243</v>
      </c>
      <c r="G1296" t="s">
        <v>244</v>
      </c>
      <c r="H1296" t="s">
        <v>245</v>
      </c>
      <c r="I1296" s="10" t="s">
        <v>745</v>
      </c>
      <c r="J1296" s="167" t="s">
        <v>746</v>
      </c>
      <c r="L1296" s="9" t="str">
        <f>IF(ISBLANK(A1296),"",TEXT(A1296,"00000"))</f>
        <v>01295</v>
      </c>
      <c r="M1296" s="71" t="str">
        <f>IF(ISBLANK(D1296),"",TEXT(D1296,"dd")&amp;" de "&amp;TEXT(D1296,"mmmm")&amp;" de "&amp;TEXT(YEAR(D1296),"0"))</f>
        <v>20 de julio de 2018</v>
      </c>
      <c r="N1296" s="39">
        <f>DATE(YEAR(D1296),MONTH(D1296),1)</f>
        <v>43282</v>
      </c>
      <c r="O1296" s="9" t="str">
        <f t="shared" si="271"/>
        <v>1.220.000,00</v>
      </c>
      <c r="P1296" s="8" t="str">
        <f t="shared" si="272"/>
        <v>Un Millón Doscientos Veinte Mil Bolívares con 00/100</v>
      </c>
      <c r="Q1296" s="403" t="str">
        <f t="shared" si="267"/>
        <v/>
      </c>
    </row>
    <row r="1297" spans="1:17" x14ac:dyDescent="0.25">
      <c r="A1297" s="1">
        <f t="shared" si="235"/>
        <v>1296</v>
      </c>
      <c r="C1297" s="12" t="s">
        <v>17</v>
      </c>
      <c r="D1297" s="2">
        <v>43304</v>
      </c>
      <c r="E1297" s="3">
        <v>1000000</v>
      </c>
      <c r="F1297" t="s">
        <v>126</v>
      </c>
      <c r="G1297" t="s">
        <v>127</v>
      </c>
      <c r="H1297" t="s">
        <v>128</v>
      </c>
      <c r="I1297" s="10" t="s">
        <v>750</v>
      </c>
      <c r="J1297" s="167" t="s">
        <v>22</v>
      </c>
      <c r="L1297" s="9" t="str">
        <f t="shared" ref="L1297:L1301" si="273">IF(ISBLANK(A1297),"",TEXT(A1297,"00000"))</f>
        <v>01296</v>
      </c>
      <c r="M1297" s="71" t="str">
        <f t="shared" ref="M1297:M1301" si="274">IF(ISBLANK(D1297),"",TEXT(D1297,"dd")&amp;" de "&amp;TEXT(D1297,"mmmm")&amp;" de "&amp;TEXT(YEAR(D1297),"0"))</f>
        <v>23 de julio de 2018</v>
      </c>
      <c r="N1297" s="39">
        <f t="shared" ref="N1297:N1301" si="275">DATE(YEAR(D1297),MONTH(D1297),1)</f>
        <v>43282</v>
      </c>
      <c r="O1297" s="9" t="str">
        <f t="shared" si="271"/>
        <v>1.000.000,00</v>
      </c>
      <c r="P1297" s="8" t="str">
        <f t="shared" si="272"/>
        <v>Un Millón Bolívares con 00/100</v>
      </c>
      <c r="Q1297" s="403" t="str">
        <f t="shared" si="267"/>
        <v/>
      </c>
    </row>
    <row r="1298" spans="1:17" x14ac:dyDescent="0.25">
      <c r="A1298" s="1">
        <f t="shared" si="235"/>
        <v>1297</v>
      </c>
      <c r="C1298" s="12" t="s">
        <v>17</v>
      </c>
      <c r="D1298" s="2">
        <v>43304</v>
      </c>
      <c r="E1298" s="3">
        <v>1200000</v>
      </c>
      <c r="F1298" t="s">
        <v>126</v>
      </c>
      <c r="G1298" t="s">
        <v>127</v>
      </c>
      <c r="H1298" t="s">
        <v>128</v>
      </c>
      <c r="I1298" s="10" t="s">
        <v>745</v>
      </c>
      <c r="J1298" s="167" t="s">
        <v>746</v>
      </c>
      <c r="L1298" s="9" t="str">
        <f t="shared" si="273"/>
        <v>01297</v>
      </c>
      <c r="M1298" s="71" t="str">
        <f t="shared" si="274"/>
        <v>23 de julio de 2018</v>
      </c>
      <c r="N1298" s="39">
        <f t="shared" si="275"/>
        <v>43282</v>
      </c>
      <c r="O1298" s="9" t="str">
        <f t="shared" si="271"/>
        <v>1.200.000,00</v>
      </c>
      <c r="P1298" s="8" t="str">
        <f t="shared" si="272"/>
        <v>Un Millón Doscientos Mil Bolívares con 00/100</v>
      </c>
      <c r="Q1298" s="403" t="str">
        <f t="shared" si="267"/>
        <v/>
      </c>
    </row>
    <row r="1299" spans="1:17" x14ac:dyDescent="0.25">
      <c r="A1299" s="1">
        <f t="shared" si="235"/>
        <v>1298</v>
      </c>
      <c r="C1299" s="12" t="s">
        <v>17</v>
      </c>
      <c r="D1299" s="2">
        <v>43304</v>
      </c>
      <c r="E1299" s="3">
        <v>150000</v>
      </c>
      <c r="F1299" t="s">
        <v>100</v>
      </c>
      <c r="G1299" t="s">
        <v>95</v>
      </c>
      <c r="H1299" t="s">
        <v>101</v>
      </c>
      <c r="I1299" s="10" t="s">
        <v>755</v>
      </c>
      <c r="J1299" s="167" t="s">
        <v>22</v>
      </c>
      <c r="L1299" s="9" t="str">
        <f t="shared" si="273"/>
        <v>01298</v>
      </c>
      <c r="M1299" s="71" t="str">
        <f t="shared" si="274"/>
        <v>23 de julio de 2018</v>
      </c>
      <c r="N1299" s="39">
        <f t="shared" si="275"/>
        <v>43282</v>
      </c>
      <c r="O1299" s="9" t="str">
        <f>TEXT(E1299,"#.##0,00")</f>
        <v>150.000,00</v>
      </c>
      <c r="P1299" s="8" t="str">
        <f>CONVERTIRNUM(E1299)</f>
        <v>Ciento Cincuenta Mil Bolívares con 00/100</v>
      </c>
      <c r="Q1299" s="403" t="str">
        <f t="shared" si="267"/>
        <v/>
      </c>
    </row>
    <row r="1300" spans="1:17" x14ac:dyDescent="0.25">
      <c r="A1300" s="1">
        <f t="shared" ref="A1300:A1362" si="276">A1299+1</f>
        <v>1299</v>
      </c>
      <c r="C1300" s="12" t="s">
        <v>17</v>
      </c>
      <c r="D1300" s="2">
        <v>43304</v>
      </c>
      <c r="E1300" s="3">
        <v>295000</v>
      </c>
      <c r="F1300" t="s">
        <v>100</v>
      </c>
      <c r="G1300" t="s">
        <v>95</v>
      </c>
      <c r="H1300" t="s">
        <v>101</v>
      </c>
      <c r="I1300" s="10" t="s">
        <v>745</v>
      </c>
      <c r="J1300" s="167" t="s">
        <v>746</v>
      </c>
      <c r="L1300" s="9" t="str">
        <f t="shared" si="273"/>
        <v>01299</v>
      </c>
      <c r="M1300" s="71" t="str">
        <f t="shared" si="274"/>
        <v>23 de julio de 2018</v>
      </c>
      <c r="N1300" s="39">
        <f t="shared" si="275"/>
        <v>43282</v>
      </c>
      <c r="O1300" s="9" t="str">
        <f t="shared" ref="O1300:O1301" si="277">TEXT(E1300,"#.##0,00")</f>
        <v>295.000,00</v>
      </c>
      <c r="P1300" s="8" t="str">
        <f t="shared" ref="P1300:P1301" si="278">CONVERTIRNUM(E1300)</f>
        <v>Doscientos Noventa y Cinco Mil Bolívares con 00/100</v>
      </c>
      <c r="Q1300" s="403" t="str">
        <f t="shared" si="267"/>
        <v/>
      </c>
    </row>
    <row r="1301" spans="1:17" x14ac:dyDescent="0.25">
      <c r="A1301" s="1">
        <f t="shared" si="276"/>
        <v>1300</v>
      </c>
      <c r="C1301" s="12" t="s">
        <v>17</v>
      </c>
      <c r="D1301" s="2">
        <v>43304</v>
      </c>
      <c r="E1301" s="3">
        <v>225000</v>
      </c>
      <c r="F1301" t="s">
        <v>252</v>
      </c>
      <c r="G1301" t="s">
        <v>253</v>
      </c>
      <c r="H1301" t="s">
        <v>254</v>
      </c>
      <c r="I1301" t="s">
        <v>781</v>
      </c>
      <c r="J1301" s="167" t="s">
        <v>22</v>
      </c>
      <c r="L1301" s="9" t="str">
        <f t="shared" si="273"/>
        <v>01300</v>
      </c>
      <c r="M1301" s="71" t="str">
        <f t="shared" si="274"/>
        <v>23 de julio de 2018</v>
      </c>
      <c r="N1301" s="39">
        <f t="shared" si="275"/>
        <v>43282</v>
      </c>
      <c r="O1301" s="9" t="str">
        <f t="shared" si="277"/>
        <v>225.000,00</v>
      </c>
      <c r="P1301" s="8" t="str">
        <f t="shared" si="278"/>
        <v>Doscientos Veinticinco Mil Bolívares con 00/100</v>
      </c>
      <c r="Q1301" s="403" t="str">
        <f t="shared" si="267"/>
        <v/>
      </c>
    </row>
    <row r="1302" spans="1:17" x14ac:dyDescent="0.25">
      <c r="A1302" s="1">
        <f t="shared" si="276"/>
        <v>1301</v>
      </c>
      <c r="C1302" s="12" t="s">
        <v>17</v>
      </c>
      <c r="D1302" s="2">
        <v>43304</v>
      </c>
      <c r="E1302" s="3">
        <v>600000</v>
      </c>
      <c r="F1302" t="s">
        <v>252</v>
      </c>
      <c r="G1302" t="s">
        <v>253</v>
      </c>
      <c r="H1302" t="s">
        <v>254</v>
      </c>
      <c r="I1302" t="s">
        <v>782</v>
      </c>
      <c r="J1302" s="167" t="s">
        <v>22</v>
      </c>
      <c r="L1302" s="9" t="str">
        <f t="shared" ref="L1302:L1322" si="279">IF(ISBLANK(A1302),"",TEXT(A1302,"00000"))</f>
        <v>01301</v>
      </c>
      <c r="M1302" s="71" t="str">
        <f t="shared" ref="M1302:M1322" si="280">IF(ISBLANK(D1302),"",TEXT(D1302,"dd")&amp;" de "&amp;TEXT(D1302,"mmmm")&amp;" de "&amp;TEXT(YEAR(D1302),"0"))</f>
        <v>23 de julio de 2018</v>
      </c>
      <c r="N1302" s="39">
        <f t="shared" ref="N1302:N1322" si="281">DATE(YEAR(D1302),MONTH(D1302),1)</f>
        <v>43282</v>
      </c>
      <c r="O1302" s="9" t="str">
        <f t="shared" ref="O1302:O1325" si="282">TEXT(E1302,"#.##0,00")</f>
        <v>600.000,00</v>
      </c>
      <c r="P1302" s="8" t="str">
        <f t="shared" ref="P1302:P1325" si="283">CONVERTIRNUM(E1302)</f>
        <v>Seiscientos Mil Bolívares con 00/100</v>
      </c>
      <c r="Q1302" s="403" t="str">
        <f t="shared" si="267"/>
        <v/>
      </c>
    </row>
    <row r="1303" spans="1:17" x14ac:dyDescent="0.25">
      <c r="A1303" s="1">
        <f t="shared" si="276"/>
        <v>1302</v>
      </c>
      <c r="C1303" s="12" t="s">
        <v>17</v>
      </c>
      <c r="D1303" s="2">
        <v>43304</v>
      </c>
      <c r="E1303" s="3">
        <v>1220000</v>
      </c>
      <c r="F1303" t="s">
        <v>252</v>
      </c>
      <c r="G1303" t="s">
        <v>253</v>
      </c>
      <c r="H1303" t="s">
        <v>254</v>
      </c>
      <c r="I1303" s="10" t="s">
        <v>783</v>
      </c>
      <c r="J1303" s="167" t="s">
        <v>746</v>
      </c>
      <c r="L1303" s="9" t="str">
        <f t="shared" si="279"/>
        <v>01302</v>
      </c>
      <c r="M1303" s="71" t="str">
        <f t="shared" si="280"/>
        <v>23 de julio de 2018</v>
      </c>
      <c r="N1303" s="39">
        <f t="shared" si="281"/>
        <v>43282</v>
      </c>
      <c r="O1303" s="9" t="str">
        <f t="shared" si="282"/>
        <v>1.220.000,00</v>
      </c>
      <c r="P1303" s="8" t="str">
        <f t="shared" si="283"/>
        <v>Un Millón Doscientos Veinte Mil Bolívares con 00/100</v>
      </c>
      <c r="Q1303" s="403" t="str">
        <f t="shared" si="267"/>
        <v/>
      </c>
    </row>
    <row r="1304" spans="1:17" x14ac:dyDescent="0.25">
      <c r="A1304" s="1">
        <f t="shared" si="276"/>
        <v>1303</v>
      </c>
      <c r="C1304" s="12" t="s">
        <v>17</v>
      </c>
      <c r="D1304" s="2">
        <v>43304</v>
      </c>
      <c r="E1304" s="3">
        <v>2000000</v>
      </c>
      <c r="F1304" t="s">
        <v>138</v>
      </c>
      <c r="G1304" t="s">
        <v>139</v>
      </c>
      <c r="H1304" t="s">
        <v>140</v>
      </c>
      <c r="I1304" s="10" t="s">
        <v>784</v>
      </c>
      <c r="J1304" s="167" t="s">
        <v>22</v>
      </c>
      <c r="L1304" s="9" t="str">
        <f t="shared" si="279"/>
        <v>01303</v>
      </c>
      <c r="M1304" s="71" t="str">
        <f t="shared" si="280"/>
        <v>23 de julio de 2018</v>
      </c>
      <c r="N1304" s="39">
        <f t="shared" si="281"/>
        <v>43282</v>
      </c>
      <c r="O1304" s="9" t="str">
        <f t="shared" si="282"/>
        <v>2.000.000,00</v>
      </c>
      <c r="P1304" s="8" t="str">
        <f t="shared" si="283"/>
        <v>Dos Millones Bolívares con 00/100</v>
      </c>
      <c r="Q1304" s="403" t="str">
        <f t="shared" si="267"/>
        <v/>
      </c>
    </row>
    <row r="1305" spans="1:17" x14ac:dyDescent="0.25">
      <c r="A1305" s="1">
        <f t="shared" si="276"/>
        <v>1304</v>
      </c>
      <c r="C1305" s="12" t="s">
        <v>17</v>
      </c>
      <c r="D1305" s="2">
        <v>43307</v>
      </c>
      <c r="E1305" s="3">
        <v>150000</v>
      </c>
      <c r="F1305" t="s">
        <v>284</v>
      </c>
      <c r="G1305" t="s">
        <v>687</v>
      </c>
      <c r="H1305" t="s">
        <v>285</v>
      </c>
      <c r="I1305" s="10" t="s">
        <v>732</v>
      </c>
      <c r="J1305" s="167" t="s">
        <v>22</v>
      </c>
      <c r="L1305" s="9" t="str">
        <f t="shared" si="279"/>
        <v>01304</v>
      </c>
      <c r="M1305" s="71" t="str">
        <f t="shared" si="280"/>
        <v>26 de julio de 2018</v>
      </c>
      <c r="N1305" s="39">
        <f t="shared" si="281"/>
        <v>43282</v>
      </c>
      <c r="O1305" s="9" t="str">
        <f t="shared" si="282"/>
        <v>150.000,00</v>
      </c>
      <c r="P1305" s="8" t="str">
        <f t="shared" si="283"/>
        <v>Ciento Cincuenta Mil Bolívares con 00/100</v>
      </c>
      <c r="Q1305" s="403" t="str">
        <f t="shared" si="267"/>
        <v/>
      </c>
    </row>
    <row r="1306" spans="1:17" x14ac:dyDescent="0.25">
      <c r="A1306" s="1">
        <f t="shared" si="276"/>
        <v>1305</v>
      </c>
      <c r="C1306" s="12" t="s">
        <v>17</v>
      </c>
      <c r="D1306" s="2">
        <v>43307</v>
      </c>
      <c r="E1306" s="3">
        <v>1200000</v>
      </c>
      <c r="F1306" t="s">
        <v>284</v>
      </c>
      <c r="G1306" t="s">
        <v>687</v>
      </c>
      <c r="H1306" t="s">
        <v>285</v>
      </c>
      <c r="I1306" s="10" t="s">
        <v>745</v>
      </c>
      <c r="J1306" s="167" t="s">
        <v>746</v>
      </c>
      <c r="L1306" s="9" t="str">
        <f t="shared" si="279"/>
        <v>01305</v>
      </c>
      <c r="M1306" s="71" t="str">
        <f t="shared" si="280"/>
        <v>26 de julio de 2018</v>
      </c>
      <c r="N1306" s="39">
        <f t="shared" si="281"/>
        <v>43282</v>
      </c>
      <c r="O1306" s="9" t="str">
        <f t="shared" si="282"/>
        <v>1.200.000,00</v>
      </c>
      <c r="P1306" s="8" t="str">
        <f t="shared" si="283"/>
        <v>Un Millón Doscientos Mil Bolívares con 00/100</v>
      </c>
      <c r="Q1306" s="403" t="str">
        <f t="shared" si="267"/>
        <v/>
      </c>
    </row>
    <row r="1307" spans="1:17" x14ac:dyDescent="0.25">
      <c r="A1307" s="1">
        <f t="shared" si="276"/>
        <v>1306</v>
      </c>
      <c r="C1307" s="12" t="s">
        <v>17</v>
      </c>
      <c r="D1307" s="2">
        <v>43307</v>
      </c>
      <c r="E1307" s="3">
        <v>625000</v>
      </c>
      <c r="F1307" t="s">
        <v>185</v>
      </c>
      <c r="G1307" t="s">
        <v>186</v>
      </c>
      <c r="H1307" t="s">
        <v>187</v>
      </c>
      <c r="I1307" s="10" t="s">
        <v>747</v>
      </c>
      <c r="J1307" s="167" t="s">
        <v>22</v>
      </c>
      <c r="L1307" s="9" t="str">
        <f t="shared" si="279"/>
        <v>01306</v>
      </c>
      <c r="M1307" s="71" t="str">
        <f t="shared" si="280"/>
        <v>26 de julio de 2018</v>
      </c>
      <c r="N1307" s="39">
        <f t="shared" si="281"/>
        <v>43282</v>
      </c>
      <c r="O1307" s="9" t="str">
        <f t="shared" si="282"/>
        <v>625.000,00</v>
      </c>
      <c r="P1307" s="8" t="str">
        <f t="shared" si="283"/>
        <v>Seiscientos Veinticinco Mil Bolívares con 00/100</v>
      </c>
      <c r="Q1307" s="403" t="str">
        <f t="shared" si="267"/>
        <v/>
      </c>
    </row>
    <row r="1308" spans="1:17" x14ac:dyDescent="0.25">
      <c r="A1308" s="1">
        <f t="shared" si="276"/>
        <v>1307</v>
      </c>
      <c r="C1308" s="12" t="s">
        <v>17</v>
      </c>
      <c r="D1308" s="2">
        <v>43307</v>
      </c>
      <c r="E1308" s="3">
        <v>1220000</v>
      </c>
      <c r="F1308" t="s">
        <v>185</v>
      </c>
      <c r="G1308" t="s">
        <v>186</v>
      </c>
      <c r="H1308" t="s">
        <v>187</v>
      </c>
      <c r="I1308" s="10" t="s">
        <v>745</v>
      </c>
      <c r="J1308" s="167" t="s">
        <v>746</v>
      </c>
      <c r="L1308" s="9" t="str">
        <f t="shared" si="279"/>
        <v>01307</v>
      </c>
      <c r="M1308" s="71" t="str">
        <f t="shared" si="280"/>
        <v>26 de julio de 2018</v>
      </c>
      <c r="N1308" s="39">
        <f t="shared" si="281"/>
        <v>43282</v>
      </c>
      <c r="O1308" s="9" t="str">
        <f t="shared" si="282"/>
        <v>1.220.000,00</v>
      </c>
      <c r="P1308" s="8" t="str">
        <f t="shared" si="283"/>
        <v>Un Millón Doscientos Veinte Mil Bolívares con 00/100</v>
      </c>
      <c r="Q1308" s="403" t="str">
        <f t="shared" si="267"/>
        <v/>
      </c>
    </row>
    <row r="1309" spans="1:17" x14ac:dyDescent="0.25">
      <c r="A1309" s="1">
        <f t="shared" si="276"/>
        <v>1308</v>
      </c>
      <c r="C1309" s="12" t="s">
        <v>17</v>
      </c>
      <c r="D1309" s="2">
        <v>43307</v>
      </c>
      <c r="E1309" s="3">
        <f>2385000-400000</f>
        <v>1985000</v>
      </c>
      <c r="F1309" t="s">
        <v>291</v>
      </c>
      <c r="G1309" t="s">
        <v>292</v>
      </c>
      <c r="H1309" t="s">
        <v>293</v>
      </c>
      <c r="I1309" s="10" t="s">
        <v>785</v>
      </c>
      <c r="J1309" s="167" t="s">
        <v>22</v>
      </c>
      <c r="L1309" s="9" t="str">
        <f t="shared" si="279"/>
        <v>01308</v>
      </c>
      <c r="M1309" s="71" t="str">
        <f t="shared" si="280"/>
        <v>26 de julio de 2018</v>
      </c>
      <c r="N1309" s="39">
        <f t="shared" si="281"/>
        <v>43282</v>
      </c>
      <c r="O1309" s="9" t="str">
        <f t="shared" si="282"/>
        <v>1.985.000,00</v>
      </c>
      <c r="P1309" s="8" t="str">
        <f t="shared" si="283"/>
        <v>Un Millón Novecientos Ochenta y Cinco Mil Bolívares con 00/100</v>
      </c>
      <c r="Q1309" s="403" t="str">
        <f t="shared" si="267"/>
        <v/>
      </c>
    </row>
    <row r="1310" spans="1:17" x14ac:dyDescent="0.25">
      <c r="A1310" s="1">
        <f t="shared" si="276"/>
        <v>1309</v>
      </c>
      <c r="C1310" s="12" t="s">
        <v>17</v>
      </c>
      <c r="D1310" s="2">
        <v>43307</v>
      </c>
      <c r="E1310" s="3">
        <v>1220000</v>
      </c>
      <c r="F1310" t="s">
        <v>291</v>
      </c>
      <c r="G1310" t="s">
        <v>292</v>
      </c>
      <c r="H1310" t="s">
        <v>293</v>
      </c>
      <c r="I1310" s="10" t="s">
        <v>745</v>
      </c>
      <c r="J1310" s="167" t="s">
        <v>746</v>
      </c>
      <c r="L1310" s="9" t="str">
        <f t="shared" si="279"/>
        <v>01309</v>
      </c>
      <c r="M1310" s="71" t="str">
        <f t="shared" si="280"/>
        <v>26 de julio de 2018</v>
      </c>
      <c r="N1310" s="39">
        <f t="shared" si="281"/>
        <v>43282</v>
      </c>
      <c r="O1310" s="9" t="str">
        <f t="shared" si="282"/>
        <v>1.220.000,00</v>
      </c>
      <c r="P1310" s="8" t="str">
        <f t="shared" si="283"/>
        <v>Un Millón Doscientos Veinte Mil Bolívares con 00/100</v>
      </c>
      <c r="Q1310" s="403" t="str">
        <f t="shared" si="267"/>
        <v/>
      </c>
    </row>
    <row r="1311" spans="1:17" x14ac:dyDescent="0.25">
      <c r="A1311" s="1">
        <f t="shared" si="276"/>
        <v>1310</v>
      </c>
      <c r="C1311" s="12" t="s">
        <v>17</v>
      </c>
      <c r="D1311" s="2">
        <v>43308</v>
      </c>
      <c r="E1311" s="3">
        <v>150000</v>
      </c>
      <c r="F1311" t="s">
        <v>66</v>
      </c>
      <c r="G1311" t="s">
        <v>67</v>
      </c>
      <c r="H1311" t="s">
        <v>68</v>
      </c>
      <c r="I1311" s="10" t="s">
        <v>755</v>
      </c>
      <c r="J1311" s="167" t="s">
        <v>22</v>
      </c>
      <c r="L1311" s="9" t="str">
        <f t="shared" si="279"/>
        <v>01310</v>
      </c>
      <c r="M1311" s="71" t="str">
        <f t="shared" si="280"/>
        <v>27 de julio de 2018</v>
      </c>
      <c r="N1311" s="39">
        <f t="shared" si="281"/>
        <v>43282</v>
      </c>
      <c r="O1311" s="9" t="str">
        <f t="shared" si="282"/>
        <v>150.000,00</v>
      </c>
      <c r="P1311" s="8" t="str">
        <f t="shared" si="283"/>
        <v>Ciento Cincuenta Mil Bolívares con 00/100</v>
      </c>
      <c r="Q1311" s="403" t="str">
        <f t="shared" si="267"/>
        <v/>
      </c>
    </row>
    <row r="1312" spans="1:17" x14ac:dyDescent="0.25">
      <c r="A1312" s="1">
        <f t="shared" si="276"/>
        <v>1311</v>
      </c>
      <c r="C1312" s="12" t="s">
        <v>17</v>
      </c>
      <c r="D1312" s="2">
        <v>43279</v>
      </c>
      <c r="E1312" s="3">
        <v>1220000</v>
      </c>
      <c r="F1312" t="s">
        <v>66</v>
      </c>
      <c r="G1312" t="s">
        <v>67</v>
      </c>
      <c r="H1312" t="s">
        <v>68</v>
      </c>
      <c r="I1312" s="10" t="s">
        <v>745</v>
      </c>
      <c r="J1312" s="167" t="s">
        <v>746</v>
      </c>
      <c r="L1312" s="9" t="str">
        <f t="shared" si="279"/>
        <v>01311</v>
      </c>
      <c r="M1312" s="71" t="str">
        <f t="shared" si="280"/>
        <v>28 de junio de 2018</v>
      </c>
      <c r="N1312" s="39">
        <f t="shared" si="281"/>
        <v>43252</v>
      </c>
      <c r="O1312" s="9" t="str">
        <f t="shared" si="282"/>
        <v>1.220.000,00</v>
      </c>
      <c r="P1312" s="8" t="str">
        <f t="shared" si="283"/>
        <v>Un Millón Doscientos Veinte Mil Bolívares con 00/100</v>
      </c>
      <c r="Q1312" s="403" t="str">
        <f t="shared" si="267"/>
        <v/>
      </c>
    </row>
    <row r="1313" spans="1:17" x14ac:dyDescent="0.25">
      <c r="A1313" s="1">
        <f t="shared" si="276"/>
        <v>1312</v>
      </c>
      <c r="C1313" s="12" t="s">
        <v>17</v>
      </c>
      <c r="D1313" s="2">
        <v>43308</v>
      </c>
      <c r="E1313" s="3">
        <v>1250000</v>
      </c>
      <c r="F1313" t="s">
        <v>53</v>
      </c>
      <c r="G1313" t="s">
        <v>677</v>
      </c>
      <c r="H1313" t="s">
        <v>55</v>
      </c>
      <c r="I1313" s="10" t="s">
        <v>745</v>
      </c>
      <c r="J1313" s="167" t="s">
        <v>746</v>
      </c>
      <c r="L1313" s="9" t="str">
        <f t="shared" si="279"/>
        <v>01312</v>
      </c>
      <c r="M1313" s="71" t="str">
        <f t="shared" si="280"/>
        <v>27 de julio de 2018</v>
      </c>
      <c r="N1313" s="39">
        <f t="shared" si="281"/>
        <v>43282</v>
      </c>
      <c r="O1313" s="9" t="str">
        <f t="shared" si="282"/>
        <v>1.250.000,00</v>
      </c>
      <c r="P1313" s="8" t="str">
        <f t="shared" si="283"/>
        <v>Un Millón Doscientos Cincuenta Mil Bolívares con 00/100</v>
      </c>
      <c r="Q1313" s="403" t="str">
        <f t="shared" si="267"/>
        <v/>
      </c>
    </row>
    <row r="1314" spans="1:17" x14ac:dyDescent="0.25">
      <c r="A1314" s="1">
        <f t="shared" si="276"/>
        <v>1313</v>
      </c>
      <c r="C1314" s="12" t="s">
        <v>17</v>
      </c>
      <c r="D1314" s="2">
        <v>43308</v>
      </c>
      <c r="E1314" s="3">
        <v>1000000</v>
      </c>
      <c r="F1314" t="s">
        <v>134</v>
      </c>
      <c r="G1314" t="s">
        <v>135</v>
      </c>
      <c r="H1314" t="s">
        <v>136</v>
      </c>
      <c r="I1314" s="10" t="s">
        <v>751</v>
      </c>
      <c r="J1314" s="167" t="s">
        <v>22</v>
      </c>
      <c r="L1314" s="9" t="str">
        <f t="shared" si="279"/>
        <v>01313</v>
      </c>
      <c r="M1314" s="71" t="str">
        <f t="shared" si="280"/>
        <v>27 de julio de 2018</v>
      </c>
      <c r="N1314" s="39">
        <f t="shared" si="281"/>
        <v>43282</v>
      </c>
      <c r="O1314" s="9" t="str">
        <f t="shared" si="282"/>
        <v>1.000.000,00</v>
      </c>
      <c r="P1314" s="8" t="str">
        <f t="shared" si="283"/>
        <v>Un Millón Bolívares con 00/100</v>
      </c>
      <c r="Q1314" s="403" t="str">
        <f t="shared" si="267"/>
        <v/>
      </c>
    </row>
    <row r="1315" spans="1:17" x14ac:dyDescent="0.25">
      <c r="A1315" s="1">
        <f t="shared" si="276"/>
        <v>1314</v>
      </c>
      <c r="C1315" s="12" t="s">
        <v>17</v>
      </c>
      <c r="D1315" s="2">
        <v>43309</v>
      </c>
      <c r="E1315" s="3">
        <f>225000+1000000</f>
        <v>1225000</v>
      </c>
      <c r="F1315" t="s">
        <v>786</v>
      </c>
      <c r="G1315" t="s">
        <v>787</v>
      </c>
      <c r="H1315" t="s">
        <v>720</v>
      </c>
      <c r="I1315" s="10" t="s">
        <v>737</v>
      </c>
      <c r="J1315" s="167" t="s">
        <v>22</v>
      </c>
      <c r="L1315" s="9" t="str">
        <f t="shared" si="279"/>
        <v>01314</v>
      </c>
      <c r="M1315" s="71" t="str">
        <f t="shared" si="280"/>
        <v>28 de julio de 2018</v>
      </c>
      <c r="N1315" s="39">
        <f t="shared" si="281"/>
        <v>43282</v>
      </c>
      <c r="O1315" s="9" t="str">
        <f t="shared" si="282"/>
        <v>1.225.000,00</v>
      </c>
      <c r="P1315" s="8" t="str">
        <f t="shared" si="283"/>
        <v>Un Millón Doscientos Veinticinco Mil Bolívares con 00/100</v>
      </c>
      <c r="Q1315" s="403" t="str">
        <f t="shared" si="267"/>
        <v/>
      </c>
    </row>
    <row r="1316" spans="1:17" ht="15.75" thickBot="1" x14ac:dyDescent="0.3">
      <c r="A1316" s="1">
        <f t="shared" si="276"/>
        <v>1315</v>
      </c>
      <c r="C1316" s="12" t="s">
        <v>17</v>
      </c>
      <c r="D1316" s="2">
        <v>43309</v>
      </c>
      <c r="E1316" s="3">
        <v>1220000</v>
      </c>
      <c r="F1316" t="s">
        <v>786</v>
      </c>
      <c r="G1316" t="s">
        <v>787</v>
      </c>
      <c r="H1316" t="s">
        <v>720</v>
      </c>
      <c r="I1316" s="10" t="s">
        <v>745</v>
      </c>
      <c r="J1316" s="167" t="s">
        <v>746</v>
      </c>
      <c r="L1316" s="9" t="str">
        <f t="shared" si="279"/>
        <v>01315</v>
      </c>
      <c r="M1316" s="71" t="str">
        <f t="shared" si="280"/>
        <v>28 de julio de 2018</v>
      </c>
      <c r="N1316" s="39">
        <f t="shared" si="281"/>
        <v>43282</v>
      </c>
      <c r="O1316" s="9" t="str">
        <f t="shared" si="282"/>
        <v>1.220.000,00</v>
      </c>
      <c r="P1316" s="8" t="str">
        <f t="shared" si="283"/>
        <v>Un Millón Doscientos Veinte Mil Bolívares con 00/100</v>
      </c>
      <c r="Q1316" s="403" t="str">
        <f t="shared" si="267"/>
        <v/>
      </c>
    </row>
    <row r="1317" spans="1:17" ht="15.75" thickBot="1" x14ac:dyDescent="0.3">
      <c r="A1317" s="1">
        <f t="shared" si="276"/>
        <v>1316</v>
      </c>
      <c r="C1317" s="255" t="s">
        <v>17</v>
      </c>
      <c r="D1317" s="2">
        <v>43310</v>
      </c>
      <c r="E1317" s="3">
        <v>1000000</v>
      </c>
      <c r="F1317" t="s">
        <v>40</v>
      </c>
      <c r="G1317" s="27" t="s">
        <v>58</v>
      </c>
      <c r="H1317" t="s">
        <v>42</v>
      </c>
      <c r="I1317" s="10" t="s">
        <v>788</v>
      </c>
      <c r="J1317" s="167" t="s">
        <v>22</v>
      </c>
      <c r="L1317" s="9" t="str">
        <f t="shared" si="279"/>
        <v>01316</v>
      </c>
      <c r="M1317" s="71" t="str">
        <f t="shared" si="280"/>
        <v>29 de julio de 2018</v>
      </c>
      <c r="N1317" s="39">
        <f t="shared" si="281"/>
        <v>43282</v>
      </c>
      <c r="O1317" s="9" t="str">
        <f t="shared" si="282"/>
        <v>1.000.000,00</v>
      </c>
      <c r="P1317" s="8" t="str">
        <f t="shared" si="283"/>
        <v>Un Millón Bolívares con 00/100</v>
      </c>
      <c r="Q1317" s="403" t="str">
        <f t="shared" si="267"/>
        <v/>
      </c>
    </row>
    <row r="1318" spans="1:17" ht="15.75" thickBot="1" x14ac:dyDescent="0.3">
      <c r="A1318" s="1">
        <f t="shared" si="276"/>
        <v>1317</v>
      </c>
      <c r="C1318" s="255" t="s">
        <v>17</v>
      </c>
      <c r="D1318" s="2">
        <v>43310</v>
      </c>
      <c r="E1318" s="3">
        <v>1220000</v>
      </c>
      <c r="F1318" t="s">
        <v>40</v>
      </c>
      <c r="G1318" s="27" t="s">
        <v>58</v>
      </c>
      <c r="H1318" t="s">
        <v>42</v>
      </c>
      <c r="I1318" s="10" t="s">
        <v>745</v>
      </c>
      <c r="J1318" s="167" t="s">
        <v>746</v>
      </c>
      <c r="L1318" s="9" t="str">
        <f t="shared" si="279"/>
        <v>01317</v>
      </c>
      <c r="M1318" s="71" t="str">
        <f t="shared" si="280"/>
        <v>29 de julio de 2018</v>
      </c>
      <c r="N1318" s="39">
        <f t="shared" si="281"/>
        <v>43282</v>
      </c>
      <c r="O1318" s="9" t="str">
        <f t="shared" si="282"/>
        <v>1.220.000,00</v>
      </c>
      <c r="P1318" s="8" t="str">
        <f t="shared" si="283"/>
        <v>Un Millón Doscientos Veinte Mil Bolívares con 00/100</v>
      </c>
      <c r="Q1318" s="403" t="str">
        <f t="shared" si="267"/>
        <v/>
      </c>
    </row>
    <row r="1319" spans="1:17" x14ac:dyDescent="0.25">
      <c r="A1319" s="1">
        <f t="shared" si="276"/>
        <v>1318</v>
      </c>
      <c r="C1319" s="12" t="s">
        <v>17</v>
      </c>
      <c r="D1319" s="2">
        <v>43310</v>
      </c>
      <c r="E1319" s="3">
        <v>500000</v>
      </c>
      <c r="F1319" t="s">
        <v>413</v>
      </c>
      <c r="G1319" t="s">
        <v>414</v>
      </c>
      <c r="H1319" t="s">
        <v>415</v>
      </c>
      <c r="I1319" s="10" t="s">
        <v>447</v>
      </c>
      <c r="J1319" s="167" t="s">
        <v>22</v>
      </c>
      <c r="L1319" s="9" t="str">
        <f t="shared" si="279"/>
        <v>01318</v>
      </c>
      <c r="M1319" s="71" t="str">
        <f t="shared" si="280"/>
        <v>29 de julio de 2018</v>
      </c>
      <c r="N1319" s="39">
        <f t="shared" si="281"/>
        <v>43282</v>
      </c>
      <c r="O1319" s="9" t="str">
        <f t="shared" si="282"/>
        <v>500.000,00</v>
      </c>
      <c r="P1319" s="8" t="str">
        <f t="shared" si="283"/>
        <v>Quinientos Mil Bolívares con 00/100</v>
      </c>
      <c r="Q1319" s="403" t="str">
        <f t="shared" si="267"/>
        <v/>
      </c>
    </row>
    <row r="1320" spans="1:17" x14ac:dyDescent="0.25">
      <c r="A1320" s="1">
        <f t="shared" si="276"/>
        <v>1319</v>
      </c>
      <c r="C1320" s="12" t="s">
        <v>17</v>
      </c>
      <c r="D1320" s="2">
        <v>43310</v>
      </c>
      <c r="E1320" s="3">
        <v>500000</v>
      </c>
      <c r="F1320" t="s">
        <v>413</v>
      </c>
      <c r="G1320" t="s">
        <v>414</v>
      </c>
      <c r="H1320" t="s">
        <v>415</v>
      </c>
      <c r="I1320" s="10" t="s">
        <v>745</v>
      </c>
      <c r="J1320" s="167" t="s">
        <v>746</v>
      </c>
      <c r="L1320" s="9" t="str">
        <f t="shared" si="279"/>
        <v>01319</v>
      </c>
      <c r="M1320" s="71" t="str">
        <f t="shared" si="280"/>
        <v>29 de julio de 2018</v>
      </c>
      <c r="N1320" s="39">
        <f t="shared" si="281"/>
        <v>43282</v>
      </c>
      <c r="O1320" s="9" t="str">
        <f t="shared" si="282"/>
        <v>500.000,00</v>
      </c>
      <c r="P1320" s="8" t="str">
        <f t="shared" si="283"/>
        <v>Quinientos Mil Bolívares con 00/100</v>
      </c>
      <c r="Q1320" s="403" t="str">
        <f t="shared" si="267"/>
        <v/>
      </c>
    </row>
    <row r="1321" spans="1:17" ht="15.75" thickBot="1" x14ac:dyDescent="0.3">
      <c r="A1321" s="1">
        <f t="shared" si="276"/>
        <v>1320</v>
      </c>
      <c r="C1321" s="12" t="s">
        <v>17</v>
      </c>
      <c r="D1321" s="2">
        <v>43312</v>
      </c>
      <c r="E1321" s="3">
        <v>1000000</v>
      </c>
      <c r="F1321" t="s">
        <v>312</v>
      </c>
      <c r="G1321" t="s">
        <v>313</v>
      </c>
      <c r="H1321" t="s">
        <v>314</v>
      </c>
      <c r="I1321" s="10" t="s">
        <v>751</v>
      </c>
      <c r="J1321" s="167" t="s">
        <v>22</v>
      </c>
      <c r="L1321" s="9" t="str">
        <f t="shared" si="279"/>
        <v>01320</v>
      </c>
      <c r="M1321" s="71" t="str">
        <f t="shared" si="280"/>
        <v>31 de julio de 2018</v>
      </c>
      <c r="N1321" s="39">
        <f t="shared" si="281"/>
        <v>43282</v>
      </c>
      <c r="O1321" s="9" t="str">
        <f t="shared" si="282"/>
        <v>1.000.000,00</v>
      </c>
      <c r="P1321" s="8" t="str">
        <f t="shared" si="283"/>
        <v>Un Millón Bolívares con 00/100</v>
      </c>
      <c r="Q1321" s="403" t="str">
        <f t="shared" si="267"/>
        <v/>
      </c>
    </row>
    <row r="1322" spans="1:17" ht="15.75" thickBot="1" x14ac:dyDescent="0.3">
      <c r="A1322" s="1">
        <f t="shared" si="276"/>
        <v>1321</v>
      </c>
      <c r="C1322" s="255" t="s">
        <v>17</v>
      </c>
      <c r="D1322" s="2">
        <v>43312</v>
      </c>
      <c r="E1322" s="351">
        <v>200000</v>
      </c>
      <c r="F1322" t="s">
        <v>492</v>
      </c>
      <c r="G1322" s="27" t="s">
        <v>58</v>
      </c>
      <c r="H1322" t="s">
        <v>493</v>
      </c>
      <c r="I1322" s="10" t="s">
        <v>761</v>
      </c>
      <c r="J1322" s="167" t="s">
        <v>22</v>
      </c>
      <c r="L1322" s="9" t="str">
        <f t="shared" si="279"/>
        <v>01321</v>
      </c>
      <c r="M1322" s="71" t="str">
        <f t="shared" si="280"/>
        <v>31 de julio de 2018</v>
      </c>
      <c r="N1322" s="39">
        <f t="shared" si="281"/>
        <v>43282</v>
      </c>
      <c r="O1322" s="9" t="str">
        <f t="shared" si="282"/>
        <v>200.000,00</v>
      </c>
      <c r="P1322" s="8" t="str">
        <f t="shared" si="283"/>
        <v>Doscientos Mil Bolívares con 00/100</v>
      </c>
      <c r="Q1322" s="403" t="str">
        <f t="shared" si="267"/>
        <v/>
      </c>
    </row>
    <row r="1323" spans="1:17" x14ac:dyDescent="0.25">
      <c r="A1323" s="1">
        <f t="shared" si="276"/>
        <v>1322</v>
      </c>
      <c r="C1323" s="12" t="s">
        <v>17</v>
      </c>
      <c r="D1323" s="2">
        <v>43312</v>
      </c>
      <c r="E1323" s="3">
        <v>1200000</v>
      </c>
      <c r="F1323" t="s">
        <v>243</v>
      </c>
      <c r="G1323" t="s">
        <v>244</v>
      </c>
      <c r="H1323" t="s">
        <v>245</v>
      </c>
      <c r="I1323" s="10" t="s">
        <v>789</v>
      </c>
      <c r="J1323" s="167" t="s">
        <v>22</v>
      </c>
      <c r="L1323" s="9" t="str">
        <f>IF(ISBLANK(A1323),"",TEXT(A1323,"00000"))</f>
        <v>01322</v>
      </c>
      <c r="M1323" s="71" t="str">
        <f>IF(ISBLANK(D1323),"",TEXT(D1323,"dd")&amp;" de "&amp;TEXT(D1323,"mmmm")&amp;" de "&amp;TEXT(YEAR(D1323),"0"))</f>
        <v>31 de julio de 2018</v>
      </c>
      <c r="N1323" s="39">
        <f>DATE(YEAR(D1323),MONTH(D1323),1)</f>
        <v>43282</v>
      </c>
      <c r="O1323" s="9" t="str">
        <f t="shared" si="282"/>
        <v>1.200.000,00</v>
      </c>
      <c r="P1323" s="8" t="str">
        <f t="shared" si="283"/>
        <v>Un Millón Doscientos Mil Bolívares con 00/100</v>
      </c>
      <c r="Q1323" s="403" t="str">
        <f t="shared" si="267"/>
        <v/>
      </c>
    </row>
    <row r="1324" spans="1:17" x14ac:dyDescent="0.25">
      <c r="A1324" s="1">
        <f t="shared" si="276"/>
        <v>1323</v>
      </c>
      <c r="C1324" s="12" t="s">
        <v>17</v>
      </c>
      <c r="D1324" s="2">
        <v>43312</v>
      </c>
      <c r="E1324" s="3">
        <v>1220000</v>
      </c>
      <c r="F1324" t="s">
        <v>107</v>
      </c>
      <c r="G1324" t="s">
        <v>108</v>
      </c>
      <c r="H1324" t="s">
        <v>109</v>
      </c>
      <c r="I1324" s="10" t="s">
        <v>788</v>
      </c>
      <c r="J1324" s="167" t="s">
        <v>22</v>
      </c>
      <c r="L1324" s="9" t="str">
        <f t="shared" ref="L1324:L1325" si="284">IF(ISBLANK(A1324),"",TEXT(A1324,"00000"))</f>
        <v>01323</v>
      </c>
      <c r="M1324" s="71" t="str">
        <f t="shared" ref="M1324:M1325" si="285">IF(ISBLANK(D1324),"",TEXT(D1324,"dd")&amp;" de "&amp;TEXT(D1324,"mmmm")&amp;" de "&amp;TEXT(YEAR(D1324),"0"))</f>
        <v>31 de julio de 2018</v>
      </c>
      <c r="N1324" s="39">
        <f t="shared" ref="N1324:N1325" si="286">DATE(YEAR(D1324),MONTH(D1324),1)</f>
        <v>43282</v>
      </c>
      <c r="O1324" s="9" t="str">
        <f t="shared" si="282"/>
        <v>1.220.000,00</v>
      </c>
      <c r="P1324" s="8" t="str">
        <f t="shared" si="283"/>
        <v>Un Millón Doscientos Veinte Mil Bolívares con 00/100</v>
      </c>
      <c r="Q1324" s="403" t="str">
        <f t="shared" si="267"/>
        <v/>
      </c>
    </row>
    <row r="1325" spans="1:17" x14ac:dyDescent="0.25">
      <c r="A1325" s="1">
        <f t="shared" si="276"/>
        <v>1324</v>
      </c>
      <c r="C1325" s="12" t="s">
        <v>17</v>
      </c>
      <c r="D1325" s="2">
        <v>43313</v>
      </c>
      <c r="E1325" s="3">
        <f>150000+1200000</f>
        <v>1350000</v>
      </c>
      <c r="F1325" t="s">
        <v>698</v>
      </c>
      <c r="G1325" t="s">
        <v>699</v>
      </c>
      <c r="H1325" t="s">
        <v>150</v>
      </c>
      <c r="I1325" s="10" t="s">
        <v>790</v>
      </c>
      <c r="J1325" s="167" t="s">
        <v>22</v>
      </c>
      <c r="L1325" s="9" t="str">
        <f t="shared" si="284"/>
        <v>01324</v>
      </c>
      <c r="M1325" s="71" t="str">
        <f t="shared" si="285"/>
        <v>01 de agosto de 2018</v>
      </c>
      <c r="N1325" s="39">
        <f t="shared" si="286"/>
        <v>43313</v>
      </c>
      <c r="O1325" s="9" t="str">
        <f t="shared" si="282"/>
        <v>1.350.000,00</v>
      </c>
      <c r="P1325" s="8" t="str">
        <f t="shared" si="283"/>
        <v>Un Millón Trescientos Cincuenta Mil Bolívares con 00/100</v>
      </c>
      <c r="Q1325" s="403" t="str">
        <f t="shared" si="267"/>
        <v/>
      </c>
    </row>
    <row r="1326" spans="1:17" x14ac:dyDescent="0.25">
      <c r="A1326" s="1">
        <f t="shared" si="276"/>
        <v>1325</v>
      </c>
      <c r="C1326" s="12" t="s">
        <v>17</v>
      </c>
      <c r="D1326" s="2">
        <v>43313</v>
      </c>
      <c r="E1326" s="3">
        <v>1220000</v>
      </c>
      <c r="F1326" t="s">
        <v>698</v>
      </c>
      <c r="G1326" t="s">
        <v>699</v>
      </c>
      <c r="H1326" t="s">
        <v>150</v>
      </c>
      <c r="I1326" s="10" t="s">
        <v>745</v>
      </c>
      <c r="J1326" s="167" t="s">
        <v>746</v>
      </c>
      <c r="L1326" s="9" t="str">
        <f t="shared" ref="L1326:L1342" si="287">IF(ISBLANK(A1326),"",TEXT(A1326,"00000"))</f>
        <v>01325</v>
      </c>
      <c r="M1326" s="71" t="str">
        <f t="shared" ref="M1326:M1342" si="288">IF(ISBLANK(D1326),"",TEXT(D1326,"dd")&amp;" de "&amp;TEXT(D1326,"mmmm")&amp;" de "&amp;TEXT(YEAR(D1326),"0"))</f>
        <v>01 de agosto de 2018</v>
      </c>
      <c r="N1326" s="39">
        <f t="shared" ref="N1326:N1342" si="289">DATE(YEAR(D1326),MONTH(D1326),1)</f>
        <v>43313</v>
      </c>
      <c r="O1326" s="9" t="str">
        <f t="shared" ref="O1326:O1342" si="290">TEXT(E1326,"#.##0,00")</f>
        <v>1.220.000,00</v>
      </c>
      <c r="P1326" s="8" t="str">
        <f t="shared" ref="P1326:P1334" si="291">CONVERTIRNUM(E1326)</f>
        <v>Un Millón Doscientos Veinte Mil Bolívares con 00/100</v>
      </c>
      <c r="Q1326" s="403" t="str">
        <f t="shared" si="267"/>
        <v/>
      </c>
    </row>
    <row r="1327" spans="1:17" x14ac:dyDescent="0.25">
      <c r="A1327" s="1">
        <f t="shared" si="276"/>
        <v>1326</v>
      </c>
      <c r="C1327" s="12" t="s">
        <v>17</v>
      </c>
      <c r="D1327" s="2">
        <v>43313</v>
      </c>
      <c r="E1327" s="3">
        <v>1200000</v>
      </c>
      <c r="F1327" t="s">
        <v>714</v>
      </c>
      <c r="G1327" t="s">
        <v>715</v>
      </c>
      <c r="H1327" t="s">
        <v>154</v>
      </c>
      <c r="I1327" s="10" t="s">
        <v>788</v>
      </c>
      <c r="J1327" s="167" t="s">
        <v>22</v>
      </c>
      <c r="L1327" s="9" t="str">
        <f t="shared" si="287"/>
        <v>01326</v>
      </c>
      <c r="M1327" s="71" t="str">
        <f t="shared" si="288"/>
        <v>01 de agosto de 2018</v>
      </c>
      <c r="N1327" s="39">
        <f t="shared" si="289"/>
        <v>43313</v>
      </c>
      <c r="O1327" s="9" t="str">
        <f t="shared" si="290"/>
        <v>1.200.000,00</v>
      </c>
      <c r="P1327" s="8" t="str">
        <f t="shared" si="291"/>
        <v>Un Millón Doscientos Mil Bolívares con 00/100</v>
      </c>
      <c r="Q1327" s="403" t="str">
        <f t="shared" si="267"/>
        <v/>
      </c>
    </row>
    <row r="1328" spans="1:17" x14ac:dyDescent="0.25">
      <c r="A1328" s="1">
        <f t="shared" si="276"/>
        <v>1327</v>
      </c>
      <c r="C1328" s="12" t="s">
        <v>17</v>
      </c>
      <c r="D1328" s="2">
        <v>43313</v>
      </c>
      <c r="E1328" s="3">
        <v>1220000</v>
      </c>
      <c r="F1328" t="s">
        <v>714</v>
      </c>
      <c r="G1328" t="s">
        <v>715</v>
      </c>
      <c r="H1328" t="s">
        <v>154</v>
      </c>
      <c r="I1328" s="10" t="s">
        <v>745</v>
      </c>
      <c r="J1328" s="167" t="s">
        <v>746</v>
      </c>
      <c r="L1328" s="9" t="str">
        <f t="shared" si="287"/>
        <v>01327</v>
      </c>
      <c r="M1328" s="71" t="str">
        <f t="shared" si="288"/>
        <v>01 de agosto de 2018</v>
      </c>
      <c r="N1328" s="39">
        <f t="shared" si="289"/>
        <v>43313</v>
      </c>
      <c r="O1328" s="9" t="str">
        <f t="shared" si="290"/>
        <v>1.220.000,00</v>
      </c>
      <c r="P1328" s="8" t="str">
        <f t="shared" si="291"/>
        <v>Un Millón Doscientos Veinte Mil Bolívares con 00/100</v>
      </c>
      <c r="Q1328" s="403" t="str">
        <f t="shared" si="267"/>
        <v/>
      </c>
    </row>
    <row r="1329" spans="1:17" x14ac:dyDescent="0.25">
      <c r="A1329" s="1">
        <f t="shared" si="276"/>
        <v>1328</v>
      </c>
      <c r="C1329" s="12" t="s">
        <v>17</v>
      </c>
      <c r="D1329" s="2">
        <v>43313</v>
      </c>
      <c r="E1329" s="3">
        <f>1000000+1200000</f>
        <v>2200000</v>
      </c>
      <c r="F1329" t="s">
        <v>334</v>
      </c>
      <c r="G1329" t="s">
        <v>85</v>
      </c>
      <c r="H1329" t="s">
        <v>335</v>
      </c>
      <c r="I1329" s="10" t="s">
        <v>784</v>
      </c>
      <c r="J1329" s="167" t="s">
        <v>22</v>
      </c>
      <c r="L1329" s="9" t="str">
        <f t="shared" si="287"/>
        <v>01328</v>
      </c>
      <c r="M1329" s="71" t="str">
        <f t="shared" si="288"/>
        <v>01 de agosto de 2018</v>
      </c>
      <c r="N1329" s="39">
        <f t="shared" si="289"/>
        <v>43313</v>
      </c>
      <c r="O1329" s="9" t="str">
        <f t="shared" si="290"/>
        <v>2.200.000,00</v>
      </c>
      <c r="P1329" s="8" t="str">
        <f t="shared" si="291"/>
        <v>Dos Millones Doscientos Mil Bolívares con 00/100</v>
      </c>
      <c r="Q1329" s="403" t="str">
        <f t="shared" si="267"/>
        <v/>
      </c>
    </row>
    <row r="1330" spans="1:17" x14ac:dyDescent="0.25">
      <c r="A1330" s="1">
        <f t="shared" si="276"/>
        <v>1329</v>
      </c>
      <c r="C1330" s="12" t="s">
        <v>17</v>
      </c>
      <c r="D1330" s="2">
        <v>43313</v>
      </c>
      <c r="E1330" s="3">
        <v>1220000</v>
      </c>
      <c r="F1330" t="s">
        <v>334</v>
      </c>
      <c r="G1330" t="s">
        <v>85</v>
      </c>
      <c r="H1330" t="s">
        <v>335</v>
      </c>
      <c r="I1330" s="10" t="s">
        <v>745</v>
      </c>
      <c r="J1330" s="167" t="s">
        <v>746</v>
      </c>
      <c r="L1330" s="9" t="str">
        <f t="shared" si="287"/>
        <v>01329</v>
      </c>
      <c r="M1330" s="71" t="str">
        <f t="shared" si="288"/>
        <v>01 de agosto de 2018</v>
      </c>
      <c r="N1330" s="39">
        <f t="shared" si="289"/>
        <v>43313</v>
      </c>
      <c r="O1330" s="9" t="str">
        <f t="shared" si="290"/>
        <v>1.220.000,00</v>
      </c>
      <c r="P1330" s="8" t="str">
        <f t="shared" si="291"/>
        <v>Un Millón Doscientos Veinte Mil Bolívares con 00/100</v>
      </c>
      <c r="Q1330" s="403" t="str">
        <f t="shared" si="267"/>
        <v/>
      </c>
    </row>
    <row r="1331" spans="1:17" x14ac:dyDescent="0.25">
      <c r="A1331" s="1">
        <f t="shared" si="276"/>
        <v>1330</v>
      </c>
      <c r="C1331" s="12" t="s">
        <v>17</v>
      </c>
      <c r="D1331" s="2">
        <v>43313</v>
      </c>
      <c r="E1331" s="3">
        <v>1200000</v>
      </c>
      <c r="F1331" t="s">
        <v>84</v>
      </c>
      <c r="G1331" t="s">
        <v>85</v>
      </c>
      <c r="H1331" t="s">
        <v>86</v>
      </c>
      <c r="I1331" s="10" t="s">
        <v>788</v>
      </c>
      <c r="J1331" s="167" t="s">
        <v>22</v>
      </c>
      <c r="L1331" s="9" t="str">
        <f t="shared" si="287"/>
        <v>01330</v>
      </c>
      <c r="M1331" s="71" t="str">
        <f t="shared" si="288"/>
        <v>01 de agosto de 2018</v>
      </c>
      <c r="N1331" s="39">
        <f t="shared" si="289"/>
        <v>43313</v>
      </c>
      <c r="O1331" s="9" t="str">
        <f t="shared" si="290"/>
        <v>1.200.000,00</v>
      </c>
      <c r="P1331" s="8" t="str">
        <f t="shared" si="291"/>
        <v>Un Millón Doscientos Mil Bolívares con 00/100</v>
      </c>
      <c r="Q1331" s="403" t="str">
        <f t="shared" si="267"/>
        <v/>
      </c>
    </row>
    <row r="1332" spans="1:17" x14ac:dyDescent="0.25">
      <c r="A1332" s="1">
        <f t="shared" si="276"/>
        <v>1331</v>
      </c>
      <c r="C1332" s="12" t="s">
        <v>17</v>
      </c>
      <c r="D1332" s="2">
        <v>43313</v>
      </c>
      <c r="E1332" s="3">
        <v>1220000</v>
      </c>
      <c r="F1332" t="s">
        <v>84</v>
      </c>
      <c r="G1332" t="s">
        <v>85</v>
      </c>
      <c r="H1332" t="s">
        <v>86</v>
      </c>
      <c r="I1332" s="10" t="s">
        <v>745</v>
      </c>
      <c r="J1332" s="167" t="s">
        <v>746</v>
      </c>
      <c r="L1332" s="9" t="str">
        <f t="shared" si="287"/>
        <v>01331</v>
      </c>
      <c r="M1332" s="71" t="str">
        <f t="shared" si="288"/>
        <v>01 de agosto de 2018</v>
      </c>
      <c r="N1332" s="39">
        <f t="shared" si="289"/>
        <v>43313</v>
      </c>
      <c r="O1332" s="9" t="str">
        <f t="shared" si="290"/>
        <v>1.220.000,00</v>
      </c>
      <c r="P1332" s="8" t="str">
        <f t="shared" si="291"/>
        <v>Un Millón Doscientos Veinte Mil Bolívares con 00/100</v>
      </c>
      <c r="Q1332" s="403" t="str">
        <f t="shared" si="267"/>
        <v/>
      </c>
    </row>
    <row r="1333" spans="1:17" x14ac:dyDescent="0.25">
      <c r="A1333" s="1">
        <f t="shared" si="276"/>
        <v>1332</v>
      </c>
      <c r="C1333" s="12" t="s">
        <v>17</v>
      </c>
      <c r="D1333" s="2">
        <v>43313</v>
      </c>
      <c r="E1333" s="3">
        <f>1200000+1300000</f>
        <v>2500000</v>
      </c>
      <c r="F1333" t="s">
        <v>484</v>
      </c>
      <c r="G1333" t="s">
        <v>485</v>
      </c>
      <c r="H1333" t="s">
        <v>486</v>
      </c>
      <c r="I1333" s="10" t="s">
        <v>791</v>
      </c>
      <c r="J1333" s="167" t="s">
        <v>22</v>
      </c>
      <c r="L1333" s="9" t="str">
        <f t="shared" si="287"/>
        <v>01332</v>
      </c>
      <c r="M1333" s="71" t="str">
        <f t="shared" si="288"/>
        <v>01 de agosto de 2018</v>
      </c>
      <c r="N1333" s="39">
        <f t="shared" si="289"/>
        <v>43313</v>
      </c>
      <c r="O1333" s="9" t="str">
        <f t="shared" si="290"/>
        <v>2.500.000,00</v>
      </c>
      <c r="P1333" s="8" t="str">
        <f t="shared" si="291"/>
        <v>Dos Millones Quinientos Mil Bolívares con 00/100</v>
      </c>
      <c r="Q1333" s="403" t="str">
        <f t="shared" si="267"/>
        <v/>
      </c>
    </row>
    <row r="1334" spans="1:17" x14ac:dyDescent="0.25">
      <c r="A1334" s="1">
        <f t="shared" si="276"/>
        <v>1333</v>
      </c>
      <c r="C1334" s="12" t="s">
        <v>17</v>
      </c>
      <c r="D1334" s="2">
        <v>43313</v>
      </c>
      <c r="E1334" s="3">
        <v>1200000</v>
      </c>
      <c r="F1334" t="s">
        <v>48</v>
      </c>
      <c r="G1334" t="s">
        <v>49</v>
      </c>
      <c r="H1334" t="s">
        <v>50</v>
      </c>
      <c r="I1334" s="10" t="s">
        <v>788</v>
      </c>
      <c r="J1334" s="167" t="s">
        <v>22</v>
      </c>
      <c r="L1334" s="9" t="str">
        <f t="shared" si="287"/>
        <v>01333</v>
      </c>
      <c r="M1334" s="71" t="str">
        <f t="shared" si="288"/>
        <v>01 de agosto de 2018</v>
      </c>
      <c r="N1334" s="39">
        <f t="shared" si="289"/>
        <v>43313</v>
      </c>
      <c r="O1334" s="9" t="str">
        <f t="shared" si="290"/>
        <v>1.200.000,00</v>
      </c>
      <c r="P1334" s="8" t="str">
        <f t="shared" si="291"/>
        <v>Un Millón Doscientos Mil Bolívares con 00/100</v>
      </c>
      <c r="Q1334" s="403" t="str">
        <f t="shared" si="267"/>
        <v/>
      </c>
    </row>
    <row r="1335" spans="1:17" ht="15.75" thickBot="1" x14ac:dyDescent="0.3">
      <c r="A1335" s="1">
        <f t="shared" si="276"/>
        <v>1334</v>
      </c>
      <c r="C1335" s="12" t="s">
        <v>17</v>
      </c>
      <c r="D1335" s="2">
        <v>43313</v>
      </c>
      <c r="E1335" s="3">
        <v>1200000</v>
      </c>
      <c r="F1335" t="s">
        <v>408</v>
      </c>
      <c r="G1335" t="s">
        <v>409</v>
      </c>
      <c r="H1335" t="s">
        <v>410</v>
      </c>
      <c r="I1335" s="10" t="s">
        <v>788</v>
      </c>
      <c r="J1335" s="167" t="s">
        <v>22</v>
      </c>
      <c r="L1335" s="9" t="str">
        <f t="shared" si="287"/>
        <v>01334</v>
      </c>
      <c r="M1335" s="71" t="str">
        <f t="shared" si="288"/>
        <v>01 de agosto de 2018</v>
      </c>
      <c r="N1335" s="39">
        <f t="shared" si="289"/>
        <v>43313</v>
      </c>
      <c r="O1335" s="9" t="str">
        <f t="shared" si="290"/>
        <v>1.200.000,00</v>
      </c>
      <c r="P1335" s="8" t="str">
        <f>CONVERTIRNUM(E1335)</f>
        <v>Un Millón Doscientos Mil Bolívares con 00/100</v>
      </c>
      <c r="Q1335" s="403" t="str">
        <f t="shared" si="267"/>
        <v/>
      </c>
    </row>
    <row r="1336" spans="1:17" ht="15.75" thickBot="1" x14ac:dyDescent="0.3">
      <c r="A1336" s="1">
        <f t="shared" si="276"/>
        <v>1335</v>
      </c>
      <c r="C1336" s="255" t="s">
        <v>17</v>
      </c>
      <c r="D1336" s="2">
        <v>43313</v>
      </c>
      <c r="E1336" s="3">
        <v>1200000</v>
      </c>
      <c r="F1336" t="s">
        <v>280</v>
      </c>
      <c r="G1336" s="27" t="s">
        <v>58</v>
      </c>
      <c r="H1336" t="s">
        <v>282</v>
      </c>
      <c r="I1336" s="10" t="s">
        <v>792</v>
      </c>
      <c r="J1336" s="167" t="s">
        <v>22</v>
      </c>
      <c r="L1336" s="9" t="str">
        <f t="shared" si="287"/>
        <v>01335</v>
      </c>
      <c r="M1336" s="71" t="str">
        <f t="shared" si="288"/>
        <v>01 de agosto de 2018</v>
      </c>
      <c r="N1336" s="39">
        <f t="shared" si="289"/>
        <v>43313</v>
      </c>
      <c r="O1336" s="9" t="str">
        <f t="shared" si="290"/>
        <v>1.200.000,00</v>
      </c>
      <c r="P1336" s="8" t="str">
        <f t="shared" ref="P1336:P1342" si="292">CONVERTIRNUM(E1336)</f>
        <v>Un Millón Doscientos Mil Bolívares con 00/100</v>
      </c>
      <c r="Q1336" s="403" t="str">
        <f t="shared" si="267"/>
        <v/>
      </c>
    </row>
    <row r="1337" spans="1:17" ht="15.75" thickBot="1" x14ac:dyDescent="0.3">
      <c r="A1337" s="1">
        <f t="shared" si="276"/>
        <v>1336</v>
      </c>
      <c r="C1337" s="12" t="s">
        <v>17</v>
      </c>
      <c r="D1337" s="2">
        <v>43313</v>
      </c>
      <c r="E1337" s="3">
        <v>1740000</v>
      </c>
      <c r="F1337" s="36" t="s">
        <v>423</v>
      </c>
      <c r="G1337" s="27" t="s">
        <v>58</v>
      </c>
      <c r="H1337" t="s">
        <v>424</v>
      </c>
      <c r="I1337" s="10" t="s">
        <v>788</v>
      </c>
      <c r="J1337" s="167" t="s">
        <v>22</v>
      </c>
      <c r="L1337" s="9" t="str">
        <f t="shared" si="287"/>
        <v>01336</v>
      </c>
      <c r="M1337" s="71" t="str">
        <f t="shared" si="288"/>
        <v>01 de agosto de 2018</v>
      </c>
      <c r="N1337" s="39">
        <f t="shared" si="289"/>
        <v>43313</v>
      </c>
      <c r="O1337" s="9" t="str">
        <f t="shared" si="290"/>
        <v>1.740.000,00</v>
      </c>
      <c r="P1337" s="8" t="str">
        <f t="shared" si="292"/>
        <v>Un Millón Setecientos Cuarenta Mil Bolívares con 00/100</v>
      </c>
      <c r="Q1337" s="403" t="str">
        <f t="shared" si="267"/>
        <v/>
      </c>
    </row>
    <row r="1338" spans="1:17" x14ac:dyDescent="0.25">
      <c r="A1338" s="1">
        <f t="shared" si="276"/>
        <v>1337</v>
      </c>
      <c r="C1338" s="12" t="s">
        <v>17</v>
      </c>
      <c r="D1338" s="2">
        <v>43313</v>
      </c>
      <c r="E1338" s="3">
        <v>1200000</v>
      </c>
      <c r="F1338" t="s">
        <v>612</v>
      </c>
      <c r="G1338" t="s">
        <v>613</v>
      </c>
      <c r="H1338" t="s">
        <v>614</v>
      </c>
      <c r="I1338" s="10" t="s">
        <v>793</v>
      </c>
      <c r="J1338" s="167" t="s">
        <v>22</v>
      </c>
      <c r="L1338" s="9" t="str">
        <f t="shared" si="287"/>
        <v>01337</v>
      </c>
      <c r="M1338" s="71" t="str">
        <f t="shared" si="288"/>
        <v>01 de agosto de 2018</v>
      </c>
      <c r="N1338" s="39">
        <f t="shared" si="289"/>
        <v>43313</v>
      </c>
      <c r="O1338" s="9" t="str">
        <f t="shared" si="290"/>
        <v>1.200.000,00</v>
      </c>
      <c r="P1338" s="8" t="str">
        <f t="shared" si="292"/>
        <v>Un Millón Doscientos Mil Bolívares con 00/100</v>
      </c>
      <c r="Q1338" s="403" t="str">
        <f t="shared" si="267"/>
        <v/>
      </c>
    </row>
    <row r="1339" spans="1:17" x14ac:dyDescent="0.25">
      <c r="A1339" s="1">
        <f t="shared" si="276"/>
        <v>1338</v>
      </c>
      <c r="C1339" s="12" t="s">
        <v>17</v>
      </c>
      <c r="D1339" s="2">
        <v>43313</v>
      </c>
      <c r="E1339" s="3">
        <v>1200000</v>
      </c>
      <c r="F1339" t="s">
        <v>219</v>
      </c>
      <c r="G1339" t="s">
        <v>220</v>
      </c>
      <c r="H1339" t="s">
        <v>221</v>
      </c>
      <c r="I1339" s="10" t="s">
        <v>794</v>
      </c>
      <c r="J1339" s="167" t="s">
        <v>22</v>
      </c>
      <c r="L1339" s="9" t="str">
        <f t="shared" si="287"/>
        <v>01338</v>
      </c>
      <c r="M1339" s="71" t="str">
        <f t="shared" si="288"/>
        <v>01 de agosto de 2018</v>
      </c>
      <c r="N1339" s="39">
        <f t="shared" si="289"/>
        <v>43313</v>
      </c>
      <c r="O1339" s="9" t="str">
        <f t="shared" si="290"/>
        <v>1.200.000,00</v>
      </c>
      <c r="P1339" s="8" t="str">
        <f t="shared" si="292"/>
        <v>Un Millón Doscientos Mil Bolívares con 00/100</v>
      </c>
      <c r="Q1339" s="403" t="str">
        <f t="shared" si="267"/>
        <v/>
      </c>
    </row>
    <row r="1340" spans="1:17" x14ac:dyDescent="0.25">
      <c r="A1340" s="1">
        <f t="shared" si="276"/>
        <v>1339</v>
      </c>
      <c r="C1340" s="12" t="s">
        <v>17</v>
      </c>
      <c r="D1340" s="2">
        <v>43313</v>
      </c>
      <c r="E1340" s="3">
        <v>1200000</v>
      </c>
      <c r="F1340" t="s">
        <v>773</v>
      </c>
      <c r="G1340" t="s">
        <v>774</v>
      </c>
      <c r="H1340" t="s">
        <v>775</v>
      </c>
      <c r="I1340" s="10" t="s">
        <v>795</v>
      </c>
      <c r="J1340" s="167" t="s">
        <v>22</v>
      </c>
      <c r="L1340" s="9" t="str">
        <f t="shared" si="287"/>
        <v>01339</v>
      </c>
      <c r="M1340" s="71" t="str">
        <f t="shared" si="288"/>
        <v>01 de agosto de 2018</v>
      </c>
      <c r="N1340" s="39">
        <f t="shared" si="289"/>
        <v>43313</v>
      </c>
      <c r="O1340" s="9" t="str">
        <f t="shared" si="290"/>
        <v>1.200.000,00</v>
      </c>
      <c r="P1340" s="8" t="str">
        <f t="shared" si="292"/>
        <v>Un Millón Doscientos Mil Bolívares con 00/100</v>
      </c>
      <c r="Q1340" s="403" t="str">
        <f t="shared" si="267"/>
        <v/>
      </c>
    </row>
    <row r="1341" spans="1:17" x14ac:dyDescent="0.25">
      <c r="A1341" s="1">
        <f t="shared" si="276"/>
        <v>1340</v>
      </c>
      <c r="C1341" s="12" t="s">
        <v>17</v>
      </c>
      <c r="D1341" s="2">
        <v>43313</v>
      </c>
      <c r="E1341" s="3">
        <v>1200000</v>
      </c>
      <c r="F1341" t="s">
        <v>18</v>
      </c>
      <c r="G1341" t="s">
        <v>19</v>
      </c>
      <c r="H1341" t="s">
        <v>20</v>
      </c>
      <c r="I1341" s="10" t="s">
        <v>796</v>
      </c>
      <c r="J1341" s="167" t="s">
        <v>22</v>
      </c>
      <c r="L1341" s="9" t="str">
        <f t="shared" si="287"/>
        <v>01340</v>
      </c>
      <c r="M1341" s="71" t="str">
        <f t="shared" si="288"/>
        <v>01 de agosto de 2018</v>
      </c>
      <c r="N1341" s="39">
        <f t="shared" si="289"/>
        <v>43313</v>
      </c>
      <c r="O1341" s="9" t="str">
        <f t="shared" si="290"/>
        <v>1.200.000,00</v>
      </c>
      <c r="P1341" s="8" t="str">
        <f t="shared" si="292"/>
        <v>Un Millón Doscientos Mil Bolívares con 00/100</v>
      </c>
      <c r="Q1341" s="403" t="str">
        <f t="shared" si="267"/>
        <v/>
      </c>
    </row>
    <row r="1342" spans="1:17" x14ac:dyDescent="0.25">
      <c r="A1342" s="1">
        <f t="shared" si="276"/>
        <v>1341</v>
      </c>
      <c r="C1342" s="12" t="s">
        <v>17</v>
      </c>
      <c r="D1342" s="2">
        <v>43313</v>
      </c>
      <c r="E1342" s="3">
        <v>990000</v>
      </c>
      <c r="F1342" t="s">
        <v>439</v>
      </c>
      <c r="G1342" t="s">
        <v>440</v>
      </c>
      <c r="H1342" t="s">
        <v>441</v>
      </c>
      <c r="I1342" s="10" t="s">
        <v>797</v>
      </c>
      <c r="J1342" s="167" t="s">
        <v>22</v>
      </c>
      <c r="L1342" s="9" t="str">
        <f t="shared" si="287"/>
        <v>01341</v>
      </c>
      <c r="M1342" s="71" t="str">
        <f t="shared" si="288"/>
        <v>01 de agosto de 2018</v>
      </c>
      <c r="N1342" s="39">
        <f t="shared" si="289"/>
        <v>43313</v>
      </c>
      <c r="O1342" s="9" t="str">
        <f t="shared" si="290"/>
        <v>990.000,00</v>
      </c>
      <c r="P1342" s="8" t="str">
        <f t="shared" si="292"/>
        <v>Novecientos Noventa Mil Bolívares con 00/100</v>
      </c>
      <c r="Q1342" s="403" t="str">
        <f t="shared" si="267"/>
        <v/>
      </c>
    </row>
    <row r="1343" spans="1:17" x14ac:dyDescent="0.25">
      <c r="A1343" s="1">
        <f t="shared" si="276"/>
        <v>1342</v>
      </c>
      <c r="C1343" s="12" t="s">
        <v>17</v>
      </c>
      <c r="D1343" s="2">
        <v>43314</v>
      </c>
      <c r="E1343" s="3">
        <f>1200000-990000</f>
        <v>210000</v>
      </c>
      <c r="F1343" t="s">
        <v>439</v>
      </c>
      <c r="G1343" t="s">
        <v>440</v>
      </c>
      <c r="H1343" t="s">
        <v>441</v>
      </c>
      <c r="I1343" s="10" t="s">
        <v>798</v>
      </c>
      <c r="J1343" s="167" t="s">
        <v>22</v>
      </c>
      <c r="L1343" s="9" t="str">
        <f t="shared" ref="L1343:L1352" si="293">IF(ISBLANK(A1343),"",TEXT(A1343,"00000"))</f>
        <v>01342</v>
      </c>
      <c r="M1343" s="71" t="str">
        <f t="shared" ref="M1343:M1352" si="294">IF(ISBLANK(D1343),"",TEXT(D1343,"dd")&amp;" de "&amp;TEXT(D1343,"mmmm")&amp;" de "&amp;TEXT(YEAR(D1343),"0"))</f>
        <v>02 de agosto de 2018</v>
      </c>
      <c r="N1343" s="39">
        <f t="shared" ref="N1343:N1352" si="295">DATE(YEAR(D1343),MONTH(D1343),1)</f>
        <v>43313</v>
      </c>
      <c r="O1343" s="9" t="str">
        <f t="shared" ref="O1343:O1352" si="296">TEXT(E1343,"#.##0,00")</f>
        <v>210.000,00</v>
      </c>
      <c r="P1343" s="8" t="str">
        <f t="shared" ref="P1343:P1352" si="297">CONVERTIRNUM(E1343)</f>
        <v>Doscientos Diez Mil Bolívares con 00/100</v>
      </c>
      <c r="Q1343" s="403" t="str">
        <f t="shared" si="267"/>
        <v/>
      </c>
    </row>
    <row r="1344" spans="1:17" ht="15.75" thickBot="1" x14ac:dyDescent="0.3">
      <c r="A1344" s="1">
        <f t="shared" si="276"/>
        <v>1343</v>
      </c>
      <c r="C1344" s="12" t="s">
        <v>17</v>
      </c>
      <c r="D1344" s="2">
        <v>43314</v>
      </c>
      <c r="E1344" s="3">
        <v>1200000</v>
      </c>
      <c r="F1344" t="s">
        <v>633</v>
      </c>
      <c r="G1344" t="s">
        <v>634</v>
      </c>
      <c r="H1344" t="s">
        <v>635</v>
      </c>
      <c r="I1344" s="10" t="s">
        <v>788</v>
      </c>
      <c r="J1344" s="167" t="s">
        <v>22</v>
      </c>
      <c r="L1344" s="9" t="str">
        <f t="shared" si="293"/>
        <v>01343</v>
      </c>
      <c r="M1344" s="71" t="str">
        <f t="shared" si="294"/>
        <v>02 de agosto de 2018</v>
      </c>
      <c r="N1344" s="39">
        <f t="shared" si="295"/>
        <v>43313</v>
      </c>
      <c r="O1344" s="9" t="str">
        <f t="shared" si="296"/>
        <v>1.200.000,00</v>
      </c>
      <c r="P1344" s="8" t="str">
        <f t="shared" si="297"/>
        <v>Un Millón Doscientos Mil Bolívares con 00/100</v>
      </c>
      <c r="Q1344" s="403" t="str">
        <f t="shared" si="267"/>
        <v/>
      </c>
    </row>
    <row r="1345" spans="1:17" ht="15.75" thickBot="1" x14ac:dyDescent="0.3">
      <c r="A1345" s="1">
        <f t="shared" si="276"/>
        <v>1344</v>
      </c>
      <c r="C1345" s="12" t="s">
        <v>17</v>
      </c>
      <c r="D1345" s="2">
        <v>43311</v>
      </c>
      <c r="E1345" s="3">
        <v>1000000</v>
      </c>
      <c r="F1345" t="s">
        <v>239</v>
      </c>
      <c r="G1345" s="225" t="s">
        <v>240</v>
      </c>
      <c r="H1345" t="s">
        <v>241</v>
      </c>
      <c r="I1345" s="10" t="s">
        <v>751</v>
      </c>
      <c r="J1345" s="167" t="s">
        <v>22</v>
      </c>
      <c r="L1345" s="9" t="str">
        <f t="shared" si="293"/>
        <v>01344</v>
      </c>
      <c r="M1345" s="71" t="str">
        <f t="shared" si="294"/>
        <v>30 de julio de 2018</v>
      </c>
      <c r="N1345" s="39">
        <f t="shared" si="295"/>
        <v>43282</v>
      </c>
      <c r="O1345" s="9" t="str">
        <f t="shared" si="296"/>
        <v>1.000.000,00</v>
      </c>
      <c r="P1345" s="8" t="str">
        <f t="shared" si="297"/>
        <v>Un Millón Bolívares con 00/100</v>
      </c>
      <c r="Q1345" s="403" t="str">
        <f t="shared" si="267"/>
        <v/>
      </c>
    </row>
    <row r="1346" spans="1:17" x14ac:dyDescent="0.25">
      <c r="A1346" s="1">
        <f t="shared" si="276"/>
        <v>1345</v>
      </c>
      <c r="C1346" s="12" t="s">
        <v>17</v>
      </c>
      <c r="D1346" s="2">
        <v>43284</v>
      </c>
      <c r="E1346" s="3">
        <f>1800000-1200000</f>
        <v>600000</v>
      </c>
      <c r="F1346" t="s">
        <v>28</v>
      </c>
      <c r="G1346" t="s">
        <v>717</v>
      </c>
      <c r="H1346" t="s">
        <v>30</v>
      </c>
      <c r="I1346" s="10" t="s">
        <v>761</v>
      </c>
      <c r="J1346" s="167" t="s">
        <v>22</v>
      </c>
      <c r="L1346" s="9" t="str">
        <f t="shared" si="293"/>
        <v>01345</v>
      </c>
      <c r="M1346" s="71" t="str">
        <f t="shared" si="294"/>
        <v>03 de julio de 2018</v>
      </c>
      <c r="N1346" s="39">
        <f t="shared" si="295"/>
        <v>43282</v>
      </c>
      <c r="O1346" s="9" t="str">
        <f t="shared" si="296"/>
        <v>600.000,00</v>
      </c>
      <c r="P1346" s="8" t="str">
        <f t="shared" si="297"/>
        <v>Seiscientos Mil Bolívares con 00/100</v>
      </c>
      <c r="Q1346" s="403" t="str">
        <f t="shared" si="267"/>
        <v/>
      </c>
    </row>
    <row r="1347" spans="1:17" x14ac:dyDescent="0.25">
      <c r="A1347" s="1">
        <f t="shared" si="276"/>
        <v>1346</v>
      </c>
      <c r="C1347" s="12" t="s">
        <v>17</v>
      </c>
      <c r="D1347" s="2">
        <v>43284</v>
      </c>
      <c r="E1347" s="3">
        <v>1200000</v>
      </c>
      <c r="F1347" t="s">
        <v>28</v>
      </c>
      <c r="G1347" t="s">
        <v>717</v>
      </c>
      <c r="H1347" t="s">
        <v>30</v>
      </c>
      <c r="I1347" s="10" t="s">
        <v>745</v>
      </c>
      <c r="J1347" s="167" t="s">
        <v>746</v>
      </c>
      <c r="L1347" s="9" t="str">
        <f t="shared" si="293"/>
        <v>01346</v>
      </c>
      <c r="M1347" s="71" t="str">
        <f t="shared" si="294"/>
        <v>03 de julio de 2018</v>
      </c>
      <c r="N1347" s="39">
        <f t="shared" si="295"/>
        <v>43282</v>
      </c>
      <c r="O1347" s="9" t="str">
        <f t="shared" si="296"/>
        <v>1.200.000,00</v>
      </c>
      <c r="P1347" s="8" t="str">
        <f t="shared" si="297"/>
        <v>Un Millón Doscientos Mil Bolívares con 00/100</v>
      </c>
      <c r="Q1347" s="403" t="str">
        <f t="shared" ref="Q1347:Q1380" si="298">IF(C1347="û","Anulado","")</f>
        <v/>
      </c>
    </row>
    <row r="1348" spans="1:17" x14ac:dyDescent="0.25">
      <c r="A1348" s="1">
        <f t="shared" si="276"/>
        <v>1347</v>
      </c>
      <c r="C1348" s="12" t="s">
        <v>17</v>
      </c>
      <c r="D1348" s="2">
        <v>43316</v>
      </c>
      <c r="E1348" s="3">
        <v>600000</v>
      </c>
      <c r="F1348" t="s">
        <v>134</v>
      </c>
      <c r="G1348" t="s">
        <v>135</v>
      </c>
      <c r="H1348" t="s">
        <v>136</v>
      </c>
      <c r="I1348" s="10" t="s">
        <v>745</v>
      </c>
      <c r="J1348" s="167" t="s">
        <v>746</v>
      </c>
      <c r="L1348" s="9" t="str">
        <f t="shared" si="293"/>
        <v>01347</v>
      </c>
      <c r="M1348" s="71" t="str">
        <f t="shared" si="294"/>
        <v>04 de agosto de 2018</v>
      </c>
      <c r="N1348" s="39">
        <f t="shared" si="295"/>
        <v>43313</v>
      </c>
      <c r="O1348" s="9" t="str">
        <f t="shared" si="296"/>
        <v>600.000,00</v>
      </c>
      <c r="P1348" s="8" t="str">
        <f t="shared" si="297"/>
        <v>Seiscientos Mil Bolívares con 00/100</v>
      </c>
      <c r="Q1348" s="403" t="str">
        <f t="shared" si="298"/>
        <v/>
      </c>
    </row>
    <row r="1349" spans="1:17" x14ac:dyDescent="0.25">
      <c r="A1349" s="1">
        <f t="shared" si="276"/>
        <v>1348</v>
      </c>
      <c r="C1349" s="12" t="s">
        <v>17</v>
      </c>
      <c r="D1349" s="2">
        <v>43318</v>
      </c>
      <c r="E1349" s="3">
        <v>875000</v>
      </c>
      <c r="F1349" t="s">
        <v>537</v>
      </c>
      <c r="G1349" t="s">
        <v>538</v>
      </c>
      <c r="H1349" t="s">
        <v>539</v>
      </c>
      <c r="I1349" s="10" t="s">
        <v>799</v>
      </c>
      <c r="J1349" s="167" t="s">
        <v>22</v>
      </c>
      <c r="L1349" s="9" t="str">
        <f t="shared" si="293"/>
        <v>01348</v>
      </c>
      <c r="M1349" s="71" t="str">
        <f t="shared" si="294"/>
        <v>06 de agosto de 2018</v>
      </c>
      <c r="N1349" s="39">
        <f t="shared" si="295"/>
        <v>43313</v>
      </c>
      <c r="O1349" s="9" t="str">
        <f t="shared" si="296"/>
        <v>875.000,00</v>
      </c>
      <c r="P1349" s="8" t="str">
        <f t="shared" si="297"/>
        <v>Ochocientos Setenta y Cinco Mil Bolívares con 00/100</v>
      </c>
      <c r="Q1349" s="403" t="str">
        <f t="shared" si="298"/>
        <v/>
      </c>
    </row>
    <row r="1350" spans="1:17" ht="15.75" thickBot="1" x14ac:dyDescent="0.3">
      <c r="A1350" s="1">
        <f t="shared" si="276"/>
        <v>1349</v>
      </c>
      <c r="C1350" s="12" t="s">
        <v>17</v>
      </c>
      <c r="D1350" s="2">
        <v>43318</v>
      </c>
      <c r="E1350" s="3">
        <v>1220000</v>
      </c>
      <c r="F1350" t="s">
        <v>337</v>
      </c>
      <c r="G1350" t="s">
        <v>338</v>
      </c>
      <c r="H1350" t="s">
        <v>339</v>
      </c>
      <c r="I1350" s="10" t="s">
        <v>745</v>
      </c>
      <c r="J1350" s="167" t="s">
        <v>746</v>
      </c>
      <c r="L1350" s="9" t="str">
        <f t="shared" si="293"/>
        <v>01349</v>
      </c>
      <c r="M1350" s="71" t="str">
        <f t="shared" si="294"/>
        <v>06 de agosto de 2018</v>
      </c>
      <c r="N1350" s="39">
        <f t="shared" si="295"/>
        <v>43313</v>
      </c>
      <c r="O1350" s="9" t="str">
        <f t="shared" si="296"/>
        <v>1.220.000,00</v>
      </c>
      <c r="P1350" s="8" t="str">
        <f t="shared" si="297"/>
        <v>Un Millón Doscientos Veinte Mil Bolívares con 00/100</v>
      </c>
      <c r="Q1350" s="403" t="str">
        <f t="shared" si="298"/>
        <v/>
      </c>
    </row>
    <row r="1351" spans="1:17" ht="15.75" thickBot="1" x14ac:dyDescent="0.3">
      <c r="A1351" s="1">
        <f t="shared" si="276"/>
        <v>1350</v>
      </c>
      <c r="C1351" s="255" t="s">
        <v>17</v>
      </c>
      <c r="D1351" s="2">
        <v>43318</v>
      </c>
      <c r="E1351" s="3">
        <v>2200000</v>
      </c>
      <c r="F1351" t="s">
        <v>411</v>
      </c>
      <c r="G1351" s="27" t="s">
        <v>58</v>
      </c>
      <c r="H1351" t="s">
        <v>412</v>
      </c>
      <c r="I1351" s="10" t="s">
        <v>784</v>
      </c>
      <c r="J1351" s="167" t="s">
        <v>22</v>
      </c>
      <c r="L1351" s="9" t="str">
        <f t="shared" si="293"/>
        <v>01350</v>
      </c>
      <c r="M1351" s="71" t="str">
        <f t="shared" si="294"/>
        <v>06 de agosto de 2018</v>
      </c>
      <c r="N1351" s="39">
        <f t="shared" si="295"/>
        <v>43313</v>
      </c>
      <c r="O1351" s="9" t="str">
        <f t="shared" si="296"/>
        <v>2.200.000,00</v>
      </c>
      <c r="P1351" s="8" t="str">
        <f t="shared" si="297"/>
        <v>Dos Millones Doscientos Mil Bolívares con 00/100</v>
      </c>
      <c r="Q1351" s="403" t="str">
        <f t="shared" si="298"/>
        <v/>
      </c>
    </row>
    <row r="1352" spans="1:17" x14ac:dyDescent="0.25">
      <c r="A1352" s="1">
        <f t="shared" si="276"/>
        <v>1351</v>
      </c>
      <c r="C1352" s="12" t="s">
        <v>17</v>
      </c>
      <c r="D1352" s="2">
        <v>43318</v>
      </c>
      <c r="E1352" s="3">
        <v>1000000</v>
      </c>
      <c r="F1352" t="s">
        <v>197</v>
      </c>
      <c r="G1352" t="s">
        <v>198</v>
      </c>
      <c r="H1352" t="s">
        <v>199</v>
      </c>
      <c r="I1352" s="10" t="s">
        <v>751</v>
      </c>
      <c r="J1352" s="167" t="s">
        <v>22</v>
      </c>
      <c r="L1352" s="9" t="str">
        <f t="shared" si="293"/>
        <v>01351</v>
      </c>
      <c r="M1352" s="71" t="str">
        <f t="shared" si="294"/>
        <v>06 de agosto de 2018</v>
      </c>
      <c r="N1352" s="39">
        <f t="shared" si="295"/>
        <v>43313</v>
      </c>
      <c r="O1352" s="9" t="str">
        <f t="shared" si="296"/>
        <v>1.000.000,00</v>
      </c>
      <c r="P1352" s="8" t="str">
        <f t="shared" si="297"/>
        <v>Un Millón Bolívares con 00/100</v>
      </c>
      <c r="Q1352" s="403" t="str">
        <f t="shared" si="298"/>
        <v/>
      </c>
    </row>
    <row r="1353" spans="1:17" x14ac:dyDescent="0.25">
      <c r="A1353" s="1">
        <f t="shared" si="276"/>
        <v>1352</v>
      </c>
      <c r="C1353" s="12" t="s">
        <v>17</v>
      </c>
      <c r="D1353" s="2">
        <v>43318</v>
      </c>
      <c r="E1353" s="3">
        <v>1425000</v>
      </c>
      <c r="F1353" t="s">
        <v>197</v>
      </c>
      <c r="G1353" t="s">
        <v>198</v>
      </c>
      <c r="H1353" t="s">
        <v>199</v>
      </c>
      <c r="I1353" s="10" t="s">
        <v>800</v>
      </c>
      <c r="J1353" s="167" t="s">
        <v>22</v>
      </c>
      <c r="L1353" s="9" t="str">
        <f t="shared" ref="L1353:L1356" si="299">IF(ISBLANK(A1353),"",TEXT(A1353,"00000"))</f>
        <v>01352</v>
      </c>
      <c r="M1353" s="71" t="str">
        <f t="shared" ref="M1353:M1356" si="300">IF(ISBLANK(D1353),"",TEXT(D1353,"dd")&amp;" de "&amp;TEXT(D1353,"mmmm")&amp;" de "&amp;TEXT(YEAR(D1353),"0"))</f>
        <v>06 de agosto de 2018</v>
      </c>
      <c r="N1353" s="39">
        <f t="shared" ref="N1353:N1356" si="301">DATE(YEAR(D1353),MONTH(D1353),1)</f>
        <v>43313</v>
      </c>
      <c r="O1353" s="9" t="str">
        <f t="shared" ref="O1353:O1369" si="302">TEXT(E1353,"#.##0,00")</f>
        <v>1.425.000,00</v>
      </c>
      <c r="P1353" s="8" t="str">
        <f t="shared" ref="P1353:P1369" si="303">CONVERTIRNUM(E1353)</f>
        <v>Un Millón Cuatrocientos Veinticinco Mil Bolívares con 00/100</v>
      </c>
      <c r="Q1353" s="403" t="str">
        <f t="shared" si="298"/>
        <v/>
      </c>
    </row>
    <row r="1354" spans="1:17" ht="15.75" thickBot="1" x14ac:dyDescent="0.3">
      <c r="A1354" s="1">
        <f t="shared" si="276"/>
        <v>1353</v>
      </c>
      <c r="C1354" s="12" t="s">
        <v>17</v>
      </c>
      <c r="D1354" s="2">
        <v>43318</v>
      </c>
      <c r="E1354" s="3">
        <v>1200000</v>
      </c>
      <c r="F1354" t="s">
        <v>80</v>
      </c>
      <c r="G1354" t="s">
        <v>81</v>
      </c>
      <c r="H1354" t="s">
        <v>82</v>
      </c>
      <c r="I1354" s="10" t="s">
        <v>788</v>
      </c>
      <c r="J1354" s="167" t="s">
        <v>22</v>
      </c>
      <c r="L1354" s="9" t="str">
        <f t="shared" si="299"/>
        <v>01353</v>
      </c>
      <c r="M1354" s="71" t="str">
        <f t="shared" si="300"/>
        <v>06 de agosto de 2018</v>
      </c>
      <c r="N1354" s="39">
        <f t="shared" si="301"/>
        <v>43313</v>
      </c>
      <c r="O1354" s="9" t="str">
        <f t="shared" si="302"/>
        <v>1.200.000,00</v>
      </c>
      <c r="P1354" s="8" t="str">
        <f t="shared" si="303"/>
        <v>Un Millón Doscientos Mil Bolívares con 00/100</v>
      </c>
      <c r="Q1354" s="403" t="str">
        <f t="shared" si="298"/>
        <v/>
      </c>
    </row>
    <row r="1355" spans="1:17" ht="15.75" thickBot="1" x14ac:dyDescent="0.3">
      <c r="A1355" s="1">
        <f t="shared" si="276"/>
        <v>1354</v>
      </c>
      <c r="C1355" s="255" t="s">
        <v>17</v>
      </c>
      <c r="D1355" s="2">
        <v>43319</v>
      </c>
      <c r="E1355" s="3">
        <v>1400000</v>
      </c>
      <c r="F1355" t="s">
        <v>40</v>
      </c>
      <c r="G1355" s="27" t="s">
        <v>58</v>
      </c>
      <c r="H1355" t="s">
        <v>42</v>
      </c>
      <c r="I1355" s="10" t="s">
        <v>801</v>
      </c>
      <c r="J1355" s="167" t="s">
        <v>22</v>
      </c>
      <c r="L1355" s="9" t="str">
        <f t="shared" si="299"/>
        <v>01354</v>
      </c>
      <c r="M1355" s="71" t="str">
        <f t="shared" si="300"/>
        <v>07 de agosto de 2018</v>
      </c>
      <c r="N1355" s="39">
        <f t="shared" si="301"/>
        <v>43313</v>
      </c>
      <c r="O1355" s="9" t="str">
        <f t="shared" si="302"/>
        <v>1.400.000,00</v>
      </c>
      <c r="P1355" s="8" t="str">
        <f t="shared" si="303"/>
        <v>Un Millón Cuatrocientos Mil Bolívares con 00/100</v>
      </c>
      <c r="Q1355" s="403" t="str">
        <f t="shared" si="298"/>
        <v/>
      </c>
    </row>
    <row r="1356" spans="1:17" x14ac:dyDescent="0.25">
      <c r="A1356" s="1">
        <f t="shared" si="276"/>
        <v>1355</v>
      </c>
      <c r="C1356" s="12" t="s">
        <v>17</v>
      </c>
      <c r="D1356" s="2">
        <v>43319</v>
      </c>
      <c r="E1356" s="3">
        <v>800000</v>
      </c>
      <c r="F1356" t="s">
        <v>252</v>
      </c>
      <c r="G1356" t="s">
        <v>253</v>
      </c>
      <c r="H1356" t="s">
        <v>254</v>
      </c>
      <c r="I1356" t="s">
        <v>802</v>
      </c>
      <c r="J1356" s="167" t="s">
        <v>22</v>
      </c>
      <c r="L1356" s="9" t="str">
        <f t="shared" si="299"/>
        <v>01355</v>
      </c>
      <c r="M1356" s="71" t="str">
        <f t="shared" si="300"/>
        <v>07 de agosto de 2018</v>
      </c>
      <c r="N1356" s="39">
        <f t="shared" si="301"/>
        <v>43313</v>
      </c>
      <c r="O1356" s="9" t="str">
        <f t="shared" si="302"/>
        <v>800.000,00</v>
      </c>
      <c r="P1356" s="8" t="str">
        <f t="shared" si="303"/>
        <v>Ochocientos Mil Bolívares con 00/100</v>
      </c>
      <c r="Q1356" s="403" t="str">
        <f t="shared" si="298"/>
        <v/>
      </c>
    </row>
    <row r="1357" spans="1:17" x14ac:dyDescent="0.25">
      <c r="A1357" s="1">
        <f t="shared" si="276"/>
        <v>1356</v>
      </c>
      <c r="C1357" s="12" t="s">
        <v>17</v>
      </c>
      <c r="D1357" s="2">
        <v>43318</v>
      </c>
      <c r="E1357" s="3">
        <v>1500000</v>
      </c>
      <c r="F1357" t="s">
        <v>44</v>
      </c>
      <c r="G1357" t="s">
        <v>45</v>
      </c>
      <c r="H1357" t="s">
        <v>46</v>
      </c>
      <c r="I1357" s="10" t="s">
        <v>803</v>
      </c>
      <c r="J1357" s="167" t="s">
        <v>22</v>
      </c>
      <c r="L1357" s="9" t="str">
        <f>IF(ISBLANK(A1357),"",TEXT(A1357,"00000"))</f>
        <v>01356</v>
      </c>
      <c r="M1357" s="71" t="str">
        <f>IF(ISBLANK(D1357),"",TEXT(D1357,"dd")&amp;" de "&amp;TEXT(D1357,"mmmm")&amp;" de "&amp;TEXT(YEAR(D1357),"0"))</f>
        <v>06 de agosto de 2018</v>
      </c>
      <c r="N1357" s="39">
        <f>DATE(YEAR(D1357),MONTH(D1357),1)</f>
        <v>43313</v>
      </c>
      <c r="O1357" s="9" t="str">
        <f t="shared" si="302"/>
        <v>1.500.000,00</v>
      </c>
      <c r="P1357" s="8" t="str">
        <f t="shared" si="303"/>
        <v>Un Millón Quinientos Mil Bolívares con 00/100</v>
      </c>
      <c r="Q1357" s="403" t="str">
        <f t="shared" si="298"/>
        <v/>
      </c>
    </row>
    <row r="1358" spans="1:17" x14ac:dyDescent="0.25">
      <c r="A1358" s="1">
        <f t="shared" si="276"/>
        <v>1357</v>
      </c>
      <c r="C1358" s="12" t="s">
        <v>17</v>
      </c>
      <c r="D1358" s="2">
        <v>43319</v>
      </c>
      <c r="E1358" s="3">
        <v>1200000</v>
      </c>
      <c r="F1358" t="s">
        <v>24</v>
      </c>
      <c r="G1358" t="s">
        <v>25</v>
      </c>
      <c r="H1358" t="s">
        <v>26</v>
      </c>
      <c r="I1358" s="10" t="s">
        <v>788</v>
      </c>
      <c r="J1358" s="167" t="s">
        <v>22</v>
      </c>
      <c r="L1358" s="9" t="str">
        <f t="shared" ref="L1358:L1370" si="304">IF(ISBLANK(A1358),"",TEXT(A1358,"00000"))</f>
        <v>01357</v>
      </c>
      <c r="M1358" s="71" t="str">
        <f t="shared" ref="M1358:M1370" si="305">IF(ISBLANK(D1358),"",TEXT(D1358,"dd")&amp;" de "&amp;TEXT(D1358,"mmmm")&amp;" de "&amp;TEXT(YEAR(D1358),"0"))</f>
        <v>07 de agosto de 2018</v>
      </c>
      <c r="N1358" s="39">
        <f t="shared" ref="N1358:N1370" si="306">DATE(YEAR(D1358),MONTH(D1358),1)</f>
        <v>43313</v>
      </c>
      <c r="O1358" s="9" t="str">
        <f t="shared" si="302"/>
        <v>1.200.000,00</v>
      </c>
      <c r="P1358" s="8" t="str">
        <f t="shared" si="303"/>
        <v>Un Millón Doscientos Mil Bolívares con 00/100</v>
      </c>
      <c r="Q1358" s="403" t="str">
        <f t="shared" si="298"/>
        <v/>
      </c>
    </row>
    <row r="1359" spans="1:17" x14ac:dyDescent="0.25">
      <c r="A1359" s="1">
        <f t="shared" si="276"/>
        <v>1358</v>
      </c>
      <c r="C1359" s="12" t="s">
        <v>17</v>
      </c>
      <c r="D1359" s="2">
        <v>43320</v>
      </c>
      <c r="E1359" s="3">
        <v>1200000</v>
      </c>
      <c r="F1359" t="s">
        <v>363</v>
      </c>
      <c r="G1359" t="s">
        <v>364</v>
      </c>
      <c r="H1359" t="s">
        <v>365</v>
      </c>
      <c r="I1359" s="10" t="s">
        <v>788</v>
      </c>
      <c r="J1359" s="167" t="s">
        <v>22</v>
      </c>
      <c r="L1359" s="9" t="str">
        <f t="shared" si="304"/>
        <v>01358</v>
      </c>
      <c r="M1359" s="71" t="str">
        <f t="shared" si="305"/>
        <v>08 de agosto de 2018</v>
      </c>
      <c r="N1359" s="39">
        <f t="shared" si="306"/>
        <v>43313</v>
      </c>
      <c r="O1359" s="9" t="str">
        <f t="shared" si="302"/>
        <v>1.200.000,00</v>
      </c>
      <c r="P1359" s="8" t="str">
        <f t="shared" si="303"/>
        <v>Un Millón Doscientos Mil Bolívares con 00/100</v>
      </c>
      <c r="Q1359" s="403" t="str">
        <f t="shared" si="298"/>
        <v/>
      </c>
    </row>
    <row r="1360" spans="1:17" x14ac:dyDescent="0.25">
      <c r="A1360" s="1">
        <f t="shared" si="276"/>
        <v>1359</v>
      </c>
      <c r="C1360" s="12" t="s">
        <v>17</v>
      </c>
      <c r="D1360" s="2">
        <v>43322</v>
      </c>
      <c r="E1360" s="3">
        <v>100000</v>
      </c>
      <c r="F1360" t="s">
        <v>434</v>
      </c>
      <c r="G1360" t="s">
        <v>435</v>
      </c>
      <c r="H1360" t="s">
        <v>436</v>
      </c>
      <c r="I1360" s="10" t="s">
        <v>761</v>
      </c>
      <c r="J1360" s="167" t="s">
        <v>22</v>
      </c>
      <c r="L1360" s="9" t="str">
        <f t="shared" si="304"/>
        <v>01359</v>
      </c>
      <c r="M1360" s="71" t="str">
        <f t="shared" si="305"/>
        <v>10 de agosto de 2018</v>
      </c>
      <c r="N1360" s="39">
        <f t="shared" si="306"/>
        <v>43313</v>
      </c>
      <c r="O1360" s="9" t="str">
        <f t="shared" si="302"/>
        <v>100.000,00</v>
      </c>
      <c r="P1360" s="8" t="str">
        <f t="shared" si="303"/>
        <v>Cien Mil Bolívares con 00/100</v>
      </c>
      <c r="Q1360" s="403" t="str">
        <f t="shared" si="298"/>
        <v/>
      </c>
    </row>
    <row r="1361" spans="1:17" x14ac:dyDescent="0.25">
      <c r="A1361" s="1">
        <f t="shared" si="276"/>
        <v>1360</v>
      </c>
      <c r="C1361" s="12" t="s">
        <v>17</v>
      </c>
      <c r="D1361" s="2">
        <v>43324</v>
      </c>
      <c r="E1361" s="3">
        <v>1200000</v>
      </c>
      <c r="F1361" t="s">
        <v>36</v>
      </c>
      <c r="G1361" t="s">
        <v>37</v>
      </c>
      <c r="H1361" t="s">
        <v>38</v>
      </c>
      <c r="I1361" s="10" t="s">
        <v>788</v>
      </c>
      <c r="J1361" s="167" t="s">
        <v>22</v>
      </c>
      <c r="L1361" s="9" t="str">
        <f t="shared" si="304"/>
        <v>01360</v>
      </c>
      <c r="M1361" s="71" t="str">
        <f t="shared" si="305"/>
        <v>12 de agosto de 2018</v>
      </c>
      <c r="N1361" s="39">
        <f t="shared" si="306"/>
        <v>43313</v>
      </c>
      <c r="O1361" s="9" t="str">
        <f t="shared" si="302"/>
        <v>1.200.000,00</v>
      </c>
      <c r="P1361" s="8" t="str">
        <f t="shared" si="303"/>
        <v>Un Millón Doscientos Mil Bolívares con 00/100</v>
      </c>
      <c r="Q1361" s="403" t="str">
        <f t="shared" si="298"/>
        <v/>
      </c>
    </row>
    <row r="1362" spans="1:17" x14ac:dyDescent="0.25">
      <c r="A1362" s="1">
        <f t="shared" si="276"/>
        <v>1361</v>
      </c>
      <c r="C1362" s="12" t="s">
        <v>17</v>
      </c>
      <c r="D1362" s="2">
        <v>43324</v>
      </c>
      <c r="E1362" s="3">
        <v>1200000</v>
      </c>
      <c r="F1362" t="s">
        <v>185</v>
      </c>
      <c r="G1362" t="s">
        <v>186</v>
      </c>
      <c r="H1362" t="s">
        <v>187</v>
      </c>
      <c r="I1362" s="10" t="s">
        <v>788</v>
      </c>
      <c r="J1362" s="167" t="s">
        <v>22</v>
      </c>
      <c r="L1362" s="9" t="str">
        <f t="shared" si="304"/>
        <v>01361</v>
      </c>
      <c r="M1362" s="71" t="str">
        <f t="shared" si="305"/>
        <v>12 de agosto de 2018</v>
      </c>
      <c r="N1362" s="39">
        <f t="shared" si="306"/>
        <v>43313</v>
      </c>
      <c r="O1362" s="9" t="str">
        <f t="shared" si="302"/>
        <v>1.200.000,00</v>
      </c>
      <c r="P1362" s="8" t="str">
        <f t="shared" si="303"/>
        <v>Un Millón Doscientos Mil Bolívares con 00/100</v>
      </c>
      <c r="Q1362" s="403" t="str">
        <f t="shared" si="298"/>
        <v/>
      </c>
    </row>
    <row r="1363" spans="1:17" x14ac:dyDescent="0.25">
      <c r="A1363" s="1">
        <f>A1362+1</f>
        <v>1362</v>
      </c>
      <c r="C1363" s="12" t="s">
        <v>17</v>
      </c>
      <c r="D1363" s="2">
        <v>43324</v>
      </c>
      <c r="E1363" s="3">
        <v>1200000</v>
      </c>
      <c r="F1363" t="s">
        <v>70</v>
      </c>
      <c r="G1363" t="s">
        <v>71</v>
      </c>
      <c r="H1363" t="s">
        <v>72</v>
      </c>
      <c r="I1363" s="10" t="s">
        <v>788</v>
      </c>
      <c r="J1363" s="167" t="s">
        <v>22</v>
      </c>
      <c r="L1363" s="9" t="str">
        <f t="shared" si="304"/>
        <v>01362</v>
      </c>
      <c r="M1363" s="71" t="str">
        <f t="shared" si="305"/>
        <v>12 de agosto de 2018</v>
      </c>
      <c r="N1363" s="39">
        <f t="shared" si="306"/>
        <v>43313</v>
      </c>
      <c r="O1363" s="9" t="str">
        <f t="shared" si="302"/>
        <v>1.200.000,00</v>
      </c>
      <c r="P1363" s="8" t="str">
        <f t="shared" si="303"/>
        <v>Un Millón Doscientos Mil Bolívares con 00/100</v>
      </c>
      <c r="Q1363" s="403" t="str">
        <f t="shared" si="298"/>
        <v/>
      </c>
    </row>
    <row r="1364" spans="1:17" x14ac:dyDescent="0.25">
      <c r="A1364" s="1">
        <f t="shared" ref="A1364:A1380" si="307">A1363+1</f>
        <v>1363</v>
      </c>
      <c r="C1364" s="12" t="s">
        <v>17</v>
      </c>
      <c r="D1364" s="2">
        <v>43324</v>
      </c>
      <c r="E1364" s="3">
        <v>1200000</v>
      </c>
      <c r="F1364" t="s">
        <v>94</v>
      </c>
      <c r="G1364" t="s">
        <v>607</v>
      </c>
      <c r="H1364" t="s">
        <v>96</v>
      </c>
      <c r="I1364" s="10" t="s">
        <v>788</v>
      </c>
      <c r="J1364" s="167" t="s">
        <v>22</v>
      </c>
      <c r="L1364" s="9" t="str">
        <f t="shared" si="304"/>
        <v>01363</v>
      </c>
      <c r="M1364" s="71" t="str">
        <f t="shared" si="305"/>
        <v>12 de agosto de 2018</v>
      </c>
      <c r="N1364" s="39">
        <f t="shared" si="306"/>
        <v>43313</v>
      </c>
      <c r="O1364" s="9" t="str">
        <f t="shared" si="302"/>
        <v>1.200.000,00</v>
      </c>
      <c r="P1364" s="8" t="str">
        <f t="shared" si="303"/>
        <v>Un Millón Doscientos Mil Bolívares con 00/100</v>
      </c>
      <c r="Q1364" s="403" t="str">
        <f t="shared" si="298"/>
        <v/>
      </c>
    </row>
    <row r="1365" spans="1:17" x14ac:dyDescent="0.25">
      <c r="A1365" s="1">
        <f t="shared" si="307"/>
        <v>1364</v>
      </c>
      <c r="C1365" s="12" t="s">
        <v>17</v>
      </c>
      <c r="D1365" s="2">
        <v>43325</v>
      </c>
      <c r="E1365" s="3">
        <v>1200000</v>
      </c>
      <c r="F1365" t="s">
        <v>337</v>
      </c>
      <c r="G1365" t="s">
        <v>338</v>
      </c>
      <c r="H1365" t="s">
        <v>339</v>
      </c>
      <c r="I1365" s="10" t="s">
        <v>788</v>
      </c>
      <c r="J1365" s="167" t="s">
        <v>22</v>
      </c>
      <c r="L1365" s="9" t="str">
        <f t="shared" si="304"/>
        <v>01364</v>
      </c>
      <c r="M1365" s="71" t="str">
        <f t="shared" si="305"/>
        <v>13 de agosto de 2018</v>
      </c>
      <c r="N1365" s="39">
        <f t="shared" si="306"/>
        <v>43313</v>
      </c>
      <c r="O1365" s="9" t="str">
        <f t="shared" si="302"/>
        <v>1.200.000,00</v>
      </c>
      <c r="P1365" s="8" t="str">
        <f t="shared" si="303"/>
        <v>Un Millón Doscientos Mil Bolívares con 00/100</v>
      </c>
      <c r="Q1365" s="403" t="str">
        <f t="shared" si="298"/>
        <v/>
      </c>
    </row>
    <row r="1366" spans="1:17" x14ac:dyDescent="0.25">
      <c r="A1366" s="1">
        <f t="shared" si="307"/>
        <v>1365</v>
      </c>
      <c r="C1366" s="12" t="s">
        <v>17</v>
      </c>
      <c r="D1366" s="2">
        <v>43325</v>
      </c>
      <c r="E1366" s="3">
        <v>1200000</v>
      </c>
      <c r="F1366" t="s">
        <v>444</v>
      </c>
      <c r="G1366" t="s">
        <v>445</v>
      </c>
      <c r="H1366" t="s">
        <v>75</v>
      </c>
      <c r="I1366" s="10" t="s">
        <v>788</v>
      </c>
      <c r="J1366" s="167" t="s">
        <v>22</v>
      </c>
      <c r="L1366" s="9" t="str">
        <f t="shared" si="304"/>
        <v>01365</v>
      </c>
      <c r="M1366" s="71" t="str">
        <f t="shared" si="305"/>
        <v>13 de agosto de 2018</v>
      </c>
      <c r="N1366" s="39">
        <f t="shared" si="306"/>
        <v>43313</v>
      </c>
      <c r="O1366" s="9" t="str">
        <f t="shared" si="302"/>
        <v>1.200.000,00</v>
      </c>
      <c r="P1366" s="8" t="str">
        <f t="shared" si="303"/>
        <v>Un Millón Doscientos Mil Bolívares con 00/100</v>
      </c>
      <c r="Q1366" s="403" t="str">
        <f t="shared" si="298"/>
        <v/>
      </c>
    </row>
    <row r="1367" spans="1:17" x14ac:dyDescent="0.25">
      <c r="A1367" s="1">
        <f t="shared" si="307"/>
        <v>1366</v>
      </c>
      <c r="C1367" s="12" t="s">
        <v>17</v>
      </c>
      <c r="D1367" s="2">
        <v>43325</v>
      </c>
      <c r="E1367" s="3">
        <v>1200000</v>
      </c>
      <c r="F1367" t="s">
        <v>248</v>
      </c>
      <c r="G1367" t="s">
        <v>249</v>
      </c>
      <c r="H1367" t="s">
        <v>250</v>
      </c>
      <c r="I1367" s="10" t="s">
        <v>788</v>
      </c>
      <c r="J1367" s="167" t="s">
        <v>22</v>
      </c>
      <c r="L1367" s="9" t="str">
        <f t="shared" si="304"/>
        <v>01366</v>
      </c>
      <c r="M1367" s="71" t="str">
        <f t="shared" si="305"/>
        <v>13 de agosto de 2018</v>
      </c>
      <c r="N1367" s="39">
        <f t="shared" si="306"/>
        <v>43313</v>
      </c>
      <c r="O1367" s="9" t="str">
        <f t="shared" si="302"/>
        <v>1.200.000,00</v>
      </c>
      <c r="P1367" s="8" t="str">
        <f t="shared" si="303"/>
        <v>Un Millón Doscientos Mil Bolívares con 00/100</v>
      </c>
      <c r="Q1367" s="403" t="str">
        <f t="shared" si="298"/>
        <v/>
      </c>
    </row>
    <row r="1368" spans="1:17" x14ac:dyDescent="0.25">
      <c r="A1368" s="1">
        <f t="shared" si="307"/>
        <v>1367</v>
      </c>
      <c r="C1368" s="12" t="s">
        <v>17</v>
      </c>
      <c r="D1368" s="2">
        <v>43326</v>
      </c>
      <c r="E1368" s="3">
        <v>1200000</v>
      </c>
      <c r="F1368" t="s">
        <v>181</v>
      </c>
      <c r="G1368" t="s">
        <v>182</v>
      </c>
      <c r="H1368" t="s">
        <v>183</v>
      </c>
      <c r="I1368" s="10" t="s">
        <v>788</v>
      </c>
      <c r="J1368" s="167" t="s">
        <v>22</v>
      </c>
      <c r="L1368" s="9" t="str">
        <f t="shared" si="304"/>
        <v>01367</v>
      </c>
      <c r="M1368" s="71" t="str">
        <f t="shared" si="305"/>
        <v>14 de agosto de 2018</v>
      </c>
      <c r="N1368" s="39">
        <f t="shared" si="306"/>
        <v>43313</v>
      </c>
      <c r="O1368" s="9" t="str">
        <f t="shared" si="302"/>
        <v>1.200.000,00</v>
      </c>
      <c r="P1368" s="8" t="str">
        <f t="shared" si="303"/>
        <v>Un Millón Doscientos Mil Bolívares con 00/100</v>
      </c>
      <c r="Q1368" s="403" t="str">
        <f t="shared" si="298"/>
        <v/>
      </c>
    </row>
    <row r="1369" spans="1:17" x14ac:dyDescent="0.25">
      <c r="A1369" s="1">
        <f t="shared" si="307"/>
        <v>1368</v>
      </c>
      <c r="C1369" s="12" t="s">
        <v>17</v>
      </c>
      <c r="D1369" s="2">
        <v>43327</v>
      </c>
      <c r="E1369" s="3">
        <v>400000</v>
      </c>
      <c r="F1369" t="s">
        <v>206</v>
      </c>
      <c r="G1369" t="s">
        <v>207</v>
      </c>
      <c r="H1369" t="s">
        <v>208</v>
      </c>
      <c r="I1369" s="10" t="s">
        <v>684</v>
      </c>
      <c r="J1369" s="167" t="s">
        <v>22</v>
      </c>
      <c r="L1369" s="9" t="str">
        <f t="shared" si="304"/>
        <v>01368</v>
      </c>
      <c r="M1369" s="71" t="str">
        <f t="shared" si="305"/>
        <v>15 de agosto de 2018</v>
      </c>
      <c r="N1369" s="39">
        <f t="shared" si="306"/>
        <v>43313</v>
      </c>
      <c r="O1369" s="9" t="str">
        <f t="shared" si="302"/>
        <v>400.000,00</v>
      </c>
      <c r="P1369" s="8" t="str">
        <f t="shared" si="303"/>
        <v>Cuatrocientos Mil Bolívares con 00/100</v>
      </c>
      <c r="Q1369" s="403" t="str">
        <f t="shared" si="298"/>
        <v/>
      </c>
    </row>
    <row r="1370" spans="1:17" x14ac:dyDescent="0.25">
      <c r="A1370" s="1">
        <f t="shared" si="307"/>
        <v>1369</v>
      </c>
      <c r="C1370" s="12" t="s">
        <v>17</v>
      </c>
      <c r="D1370" s="2">
        <v>43327</v>
      </c>
      <c r="E1370" s="3">
        <f>150000+800000</f>
        <v>950000</v>
      </c>
      <c r="F1370" t="s">
        <v>162</v>
      </c>
      <c r="G1370" t="s">
        <v>163</v>
      </c>
      <c r="H1370" t="s">
        <v>164</v>
      </c>
      <c r="I1370" s="10" t="s">
        <v>804</v>
      </c>
      <c r="J1370" s="167" t="s">
        <v>22</v>
      </c>
      <c r="L1370" s="9" t="str">
        <f t="shared" si="304"/>
        <v>01369</v>
      </c>
      <c r="M1370" s="71" t="str">
        <f t="shared" si="305"/>
        <v>15 de agosto de 2018</v>
      </c>
      <c r="N1370" s="39">
        <f t="shared" si="306"/>
        <v>43313</v>
      </c>
      <c r="O1370" s="9" t="str">
        <f>TEXT(E1370,"#.##0,00")</f>
        <v>950.000,00</v>
      </c>
      <c r="P1370" s="8" t="str">
        <f>CONVERTIRNUM(E1370)</f>
        <v>Novecientos Cincuenta Mil Bolívares con 00/100</v>
      </c>
      <c r="Q1370" s="403" t="str">
        <f t="shared" si="298"/>
        <v/>
      </c>
    </row>
    <row r="1371" spans="1:17" x14ac:dyDescent="0.25">
      <c r="A1371" s="1">
        <f t="shared" si="307"/>
        <v>1370</v>
      </c>
      <c r="C1371" s="12" t="s">
        <v>17</v>
      </c>
      <c r="D1371" s="2">
        <v>43327</v>
      </c>
      <c r="E1371" s="3">
        <f>4000000-(150000+800000)</f>
        <v>3050000</v>
      </c>
      <c r="F1371" t="s">
        <v>162</v>
      </c>
      <c r="G1371" t="s">
        <v>163</v>
      </c>
      <c r="H1371" t="s">
        <v>164</v>
      </c>
      <c r="I1371" s="10" t="s">
        <v>805</v>
      </c>
      <c r="J1371" s="167" t="s">
        <v>652</v>
      </c>
      <c r="L1371" s="9" t="str">
        <f t="shared" ref="L1371:L1380" si="308">IF(ISBLANK(A1371),"",TEXT(A1371,"00000"))</f>
        <v>01370</v>
      </c>
      <c r="M1371" s="71" t="str">
        <f t="shared" ref="M1371:M1380" si="309">IF(ISBLANK(D1371),"",TEXT(D1371,"dd")&amp;" de "&amp;TEXT(D1371,"mmmm")&amp;" de "&amp;TEXT(YEAR(D1371),"0"))</f>
        <v>15 de agosto de 2018</v>
      </c>
      <c r="N1371" s="39">
        <f t="shared" ref="N1371:N1380" si="310">DATE(YEAR(D1371),MONTH(D1371),1)</f>
        <v>43313</v>
      </c>
      <c r="O1371" s="9" t="str">
        <f>TEXT(E1371,"#.##0,00")</f>
        <v>3.050.000,00</v>
      </c>
      <c r="P1371" s="8" t="str">
        <f>CONVERTIRNUM(E1371)</f>
        <v>Tres Millones Cincuenta Mil Bolívares con 00/100</v>
      </c>
      <c r="Q1371" s="403" t="str">
        <f t="shared" si="298"/>
        <v/>
      </c>
    </row>
    <row r="1372" spans="1:17" x14ac:dyDescent="0.25">
      <c r="A1372" s="1">
        <f t="shared" si="307"/>
        <v>1371</v>
      </c>
      <c r="C1372" s="12" t="s">
        <v>17</v>
      </c>
      <c r="D1372" s="2">
        <v>43327</v>
      </c>
      <c r="E1372" s="3">
        <v>800000</v>
      </c>
      <c r="F1372" t="s">
        <v>342</v>
      </c>
      <c r="G1372" t="s">
        <v>343</v>
      </c>
      <c r="H1372" t="s">
        <v>344</v>
      </c>
      <c r="I1372" s="10" t="s">
        <v>789</v>
      </c>
      <c r="J1372" s="167" t="s">
        <v>22</v>
      </c>
      <c r="L1372" s="9" t="str">
        <f t="shared" si="308"/>
        <v>01371</v>
      </c>
      <c r="M1372" s="71" t="str">
        <f t="shared" si="309"/>
        <v>15 de agosto de 2018</v>
      </c>
      <c r="N1372" s="39">
        <f t="shared" si="310"/>
        <v>43313</v>
      </c>
      <c r="O1372" s="9" t="str">
        <f t="shared" ref="O1372:O1380" si="311">TEXT(E1372,"#.##0,00")</f>
        <v>800.000,00</v>
      </c>
      <c r="P1372" s="8" t="str">
        <f t="shared" ref="P1372:P1380" si="312">CONVERTIRNUM(E1372)</f>
        <v>Ochocientos Mil Bolívares con 00/100</v>
      </c>
      <c r="Q1372" s="403" t="str">
        <f t="shared" si="298"/>
        <v/>
      </c>
    </row>
    <row r="1373" spans="1:17" x14ac:dyDescent="0.25">
      <c r="A1373" s="1">
        <f t="shared" si="307"/>
        <v>1372</v>
      </c>
      <c r="C1373" s="12" t="s">
        <v>17</v>
      </c>
      <c r="D1373" s="2">
        <v>43327</v>
      </c>
      <c r="E1373" s="3">
        <v>1200000</v>
      </c>
      <c r="F1373" t="s">
        <v>62</v>
      </c>
      <c r="G1373" t="s">
        <v>63</v>
      </c>
      <c r="H1373" t="s">
        <v>64</v>
      </c>
      <c r="I1373" s="10" t="s">
        <v>788</v>
      </c>
      <c r="J1373" s="167" t="s">
        <v>22</v>
      </c>
      <c r="L1373" s="9" t="str">
        <f t="shared" si="308"/>
        <v>01372</v>
      </c>
      <c r="M1373" s="71" t="str">
        <f t="shared" si="309"/>
        <v>15 de agosto de 2018</v>
      </c>
      <c r="N1373" s="39">
        <f t="shared" si="310"/>
        <v>43313</v>
      </c>
      <c r="O1373" s="9" t="str">
        <f t="shared" si="311"/>
        <v>1.200.000,00</v>
      </c>
      <c r="P1373" s="8" t="str">
        <f t="shared" si="312"/>
        <v>Un Millón Doscientos Mil Bolívares con 00/100</v>
      </c>
      <c r="Q1373" s="403" t="str">
        <f t="shared" si="298"/>
        <v/>
      </c>
    </row>
    <row r="1374" spans="1:17" x14ac:dyDescent="0.25">
      <c r="A1374" s="1">
        <f t="shared" si="307"/>
        <v>1373</v>
      </c>
      <c r="C1374" s="12" t="s">
        <v>17</v>
      </c>
      <c r="D1374" s="2">
        <v>43328</v>
      </c>
      <c r="E1374" s="3">
        <v>1200000</v>
      </c>
      <c r="F1374" t="s">
        <v>201</v>
      </c>
      <c r="G1374" t="s">
        <v>202</v>
      </c>
      <c r="H1374" t="s">
        <v>203</v>
      </c>
      <c r="I1374" s="10" t="s">
        <v>788</v>
      </c>
      <c r="J1374" s="167" t="s">
        <v>22</v>
      </c>
      <c r="L1374" s="9" t="str">
        <f t="shared" si="308"/>
        <v>01373</v>
      </c>
      <c r="M1374" s="71" t="str">
        <f t="shared" si="309"/>
        <v>16 de agosto de 2018</v>
      </c>
      <c r="N1374" s="39">
        <f t="shared" si="310"/>
        <v>43313</v>
      </c>
      <c r="O1374" s="9" t="str">
        <f t="shared" si="311"/>
        <v>1.200.000,00</v>
      </c>
      <c r="P1374" s="8" t="str">
        <f t="shared" si="312"/>
        <v>Un Millón Doscientos Mil Bolívares con 00/100</v>
      </c>
      <c r="Q1374" s="403" t="str">
        <f t="shared" si="298"/>
        <v/>
      </c>
    </row>
    <row r="1375" spans="1:17" x14ac:dyDescent="0.25">
      <c r="A1375" s="1">
        <f t="shared" si="307"/>
        <v>1374</v>
      </c>
      <c r="C1375" s="12" t="s">
        <v>17</v>
      </c>
      <c r="D1375" s="2">
        <v>43328</v>
      </c>
      <c r="E1375" s="3">
        <v>1200000</v>
      </c>
      <c r="F1375" t="s">
        <v>103</v>
      </c>
      <c r="G1375" t="s">
        <v>104</v>
      </c>
      <c r="H1375" t="s">
        <v>105</v>
      </c>
      <c r="I1375" s="10" t="s">
        <v>788</v>
      </c>
      <c r="J1375" s="167" t="s">
        <v>22</v>
      </c>
      <c r="L1375" s="9" t="str">
        <f t="shared" si="308"/>
        <v>01374</v>
      </c>
      <c r="M1375" s="71" t="str">
        <f t="shared" si="309"/>
        <v>16 de agosto de 2018</v>
      </c>
      <c r="N1375" s="39">
        <f t="shared" si="310"/>
        <v>43313</v>
      </c>
      <c r="O1375" s="9" t="str">
        <f t="shared" si="311"/>
        <v>1.200.000,00</v>
      </c>
      <c r="P1375" s="8" t="str">
        <f t="shared" si="312"/>
        <v>Un Millón Doscientos Mil Bolívares con 00/100</v>
      </c>
      <c r="Q1375" s="403" t="str">
        <f t="shared" si="298"/>
        <v/>
      </c>
    </row>
    <row r="1376" spans="1:17" ht="15.75" thickBot="1" x14ac:dyDescent="0.3">
      <c r="A1376" s="1">
        <f t="shared" si="307"/>
        <v>1375</v>
      </c>
      <c r="C1376" s="12" t="s">
        <v>17</v>
      </c>
      <c r="D1376" s="2">
        <v>43328</v>
      </c>
      <c r="E1376" s="3">
        <v>1200000</v>
      </c>
      <c r="F1376" t="s">
        <v>122</v>
      </c>
      <c r="G1376" t="s">
        <v>123</v>
      </c>
      <c r="H1376" t="s">
        <v>124</v>
      </c>
      <c r="I1376" s="10" t="s">
        <v>788</v>
      </c>
      <c r="J1376" s="167" t="s">
        <v>22</v>
      </c>
      <c r="L1376" s="9" t="str">
        <f t="shared" si="308"/>
        <v>01375</v>
      </c>
      <c r="M1376" s="71" t="str">
        <f t="shared" si="309"/>
        <v>16 de agosto de 2018</v>
      </c>
      <c r="N1376" s="39">
        <f t="shared" si="310"/>
        <v>43313</v>
      </c>
      <c r="O1376" s="9" t="str">
        <f t="shared" si="311"/>
        <v>1.200.000,00</v>
      </c>
      <c r="P1376" s="8" t="str">
        <f t="shared" si="312"/>
        <v>Un Millón Doscientos Mil Bolívares con 00/100</v>
      </c>
      <c r="Q1376" s="403" t="str">
        <f t="shared" si="298"/>
        <v/>
      </c>
    </row>
    <row r="1377" spans="1:17" ht="15.75" thickBot="1" x14ac:dyDescent="0.3">
      <c r="A1377" s="1">
        <f t="shared" si="307"/>
        <v>1376</v>
      </c>
      <c r="C1377" s="12" t="s">
        <v>17</v>
      </c>
      <c r="D1377" s="2">
        <v>43328</v>
      </c>
      <c r="E1377" s="3">
        <v>1350000</v>
      </c>
      <c r="F1377" t="s">
        <v>259</v>
      </c>
      <c r="G1377" s="27" t="s">
        <v>58</v>
      </c>
      <c r="H1377" t="s">
        <v>261</v>
      </c>
      <c r="I1377" s="10" t="s">
        <v>806</v>
      </c>
      <c r="J1377" s="167" t="s">
        <v>22</v>
      </c>
      <c r="L1377" s="9" t="str">
        <f t="shared" si="308"/>
        <v>01376</v>
      </c>
      <c r="M1377" s="71" t="str">
        <f t="shared" si="309"/>
        <v>16 de agosto de 2018</v>
      </c>
      <c r="N1377" s="39">
        <f t="shared" si="310"/>
        <v>43313</v>
      </c>
      <c r="O1377" s="9" t="str">
        <f t="shared" si="311"/>
        <v>1.350.000,00</v>
      </c>
      <c r="P1377" s="8" t="str">
        <f t="shared" si="312"/>
        <v>Un Millón Trescientos Cincuenta Mil Bolívares con 00/100</v>
      </c>
      <c r="Q1377" s="403" t="str">
        <f t="shared" si="298"/>
        <v/>
      </c>
    </row>
    <row r="1378" spans="1:17" ht="15.75" thickBot="1" x14ac:dyDescent="0.3">
      <c r="A1378" s="1">
        <f t="shared" si="307"/>
        <v>1377</v>
      </c>
      <c r="C1378" s="255" t="s">
        <v>17</v>
      </c>
      <c r="D1378" s="2">
        <v>43330</v>
      </c>
      <c r="E1378" s="3">
        <v>1100000</v>
      </c>
      <c r="F1378" s="31" t="s">
        <v>57</v>
      </c>
      <c r="G1378" s="27" t="s">
        <v>58</v>
      </c>
      <c r="H1378" s="32" t="s">
        <v>59</v>
      </c>
      <c r="I1378" s="10" t="s">
        <v>807</v>
      </c>
      <c r="J1378" s="167" t="s">
        <v>22</v>
      </c>
      <c r="K1378" s="33"/>
      <c r="L1378" s="9" t="str">
        <f t="shared" si="308"/>
        <v>01377</v>
      </c>
      <c r="M1378" s="71" t="str">
        <f t="shared" si="309"/>
        <v>18 de agosto de 2018</v>
      </c>
      <c r="N1378" s="39">
        <f t="shared" si="310"/>
        <v>43313</v>
      </c>
      <c r="O1378" s="9" t="str">
        <f t="shared" si="311"/>
        <v>1.100.000,00</v>
      </c>
      <c r="P1378" s="8" t="str">
        <f t="shared" si="312"/>
        <v>Un Millón Cien Mil Bolívares con 00/100</v>
      </c>
      <c r="Q1378" s="403" t="str">
        <f t="shared" si="298"/>
        <v/>
      </c>
    </row>
    <row r="1379" spans="1:17" x14ac:dyDescent="0.25">
      <c r="A1379" s="1">
        <f t="shared" si="307"/>
        <v>1378</v>
      </c>
      <c r="C1379" s="12" t="s">
        <v>17</v>
      </c>
      <c r="D1379" s="2">
        <v>43331</v>
      </c>
      <c r="E1379" s="3">
        <v>1200000</v>
      </c>
      <c r="F1379" t="s">
        <v>134</v>
      </c>
      <c r="G1379" t="s">
        <v>135</v>
      </c>
      <c r="H1379" t="s">
        <v>136</v>
      </c>
      <c r="I1379" s="10" t="s">
        <v>788</v>
      </c>
      <c r="J1379" s="167" t="s">
        <v>22</v>
      </c>
      <c r="L1379" s="9" t="str">
        <f t="shared" si="308"/>
        <v>01378</v>
      </c>
      <c r="M1379" s="71" t="str">
        <f t="shared" si="309"/>
        <v>19 de agosto de 2018</v>
      </c>
      <c r="N1379" s="39">
        <f t="shared" si="310"/>
        <v>43313</v>
      </c>
      <c r="O1379" s="9" t="str">
        <f t="shared" si="311"/>
        <v>1.200.000,00</v>
      </c>
      <c r="P1379" s="8" t="str">
        <f t="shared" si="312"/>
        <v>Un Millón Doscientos Mil Bolívares con 00/100</v>
      </c>
      <c r="Q1379" s="403" t="str">
        <f t="shared" si="298"/>
        <v/>
      </c>
    </row>
    <row r="1380" spans="1:17" x14ac:dyDescent="0.25">
      <c r="A1380" s="1">
        <f t="shared" si="307"/>
        <v>1379</v>
      </c>
      <c r="C1380" s="12" t="s">
        <v>17</v>
      </c>
      <c r="D1380" s="2">
        <v>43331</v>
      </c>
      <c r="E1380" s="3">
        <v>600000</v>
      </c>
      <c r="F1380" t="s">
        <v>134</v>
      </c>
      <c r="G1380" t="s">
        <v>135</v>
      </c>
      <c r="H1380" t="s">
        <v>136</v>
      </c>
      <c r="I1380" s="10" t="s">
        <v>745</v>
      </c>
      <c r="J1380" s="167" t="s">
        <v>746</v>
      </c>
      <c r="L1380" s="9" t="str">
        <f t="shared" si="308"/>
        <v>01379</v>
      </c>
      <c r="M1380" s="71" t="str">
        <f t="shared" si="309"/>
        <v>19 de agosto de 2018</v>
      </c>
      <c r="N1380" s="39">
        <f t="shared" si="310"/>
        <v>43313</v>
      </c>
      <c r="O1380" s="9" t="str">
        <f t="shared" si="311"/>
        <v>600.000,00</v>
      </c>
      <c r="P1380" s="8" t="str">
        <f t="shared" si="312"/>
        <v>Seiscientos Mil Bolívares con 00/100</v>
      </c>
      <c r="Q1380" s="403" t="str">
        <f t="shared" si="298"/>
        <v/>
      </c>
    </row>
  </sheetData>
  <autoFilter ref="A1:Q1380"/>
  <sortState ref="A2:N204">
    <sortCondition ref="A203"/>
  </sortState>
  <conditionalFormatting sqref="G79">
    <cfRule type="expression" dxfId="414" priority="421" stopIfTrue="1">
      <formula>ISBLANK(G79)</formula>
    </cfRule>
    <cfRule type="expression" dxfId="413" priority="422">
      <formula>IFERROR(FIND("@",G79),-1)&lt;0</formula>
    </cfRule>
  </conditionalFormatting>
  <conditionalFormatting sqref="G179">
    <cfRule type="expression" dxfId="412" priority="419" stopIfTrue="1">
      <formula>ISBLANK(G179)</formula>
    </cfRule>
    <cfRule type="expression" dxfId="411" priority="420">
      <formula>IFERROR(FIND("@",G179),-1)&lt;0</formula>
    </cfRule>
  </conditionalFormatting>
  <conditionalFormatting sqref="G13">
    <cfRule type="expression" dxfId="410" priority="417" stopIfTrue="1">
      <formula>ISBLANK(G13)</formula>
    </cfRule>
    <cfRule type="expression" dxfId="409" priority="418">
      <formula>IFERROR(FIND("@",G13),-1)&lt;0</formula>
    </cfRule>
  </conditionalFormatting>
  <conditionalFormatting sqref="G56">
    <cfRule type="expression" dxfId="408" priority="415" stopIfTrue="1">
      <formula>ISBLANK(G56)</formula>
    </cfRule>
    <cfRule type="expression" dxfId="407" priority="416">
      <formula>IFERROR(FIND("@",G56),-1)&lt;0</formula>
    </cfRule>
  </conditionalFormatting>
  <conditionalFormatting sqref="G139">
    <cfRule type="expression" dxfId="406" priority="413" stopIfTrue="1">
      <formula>ISBLANK(G139)</formula>
    </cfRule>
    <cfRule type="expression" dxfId="405" priority="414">
      <formula>IFERROR(FIND("@",G139),-1)&lt;0</formula>
    </cfRule>
  </conditionalFormatting>
  <conditionalFormatting sqref="G163">
    <cfRule type="expression" dxfId="404" priority="411" stopIfTrue="1">
      <formula>ISBLANK(G163)</formula>
    </cfRule>
    <cfRule type="expression" dxfId="403" priority="412">
      <formula>IFERROR(FIND("@",G163),-1)&lt;0</formula>
    </cfRule>
  </conditionalFormatting>
  <conditionalFormatting sqref="G190">
    <cfRule type="expression" dxfId="402" priority="409" stopIfTrue="1">
      <formula>ISBLANK(G190)</formula>
    </cfRule>
    <cfRule type="expression" dxfId="401" priority="410">
      <formula>IFERROR(FIND("@",G190),-1)&lt;0</formula>
    </cfRule>
  </conditionalFormatting>
  <conditionalFormatting sqref="G191:G192">
    <cfRule type="expression" dxfId="400" priority="407" stopIfTrue="1">
      <formula>ISBLANK(G191)</formula>
    </cfRule>
    <cfRule type="expression" dxfId="399" priority="408">
      <formula>IFERROR(FIND("@",G191),-1)&lt;0</formula>
    </cfRule>
  </conditionalFormatting>
  <conditionalFormatting sqref="G184">
    <cfRule type="expression" dxfId="398" priority="405" stopIfTrue="1">
      <formula>ISBLANK(G184)</formula>
    </cfRule>
    <cfRule type="expression" dxfId="397" priority="406">
      <formula>IFERROR(FIND("@",G184),-1)&lt;0</formula>
    </cfRule>
  </conditionalFormatting>
  <conditionalFormatting sqref="G47">
    <cfRule type="expression" dxfId="396" priority="403" stopIfTrue="1">
      <formula>ISBLANK(G47)</formula>
    </cfRule>
    <cfRule type="expression" dxfId="395" priority="404">
      <formula>IFERROR(FIND("@",G47),-1)&lt;0</formula>
    </cfRule>
  </conditionalFormatting>
  <conditionalFormatting sqref="G93">
    <cfRule type="expression" dxfId="394" priority="401" stopIfTrue="1">
      <formula>ISBLANK(G93)</formula>
    </cfRule>
    <cfRule type="expression" dxfId="393" priority="402">
      <formula>IFERROR(FIND("@",G93),-1)&lt;0</formula>
    </cfRule>
  </conditionalFormatting>
  <conditionalFormatting sqref="G150">
    <cfRule type="expression" dxfId="392" priority="399" stopIfTrue="1">
      <formula>ISBLANK(G150)</formula>
    </cfRule>
    <cfRule type="expression" dxfId="391" priority="400">
      <formula>IFERROR(FIND("@",G150),-1)&lt;0</formula>
    </cfRule>
  </conditionalFormatting>
  <conditionalFormatting sqref="G53">
    <cfRule type="expression" dxfId="390" priority="397" stopIfTrue="1">
      <formula>ISBLANK(G53)</formula>
    </cfRule>
    <cfRule type="expression" dxfId="389" priority="398">
      <formula>IFERROR(FIND("@",G53),-1)&lt;0</formula>
    </cfRule>
  </conditionalFormatting>
  <conditionalFormatting sqref="G86">
    <cfRule type="expression" dxfId="388" priority="395" stopIfTrue="1">
      <formula>ISBLANK(G86)</formula>
    </cfRule>
    <cfRule type="expression" dxfId="387" priority="396">
      <formula>IFERROR(FIND("@",G86),-1)&lt;0</formula>
    </cfRule>
  </conditionalFormatting>
  <conditionalFormatting sqref="G125">
    <cfRule type="expression" dxfId="386" priority="393" stopIfTrue="1">
      <formula>ISBLANK(G125)</formula>
    </cfRule>
    <cfRule type="expression" dxfId="385" priority="394">
      <formula>IFERROR(FIND("@",G125),-1)&lt;0</formula>
    </cfRule>
  </conditionalFormatting>
  <conditionalFormatting sqref="G174">
    <cfRule type="expression" dxfId="384" priority="391" stopIfTrue="1">
      <formula>ISBLANK(G174)</formula>
    </cfRule>
    <cfRule type="expression" dxfId="383" priority="392">
      <formula>IFERROR(FIND("@",G174),-1)&lt;0</formula>
    </cfRule>
  </conditionalFormatting>
  <conditionalFormatting sqref="G117">
    <cfRule type="expression" dxfId="382" priority="389" stopIfTrue="1">
      <formula>ISBLANK(G117)</formula>
    </cfRule>
    <cfRule type="expression" dxfId="381" priority="390">
      <formula>IFERROR(FIND("@",G117),-1)&lt;0</formula>
    </cfRule>
  </conditionalFormatting>
  <conditionalFormatting sqref="G193">
    <cfRule type="expression" dxfId="380" priority="387" stopIfTrue="1">
      <formula>ISBLANK(G193)</formula>
    </cfRule>
    <cfRule type="expression" dxfId="379" priority="388">
      <formula>IFERROR(FIND("@",G193),-1)&lt;0</formula>
    </cfRule>
  </conditionalFormatting>
  <conditionalFormatting sqref="G12">
    <cfRule type="expression" dxfId="378" priority="385" stopIfTrue="1">
      <formula>ISBLANK(G12)</formula>
    </cfRule>
    <cfRule type="expression" dxfId="377" priority="386">
      <formula>IFERROR(FIND("@",G12),-1)&lt;0</formula>
    </cfRule>
  </conditionalFormatting>
  <conditionalFormatting sqref="G66">
    <cfRule type="expression" dxfId="376" priority="383" stopIfTrue="1">
      <formula>ISBLANK(G66)</formula>
    </cfRule>
    <cfRule type="expression" dxfId="375" priority="384">
      <formula>IFERROR(FIND("@",G66),-1)&lt;0</formula>
    </cfRule>
  </conditionalFormatting>
  <conditionalFormatting sqref="G129">
    <cfRule type="expression" dxfId="374" priority="381" stopIfTrue="1">
      <formula>ISBLANK(G129)</formula>
    </cfRule>
    <cfRule type="expression" dxfId="373" priority="382">
      <formula>IFERROR(FIND("@",G129),-1)&lt;0</formula>
    </cfRule>
  </conditionalFormatting>
  <conditionalFormatting sqref="G161">
    <cfRule type="expression" dxfId="372" priority="379" stopIfTrue="1">
      <formula>ISBLANK(G161)</formula>
    </cfRule>
    <cfRule type="expression" dxfId="371" priority="380">
      <formula>IFERROR(FIND("@",G161),-1)&lt;0</formula>
    </cfRule>
  </conditionalFormatting>
  <conditionalFormatting sqref="G67">
    <cfRule type="expression" dxfId="370" priority="377" stopIfTrue="1">
      <formula>ISBLANK(G67)</formula>
    </cfRule>
    <cfRule type="expression" dxfId="369" priority="378">
      <formula>IFERROR(FIND("@",G67),-1)&lt;0</formula>
    </cfRule>
  </conditionalFormatting>
  <conditionalFormatting sqref="G130">
    <cfRule type="expression" dxfId="368" priority="375" stopIfTrue="1">
      <formula>ISBLANK(G130)</formula>
    </cfRule>
    <cfRule type="expression" dxfId="367" priority="376">
      <formula>IFERROR(FIND("@",G130),-1)&lt;0</formula>
    </cfRule>
  </conditionalFormatting>
  <conditionalFormatting sqref="G168">
    <cfRule type="expression" dxfId="366" priority="373" stopIfTrue="1">
      <formula>ISBLANK(G168)</formula>
    </cfRule>
    <cfRule type="expression" dxfId="365" priority="374">
      <formula>IFERROR(FIND("@",G168),-1)&lt;0</formula>
    </cfRule>
  </conditionalFormatting>
  <conditionalFormatting sqref="G199">
    <cfRule type="expression" dxfId="364" priority="371" stopIfTrue="1">
      <formula>ISBLANK(G199)</formula>
    </cfRule>
    <cfRule type="expression" dxfId="363" priority="372">
      <formula>IFERROR(FIND("@",G199),-1)&lt;0</formula>
    </cfRule>
  </conditionalFormatting>
  <conditionalFormatting sqref="G200">
    <cfRule type="expression" dxfId="362" priority="369" stopIfTrue="1">
      <formula>ISBLANK(G200)</formula>
    </cfRule>
    <cfRule type="expression" dxfId="361" priority="370">
      <formula>IFERROR(FIND("@",G200),-1)&lt;0</formula>
    </cfRule>
  </conditionalFormatting>
  <conditionalFormatting sqref="G201">
    <cfRule type="expression" dxfId="360" priority="367" stopIfTrue="1">
      <formula>ISBLANK(G201)</formula>
    </cfRule>
    <cfRule type="expression" dxfId="359" priority="368">
      <formula>IFERROR(FIND("@",G201),-1)&lt;0</formula>
    </cfRule>
  </conditionalFormatting>
  <conditionalFormatting sqref="G89">
    <cfRule type="expression" dxfId="358" priority="365" stopIfTrue="1">
      <formula>ISBLANK(G89)</formula>
    </cfRule>
    <cfRule type="expression" dxfId="357" priority="366">
      <formula>IFERROR(FIND("@",G89),-1)&lt;0</formula>
    </cfRule>
  </conditionalFormatting>
  <conditionalFormatting sqref="G207">
    <cfRule type="expression" dxfId="356" priority="363" stopIfTrue="1">
      <formula>ISBLANK(G207)</formula>
    </cfRule>
    <cfRule type="expression" dxfId="355" priority="364">
      <formula>IFERROR(FIND("@",G207),-1)&lt;0</formula>
    </cfRule>
  </conditionalFormatting>
  <conditionalFormatting sqref="G211">
    <cfRule type="expression" dxfId="354" priority="361" stopIfTrue="1">
      <formula>ISBLANK(G211)</formula>
    </cfRule>
    <cfRule type="expression" dxfId="353" priority="362">
      <formula>IFERROR(FIND("@",G211),-1)&lt;0</formula>
    </cfRule>
  </conditionalFormatting>
  <conditionalFormatting sqref="G212">
    <cfRule type="expression" dxfId="352" priority="359" stopIfTrue="1">
      <formula>ISBLANK(G212)</formula>
    </cfRule>
    <cfRule type="expression" dxfId="351" priority="360">
      <formula>IFERROR(FIND("@",G212),-1)&lt;0</formula>
    </cfRule>
  </conditionalFormatting>
  <conditionalFormatting sqref="G214">
    <cfRule type="expression" dxfId="350" priority="357" stopIfTrue="1">
      <formula>ISBLANK(G214)</formula>
    </cfRule>
    <cfRule type="expression" dxfId="349" priority="358">
      <formula>IFERROR(FIND("@",G214),-1)&lt;0</formula>
    </cfRule>
  </conditionalFormatting>
  <conditionalFormatting sqref="G236">
    <cfRule type="expression" dxfId="348" priority="353" stopIfTrue="1">
      <formula>ISBLANK(G236)</formula>
    </cfRule>
    <cfRule type="expression" dxfId="347" priority="354">
      <formula>IFERROR(FIND("@",G236),-1)&lt;0</formula>
    </cfRule>
  </conditionalFormatting>
  <conditionalFormatting sqref="G243">
    <cfRule type="expression" dxfId="346" priority="351" stopIfTrue="1">
      <formula>ISBLANK(G243)</formula>
    </cfRule>
    <cfRule type="expression" dxfId="345" priority="352">
      <formula>IFERROR(FIND("@",G243),-1)&lt;0</formula>
    </cfRule>
  </conditionalFormatting>
  <conditionalFormatting sqref="G244">
    <cfRule type="expression" dxfId="344" priority="349" stopIfTrue="1">
      <formula>ISBLANK(G244)</formula>
    </cfRule>
    <cfRule type="expression" dxfId="343" priority="350">
      <formula>IFERROR(FIND("@",G244),-1)&lt;0</formula>
    </cfRule>
  </conditionalFormatting>
  <conditionalFormatting sqref="G245">
    <cfRule type="expression" dxfId="342" priority="347" stopIfTrue="1">
      <formula>ISBLANK(G245)</formula>
    </cfRule>
    <cfRule type="expression" dxfId="341" priority="348">
      <formula>IFERROR(FIND("@",G245),-1)&lt;0</formula>
    </cfRule>
  </conditionalFormatting>
  <conditionalFormatting sqref="G284">
    <cfRule type="expression" dxfId="340" priority="345" stopIfTrue="1">
      <formula>ISBLANK(G284)</formula>
    </cfRule>
    <cfRule type="expression" dxfId="339" priority="346">
      <formula>IFERROR(FIND("@",G284),-1)&lt;0</formula>
    </cfRule>
  </conditionalFormatting>
  <conditionalFormatting sqref="G286">
    <cfRule type="expression" dxfId="338" priority="343" stopIfTrue="1">
      <formula>ISBLANK(G286)</formula>
    </cfRule>
    <cfRule type="expression" dxfId="337" priority="344">
      <formula>IFERROR(FIND("@",G286),-1)&lt;0</formula>
    </cfRule>
  </conditionalFormatting>
  <conditionalFormatting sqref="G290">
    <cfRule type="expression" dxfId="336" priority="341" stopIfTrue="1">
      <formula>ISBLANK(G290)</formula>
    </cfRule>
    <cfRule type="expression" dxfId="335" priority="342">
      <formula>IFERROR(FIND("@",G290),-1)&lt;0</formula>
    </cfRule>
  </conditionalFormatting>
  <conditionalFormatting sqref="G297">
    <cfRule type="expression" dxfId="334" priority="339" stopIfTrue="1">
      <formula>ISBLANK(G297)</formula>
    </cfRule>
    <cfRule type="expression" dxfId="333" priority="340">
      <formula>IFERROR(FIND("@",G297),-1)&lt;0</formula>
    </cfRule>
  </conditionalFormatting>
  <conditionalFormatting sqref="G310:G311">
    <cfRule type="expression" dxfId="332" priority="333" stopIfTrue="1">
      <formula>ISBLANK(G310)</formula>
    </cfRule>
    <cfRule type="expression" dxfId="331" priority="334">
      <formula>IFERROR(FIND("@",G310),-1)&lt;0</formula>
    </cfRule>
  </conditionalFormatting>
  <conditionalFormatting sqref="G313">
    <cfRule type="expression" dxfId="330" priority="329" stopIfTrue="1">
      <formula>ISBLANK(G313)</formula>
    </cfRule>
    <cfRule type="expression" dxfId="329" priority="330">
      <formula>IFERROR(FIND("@",G313),-1)&lt;0</formula>
    </cfRule>
  </conditionalFormatting>
  <conditionalFormatting sqref="G332">
    <cfRule type="expression" dxfId="328" priority="325" stopIfTrue="1">
      <formula>ISBLANK(G332)</formula>
    </cfRule>
    <cfRule type="expression" dxfId="327" priority="326">
      <formula>IFERROR(FIND("@",G332),-1)&lt;0</formula>
    </cfRule>
  </conditionalFormatting>
  <conditionalFormatting sqref="G343">
    <cfRule type="expression" dxfId="326" priority="323" stopIfTrue="1">
      <formula>ISBLANK(G343)</formula>
    </cfRule>
    <cfRule type="expression" dxfId="325" priority="324">
      <formula>IFERROR(FIND("@",G343),-1)&lt;0</formula>
    </cfRule>
  </conditionalFormatting>
  <conditionalFormatting sqref="G350">
    <cfRule type="expression" dxfId="324" priority="321" stopIfTrue="1">
      <formula>ISBLANK(G350)</formula>
    </cfRule>
    <cfRule type="expression" dxfId="323" priority="322">
      <formula>IFERROR(FIND("@",G350),-1)&lt;0</formula>
    </cfRule>
  </conditionalFormatting>
  <conditionalFormatting sqref="G351">
    <cfRule type="expression" dxfId="322" priority="319" stopIfTrue="1">
      <formula>ISBLANK(G351)</formula>
    </cfRule>
    <cfRule type="expression" dxfId="321" priority="320">
      <formula>IFERROR(FIND("@",G351),-1)&lt;0</formula>
    </cfRule>
  </conditionalFormatting>
  <conditionalFormatting sqref="G355">
    <cfRule type="expression" dxfId="320" priority="317" stopIfTrue="1">
      <formula>ISBLANK(G355)</formula>
    </cfRule>
    <cfRule type="expression" dxfId="319" priority="318">
      <formula>IFERROR(FIND("@",G355),-1)&lt;0</formula>
    </cfRule>
  </conditionalFormatting>
  <conditionalFormatting sqref="G370">
    <cfRule type="expression" dxfId="318" priority="315" stopIfTrue="1">
      <formula>ISBLANK(G370)</formula>
    </cfRule>
    <cfRule type="expression" dxfId="317" priority="316">
      <formula>IFERROR(FIND("@",G370),-1)&lt;0</formula>
    </cfRule>
  </conditionalFormatting>
  <conditionalFormatting sqref="G408">
    <cfRule type="expression" dxfId="316" priority="313" stopIfTrue="1">
      <formula>ISBLANK(G408)</formula>
    </cfRule>
    <cfRule type="expression" dxfId="315" priority="314">
      <formula>IFERROR(FIND("@",G408),-1)&lt;0</formula>
    </cfRule>
  </conditionalFormatting>
  <conditionalFormatting sqref="G409">
    <cfRule type="expression" dxfId="314" priority="311" stopIfTrue="1">
      <formula>ISBLANK(G409)</formula>
    </cfRule>
    <cfRule type="expression" dxfId="313" priority="312">
      <formula>IFERROR(FIND("@",G409),-1)&lt;0</formula>
    </cfRule>
  </conditionalFormatting>
  <conditionalFormatting sqref="G412">
    <cfRule type="expression" dxfId="312" priority="309" stopIfTrue="1">
      <formula>ISBLANK(G412)</formula>
    </cfRule>
    <cfRule type="expression" dxfId="311" priority="310">
      <formula>IFERROR(FIND("@",G412),-1)&lt;0</formula>
    </cfRule>
  </conditionalFormatting>
  <conditionalFormatting sqref="G419">
    <cfRule type="expression" dxfId="310" priority="307" stopIfTrue="1">
      <formula>ISBLANK(G419)</formula>
    </cfRule>
    <cfRule type="expression" dxfId="309" priority="308">
      <formula>IFERROR(FIND("@",G419),-1)&lt;0</formula>
    </cfRule>
  </conditionalFormatting>
  <conditionalFormatting sqref="G420">
    <cfRule type="expression" dxfId="308" priority="305" stopIfTrue="1">
      <formula>ISBLANK(G420)</formula>
    </cfRule>
    <cfRule type="expression" dxfId="307" priority="306">
      <formula>IFERROR(FIND("@",G420),-1)&lt;0</formula>
    </cfRule>
  </conditionalFormatting>
  <conditionalFormatting sqref="G421">
    <cfRule type="expression" dxfId="306" priority="303" stopIfTrue="1">
      <formula>ISBLANK(G421)</formula>
    </cfRule>
    <cfRule type="expression" dxfId="305" priority="304">
      <formula>IFERROR(FIND("@",G421),-1)&lt;0</formula>
    </cfRule>
  </conditionalFormatting>
  <conditionalFormatting sqref="G449">
    <cfRule type="expression" dxfId="304" priority="299" stopIfTrue="1">
      <formula>ISBLANK(G449)</formula>
    </cfRule>
    <cfRule type="expression" dxfId="303" priority="300">
      <formula>IFERROR(FIND("@",G449),-1)&lt;0</formula>
    </cfRule>
  </conditionalFormatting>
  <conditionalFormatting sqref="G450">
    <cfRule type="expression" dxfId="302" priority="297" stopIfTrue="1">
      <formula>ISBLANK(G450)</formula>
    </cfRule>
    <cfRule type="expression" dxfId="301" priority="298">
      <formula>IFERROR(FIND("@",G450),-1)&lt;0</formula>
    </cfRule>
  </conditionalFormatting>
  <conditionalFormatting sqref="G470">
    <cfRule type="expression" dxfId="300" priority="295" stopIfTrue="1">
      <formula>ISBLANK(G470)</formula>
    </cfRule>
    <cfRule type="expression" dxfId="299" priority="296">
      <formula>IFERROR(FIND("@",G470),-1)&lt;0</formula>
    </cfRule>
  </conditionalFormatting>
  <conditionalFormatting sqref="G477">
    <cfRule type="expression" dxfId="298" priority="293" stopIfTrue="1">
      <formula>ISBLANK(G477)</formula>
    </cfRule>
    <cfRule type="expression" dxfId="297" priority="294">
      <formula>IFERROR(FIND("@",G477),-1)&lt;0</formula>
    </cfRule>
  </conditionalFormatting>
  <conditionalFormatting sqref="G482">
    <cfRule type="expression" dxfId="296" priority="291" stopIfTrue="1">
      <formula>ISBLANK(G482)</formula>
    </cfRule>
    <cfRule type="expression" dxfId="295" priority="292">
      <formula>IFERROR(FIND("@",G482),-1)&lt;0</formula>
    </cfRule>
  </conditionalFormatting>
  <conditionalFormatting sqref="G485">
    <cfRule type="expression" dxfId="294" priority="289" stopIfTrue="1">
      <formula>ISBLANK(G485)</formula>
    </cfRule>
    <cfRule type="expression" dxfId="293" priority="290">
      <formula>IFERROR(FIND("@",G485),-1)&lt;0</formula>
    </cfRule>
  </conditionalFormatting>
  <conditionalFormatting sqref="G487:G488">
    <cfRule type="expression" dxfId="292" priority="287" stopIfTrue="1">
      <formula>ISBLANK(G487)</formula>
    </cfRule>
    <cfRule type="expression" dxfId="291" priority="288">
      <formula>IFERROR(FIND("@",G487),-1)&lt;0</formula>
    </cfRule>
  </conditionalFormatting>
  <conditionalFormatting sqref="G493:G494">
    <cfRule type="expression" dxfId="290" priority="285" stopIfTrue="1">
      <formula>ISBLANK(G493)</formula>
    </cfRule>
    <cfRule type="expression" dxfId="289" priority="286">
      <formula>IFERROR(FIND("@",G493),-1)&lt;0</formula>
    </cfRule>
  </conditionalFormatting>
  <conditionalFormatting sqref="G495">
    <cfRule type="expression" dxfId="288" priority="283" stopIfTrue="1">
      <formula>ISBLANK(G495)</formula>
    </cfRule>
    <cfRule type="expression" dxfId="287" priority="284">
      <formula>IFERROR(FIND("@",G495),-1)&lt;0</formula>
    </cfRule>
  </conditionalFormatting>
  <conditionalFormatting sqref="G496">
    <cfRule type="expression" dxfId="286" priority="279" stopIfTrue="1">
      <formula>ISBLANK(G496)</formula>
    </cfRule>
    <cfRule type="expression" dxfId="285" priority="280">
      <formula>IFERROR(FIND("@",G496),-1)&lt;0</formula>
    </cfRule>
  </conditionalFormatting>
  <conditionalFormatting sqref="G501">
    <cfRule type="expression" dxfId="284" priority="277" stopIfTrue="1">
      <formula>ISBLANK(G501)</formula>
    </cfRule>
    <cfRule type="expression" dxfId="283" priority="278">
      <formula>IFERROR(FIND("@",G501),-1)&lt;0</formula>
    </cfRule>
  </conditionalFormatting>
  <conditionalFormatting sqref="G526">
    <cfRule type="expression" dxfId="282" priority="275" stopIfTrue="1">
      <formula>ISBLANK(G526)</formula>
    </cfRule>
    <cfRule type="expression" dxfId="281" priority="276">
      <formula>IFERROR(FIND("@",G526),-1)&lt;0</formula>
    </cfRule>
  </conditionalFormatting>
  <conditionalFormatting sqref="G534">
    <cfRule type="expression" dxfId="280" priority="273" stopIfTrue="1">
      <formula>ISBLANK(G534)</formula>
    </cfRule>
    <cfRule type="expression" dxfId="279" priority="274">
      <formula>IFERROR(FIND("@",G534),-1)&lt;0</formula>
    </cfRule>
  </conditionalFormatting>
  <conditionalFormatting sqref="G539">
    <cfRule type="expression" dxfId="278" priority="269" stopIfTrue="1">
      <formula>ISBLANK(G539)</formula>
    </cfRule>
    <cfRule type="expression" dxfId="277" priority="270">
      <formula>IFERROR(FIND("@",G539),-1)&lt;0</formula>
    </cfRule>
  </conditionalFormatting>
  <conditionalFormatting sqref="G541">
    <cfRule type="expression" dxfId="276" priority="267" stopIfTrue="1">
      <formula>ISBLANK(G541)</formula>
    </cfRule>
    <cfRule type="expression" dxfId="275" priority="268">
      <formula>IFERROR(FIND("@",G541),-1)&lt;0</formula>
    </cfRule>
  </conditionalFormatting>
  <conditionalFormatting sqref="G542">
    <cfRule type="expression" dxfId="274" priority="265" stopIfTrue="1">
      <formula>ISBLANK(G542)</formula>
    </cfRule>
    <cfRule type="expression" dxfId="273" priority="266">
      <formula>IFERROR(FIND("@",G542),-1)&lt;0</formula>
    </cfRule>
  </conditionalFormatting>
  <conditionalFormatting sqref="G551">
    <cfRule type="expression" dxfId="272" priority="263" stopIfTrue="1">
      <formula>ISBLANK(G551)</formula>
    </cfRule>
    <cfRule type="expression" dxfId="271" priority="264">
      <formula>IFERROR(FIND("@",G551),-1)&lt;0</formula>
    </cfRule>
  </conditionalFormatting>
  <conditionalFormatting sqref="G557">
    <cfRule type="expression" dxfId="270" priority="261" stopIfTrue="1">
      <formula>ISBLANK(G557)</formula>
    </cfRule>
    <cfRule type="expression" dxfId="269" priority="262">
      <formula>IFERROR(FIND("@",G557),-1)&lt;0</formula>
    </cfRule>
  </conditionalFormatting>
  <conditionalFormatting sqref="G562">
    <cfRule type="expression" dxfId="268" priority="259" stopIfTrue="1">
      <formula>ISBLANK(G562)</formula>
    </cfRule>
    <cfRule type="expression" dxfId="267" priority="260">
      <formula>IFERROR(FIND("@",G562),-1)&lt;0</formula>
    </cfRule>
  </conditionalFormatting>
  <conditionalFormatting sqref="G564">
    <cfRule type="expression" dxfId="266" priority="257" stopIfTrue="1">
      <formula>ISBLANK(G564)</formula>
    </cfRule>
    <cfRule type="expression" dxfId="265" priority="258">
      <formula>IFERROR(FIND("@",G564),-1)&lt;0</formula>
    </cfRule>
  </conditionalFormatting>
  <conditionalFormatting sqref="G570">
    <cfRule type="expression" dxfId="264" priority="255" stopIfTrue="1">
      <formula>ISBLANK(G570)</formula>
    </cfRule>
    <cfRule type="expression" dxfId="263" priority="256">
      <formula>IFERROR(FIND("@",G570),-1)&lt;0</formula>
    </cfRule>
  </conditionalFormatting>
  <conditionalFormatting sqref="G586">
    <cfRule type="expression" dxfId="262" priority="253" stopIfTrue="1">
      <formula>ISBLANK(G586)</formula>
    </cfRule>
    <cfRule type="expression" dxfId="261" priority="254">
      <formula>IFERROR(FIND("@",G586),-1)&lt;0</formula>
    </cfRule>
  </conditionalFormatting>
  <conditionalFormatting sqref="G587">
    <cfRule type="expression" dxfId="260" priority="251" stopIfTrue="1">
      <formula>ISBLANK(G587)</formula>
    </cfRule>
    <cfRule type="expression" dxfId="259" priority="252">
      <formula>IFERROR(FIND("@",G587),-1)&lt;0</formula>
    </cfRule>
  </conditionalFormatting>
  <conditionalFormatting sqref="G590">
    <cfRule type="expression" dxfId="258" priority="249" stopIfTrue="1">
      <formula>ISBLANK(G590)</formula>
    </cfRule>
    <cfRule type="expression" dxfId="257" priority="250">
      <formula>IFERROR(FIND("@",G590),-1)&lt;0</formula>
    </cfRule>
  </conditionalFormatting>
  <conditionalFormatting sqref="G591">
    <cfRule type="expression" dxfId="256" priority="247" stopIfTrue="1">
      <formula>ISBLANK(G591)</formula>
    </cfRule>
    <cfRule type="expression" dxfId="255" priority="248">
      <formula>IFERROR(FIND("@",G591),-1)&lt;0</formula>
    </cfRule>
  </conditionalFormatting>
  <conditionalFormatting sqref="G596">
    <cfRule type="expression" dxfId="254" priority="245" stopIfTrue="1">
      <formula>ISBLANK(G596)</formula>
    </cfRule>
    <cfRule type="expression" dxfId="253" priority="246">
      <formula>IFERROR(FIND("@",G596),-1)&lt;0</formula>
    </cfRule>
  </conditionalFormatting>
  <conditionalFormatting sqref="G603">
    <cfRule type="expression" dxfId="252" priority="243" stopIfTrue="1">
      <formula>ISBLANK(G603)</formula>
    </cfRule>
    <cfRule type="expression" dxfId="251" priority="244">
      <formula>IFERROR(FIND("@",G603),-1)&lt;0</formula>
    </cfRule>
  </conditionalFormatting>
  <conditionalFormatting sqref="G613">
    <cfRule type="expression" dxfId="250" priority="241" stopIfTrue="1">
      <formula>ISBLANK(G613)</formula>
    </cfRule>
    <cfRule type="expression" dxfId="249" priority="242">
      <formula>IFERROR(FIND("@",G613),-1)&lt;0</formula>
    </cfRule>
  </conditionalFormatting>
  <conditionalFormatting sqref="G618">
    <cfRule type="expression" dxfId="248" priority="239" stopIfTrue="1">
      <formula>ISBLANK(G618)</formula>
    </cfRule>
    <cfRule type="expression" dxfId="247" priority="240">
      <formula>IFERROR(FIND("@",G618),-1)&lt;0</formula>
    </cfRule>
  </conditionalFormatting>
  <conditionalFormatting sqref="G633">
    <cfRule type="expression" dxfId="246" priority="235" stopIfTrue="1">
      <formula>ISBLANK(G633)</formula>
    </cfRule>
    <cfRule type="expression" dxfId="245" priority="236">
      <formula>IFERROR(FIND("@",G633),-1)&lt;0</formula>
    </cfRule>
  </conditionalFormatting>
  <conditionalFormatting sqref="G637">
    <cfRule type="expression" dxfId="244" priority="233" stopIfTrue="1">
      <formula>ISBLANK(G637)</formula>
    </cfRule>
    <cfRule type="expression" dxfId="243" priority="234">
      <formula>IFERROR(FIND("@",G637),-1)&lt;0</formula>
    </cfRule>
  </conditionalFormatting>
  <conditionalFormatting sqref="G641">
    <cfRule type="expression" dxfId="242" priority="231" stopIfTrue="1">
      <formula>ISBLANK(G641)</formula>
    </cfRule>
    <cfRule type="expression" dxfId="241" priority="232">
      <formula>IFERROR(FIND("@",G641),-1)&lt;0</formula>
    </cfRule>
  </conditionalFormatting>
  <conditionalFormatting sqref="G642">
    <cfRule type="expression" dxfId="240" priority="229" stopIfTrue="1">
      <formula>ISBLANK(G642)</formula>
    </cfRule>
    <cfRule type="expression" dxfId="239" priority="230">
      <formula>IFERROR(FIND("@",G642),-1)&lt;0</formula>
    </cfRule>
  </conditionalFormatting>
  <conditionalFormatting sqref="G649">
    <cfRule type="expression" dxfId="238" priority="227" stopIfTrue="1">
      <formula>ISBLANK(G649)</formula>
    </cfRule>
    <cfRule type="expression" dxfId="237" priority="228">
      <formula>IFERROR(FIND("@",G649),-1)&lt;0</formula>
    </cfRule>
  </conditionalFormatting>
  <conditionalFormatting sqref="G668">
    <cfRule type="expression" dxfId="236" priority="225" stopIfTrue="1">
      <formula>ISBLANK(G668)</formula>
    </cfRule>
    <cfRule type="expression" dxfId="235" priority="226">
      <formula>IFERROR(FIND("@",G668),-1)&lt;0</formula>
    </cfRule>
  </conditionalFormatting>
  <conditionalFormatting sqref="G670">
    <cfRule type="expression" dxfId="234" priority="223" stopIfTrue="1">
      <formula>ISBLANK(G670)</formula>
    </cfRule>
    <cfRule type="expression" dxfId="233" priority="224">
      <formula>IFERROR(FIND("@",G670),-1)&lt;0</formula>
    </cfRule>
  </conditionalFormatting>
  <conditionalFormatting sqref="G672">
    <cfRule type="expression" dxfId="232" priority="221" stopIfTrue="1">
      <formula>ISBLANK(G672)</formula>
    </cfRule>
    <cfRule type="expression" dxfId="231" priority="222">
      <formula>IFERROR(FIND("@",G672),-1)&lt;0</formula>
    </cfRule>
  </conditionalFormatting>
  <conditionalFormatting sqref="G673">
    <cfRule type="expression" dxfId="230" priority="219" stopIfTrue="1">
      <formula>ISBLANK(G673)</formula>
    </cfRule>
    <cfRule type="expression" dxfId="229" priority="220">
      <formula>IFERROR(FIND("@",G673),-1)&lt;0</formula>
    </cfRule>
  </conditionalFormatting>
  <conditionalFormatting sqref="G679">
    <cfRule type="expression" dxfId="228" priority="215" stopIfTrue="1">
      <formula>ISBLANK(G679)</formula>
    </cfRule>
    <cfRule type="expression" dxfId="227" priority="216">
      <formula>IFERROR(FIND("@",G679),-1)&lt;0</formula>
    </cfRule>
  </conditionalFormatting>
  <conditionalFormatting sqref="G684">
    <cfRule type="expression" dxfId="226" priority="213" stopIfTrue="1">
      <formula>ISBLANK(G684)</formula>
    </cfRule>
    <cfRule type="expression" dxfId="225" priority="214">
      <formula>IFERROR(FIND("@",G684),-1)&lt;0</formula>
    </cfRule>
  </conditionalFormatting>
  <conditionalFormatting sqref="G687">
    <cfRule type="expression" dxfId="224" priority="211" stopIfTrue="1">
      <formula>ISBLANK(G687)</formula>
    </cfRule>
    <cfRule type="expression" dxfId="223" priority="212">
      <formula>IFERROR(FIND("@",G687),-1)&lt;0</formula>
    </cfRule>
  </conditionalFormatting>
  <conditionalFormatting sqref="G702">
    <cfRule type="expression" dxfId="222" priority="209" stopIfTrue="1">
      <formula>ISBLANK(G702)</formula>
    </cfRule>
    <cfRule type="expression" dxfId="221" priority="210">
      <formula>IFERROR(FIND("@",G702),-1)&lt;0</formula>
    </cfRule>
  </conditionalFormatting>
  <conditionalFormatting sqref="G705">
    <cfRule type="expression" dxfId="220" priority="207" stopIfTrue="1">
      <formula>ISBLANK(G705)</formula>
    </cfRule>
    <cfRule type="expression" dxfId="219" priority="208">
      <formula>IFERROR(FIND("@",G705),-1)&lt;0</formula>
    </cfRule>
  </conditionalFormatting>
  <conditionalFormatting sqref="G721">
    <cfRule type="expression" dxfId="218" priority="204" stopIfTrue="1">
      <formula>ISBLANK(G721)</formula>
    </cfRule>
    <cfRule type="expression" dxfId="217" priority="205">
      <formula>IFERROR(FIND("@",G721),-1)&lt;0</formula>
    </cfRule>
  </conditionalFormatting>
  <conditionalFormatting sqref="G728">
    <cfRule type="expression" dxfId="216" priority="202" stopIfTrue="1">
      <formula>ISBLANK(G728)</formula>
    </cfRule>
    <cfRule type="expression" dxfId="215" priority="203">
      <formula>IFERROR(FIND("@",G728),-1)&lt;0</formula>
    </cfRule>
  </conditionalFormatting>
  <conditionalFormatting sqref="G739">
    <cfRule type="expression" dxfId="214" priority="200" stopIfTrue="1">
      <formula>ISBLANK(G739)</formula>
    </cfRule>
    <cfRule type="expression" dxfId="213" priority="201">
      <formula>IFERROR(FIND("@",G739),-1)&lt;0</formula>
    </cfRule>
  </conditionalFormatting>
  <conditionalFormatting sqref="G743">
    <cfRule type="expression" dxfId="212" priority="198" stopIfTrue="1">
      <formula>ISBLANK(G743)</formula>
    </cfRule>
    <cfRule type="expression" dxfId="211" priority="199">
      <formula>IFERROR(FIND("@",G743),-1)&lt;0</formula>
    </cfRule>
  </conditionalFormatting>
  <conditionalFormatting sqref="G748">
    <cfRule type="expression" dxfId="210" priority="196" stopIfTrue="1">
      <formula>ISBLANK(G748)</formula>
    </cfRule>
    <cfRule type="expression" dxfId="209" priority="197">
      <formula>IFERROR(FIND("@",G748),-1)&lt;0</formula>
    </cfRule>
  </conditionalFormatting>
  <conditionalFormatting sqref="G750">
    <cfRule type="expression" dxfId="208" priority="194" stopIfTrue="1">
      <formula>ISBLANK(G750)</formula>
    </cfRule>
    <cfRule type="expression" dxfId="207" priority="195">
      <formula>IFERROR(FIND("@",G750),-1)&lt;0</formula>
    </cfRule>
  </conditionalFormatting>
  <conditionalFormatting sqref="G760">
    <cfRule type="expression" dxfId="206" priority="192" stopIfTrue="1">
      <formula>ISBLANK(G760)</formula>
    </cfRule>
    <cfRule type="expression" dxfId="205" priority="193">
      <formula>IFERROR(FIND("@",G760),-1)&lt;0</formula>
    </cfRule>
  </conditionalFormatting>
  <conditionalFormatting sqref="G773">
    <cfRule type="expression" dxfId="204" priority="190" stopIfTrue="1">
      <formula>ISBLANK(G773)</formula>
    </cfRule>
    <cfRule type="expression" dxfId="203" priority="191">
      <formula>IFERROR(FIND("@",G773),-1)&lt;0</formula>
    </cfRule>
  </conditionalFormatting>
  <conditionalFormatting sqref="G779">
    <cfRule type="expression" dxfId="202" priority="188" stopIfTrue="1">
      <formula>ISBLANK(G779)</formula>
    </cfRule>
    <cfRule type="expression" dxfId="201" priority="189">
      <formula>IFERROR(FIND("@",G779),-1)&lt;0</formula>
    </cfRule>
  </conditionalFormatting>
  <conditionalFormatting sqref="G782">
    <cfRule type="expression" dxfId="200" priority="184" stopIfTrue="1">
      <formula>ISBLANK(G782)</formula>
    </cfRule>
    <cfRule type="expression" dxfId="199" priority="185">
      <formula>IFERROR(FIND("@",G782),-1)&lt;0</formula>
    </cfRule>
  </conditionalFormatting>
  <conditionalFormatting sqref="G789">
    <cfRule type="expression" dxfId="198" priority="182" stopIfTrue="1">
      <formula>ISBLANK(G789)</formula>
    </cfRule>
    <cfRule type="expression" dxfId="197" priority="183">
      <formula>IFERROR(FIND("@",G789),-1)&lt;0</formula>
    </cfRule>
  </conditionalFormatting>
  <conditionalFormatting sqref="G790">
    <cfRule type="expression" dxfId="196" priority="180" stopIfTrue="1">
      <formula>ISBLANK(G790)</formula>
    </cfRule>
    <cfRule type="expression" dxfId="195" priority="181">
      <formula>IFERROR(FIND("@",G790),-1)&lt;0</formula>
    </cfRule>
  </conditionalFormatting>
  <conditionalFormatting sqref="G797">
    <cfRule type="expression" dxfId="194" priority="178" stopIfTrue="1">
      <formula>ISBLANK(G797)</formula>
    </cfRule>
    <cfRule type="expression" dxfId="193" priority="179">
      <formula>IFERROR(FIND("@",G797),-1)&lt;0</formula>
    </cfRule>
  </conditionalFormatting>
  <conditionalFormatting sqref="G798:G799">
    <cfRule type="expression" dxfId="192" priority="176" stopIfTrue="1">
      <formula>ISBLANK(G798)</formula>
    </cfRule>
    <cfRule type="expression" dxfId="191" priority="177">
      <formula>IFERROR(FIND("@",G798),-1)&lt;0</formula>
    </cfRule>
  </conditionalFormatting>
  <conditionalFormatting sqref="G810">
    <cfRule type="expression" dxfId="190" priority="174" stopIfTrue="1">
      <formula>ISBLANK(G810)</formula>
    </cfRule>
    <cfRule type="expression" dxfId="189" priority="175">
      <formula>IFERROR(FIND("@",G810),-1)&lt;0</formula>
    </cfRule>
  </conditionalFormatting>
  <conditionalFormatting sqref="G815">
    <cfRule type="expression" dxfId="188" priority="172" stopIfTrue="1">
      <formula>ISBLANK(G815)</formula>
    </cfRule>
    <cfRule type="expression" dxfId="187" priority="173">
      <formula>IFERROR(FIND("@",G815),-1)&lt;0</formula>
    </cfRule>
  </conditionalFormatting>
  <conditionalFormatting sqref="G827">
    <cfRule type="expression" dxfId="186" priority="170" stopIfTrue="1">
      <formula>ISBLANK(G827)</formula>
    </cfRule>
    <cfRule type="expression" dxfId="185" priority="171">
      <formula>IFERROR(FIND("@",G827),-1)&lt;0</formula>
    </cfRule>
  </conditionalFormatting>
  <conditionalFormatting sqref="G834">
    <cfRule type="expression" dxfId="184" priority="168" stopIfTrue="1">
      <formula>ISBLANK(G834)</formula>
    </cfRule>
    <cfRule type="expression" dxfId="183" priority="169">
      <formula>IFERROR(FIND("@",G834),-1)&lt;0</formula>
    </cfRule>
  </conditionalFormatting>
  <conditionalFormatting sqref="G842">
    <cfRule type="expression" dxfId="182" priority="166" stopIfTrue="1">
      <formula>ISBLANK(G842)</formula>
    </cfRule>
    <cfRule type="expression" dxfId="181" priority="167">
      <formula>IFERROR(FIND("@",G842),-1)&lt;0</formula>
    </cfRule>
  </conditionalFormatting>
  <conditionalFormatting sqref="G854">
    <cfRule type="expression" dxfId="180" priority="164" stopIfTrue="1">
      <formula>ISBLANK(G854)</formula>
    </cfRule>
    <cfRule type="expression" dxfId="179" priority="165">
      <formula>IFERROR(FIND("@",G854),-1)&lt;0</formula>
    </cfRule>
  </conditionalFormatting>
  <conditionalFormatting sqref="G855">
    <cfRule type="expression" dxfId="178" priority="162" stopIfTrue="1">
      <formula>ISBLANK(G855)</formula>
    </cfRule>
    <cfRule type="expression" dxfId="177" priority="163">
      <formula>IFERROR(FIND("@",G855),-1)&lt;0</formula>
    </cfRule>
  </conditionalFormatting>
  <conditionalFormatting sqref="G864">
    <cfRule type="expression" dxfId="176" priority="160" stopIfTrue="1">
      <formula>ISBLANK(G864)</formula>
    </cfRule>
    <cfRule type="expression" dxfId="175" priority="161">
      <formula>IFERROR(FIND("@",G864),-1)&lt;0</formula>
    </cfRule>
  </conditionalFormatting>
  <conditionalFormatting sqref="G871">
    <cfRule type="expression" dxfId="174" priority="156" stopIfTrue="1">
      <formula>ISBLANK(G871)</formula>
    </cfRule>
    <cfRule type="expression" dxfId="173" priority="157">
      <formula>IFERROR(FIND("@",G871),-1)&lt;0</formula>
    </cfRule>
  </conditionalFormatting>
  <conditionalFormatting sqref="G886">
    <cfRule type="expression" dxfId="172" priority="154" stopIfTrue="1">
      <formula>ISBLANK(G886)</formula>
    </cfRule>
    <cfRule type="expression" dxfId="171" priority="155">
      <formula>IFERROR(FIND("@",G886),-1)&lt;0</formula>
    </cfRule>
  </conditionalFormatting>
  <conditionalFormatting sqref="G888">
    <cfRule type="expression" dxfId="170" priority="152" stopIfTrue="1">
      <formula>ISBLANK(G888)</formula>
    </cfRule>
    <cfRule type="expression" dxfId="169" priority="153">
      <formula>IFERROR(FIND("@",G888),-1)&lt;0</formula>
    </cfRule>
  </conditionalFormatting>
  <conditionalFormatting sqref="G899">
    <cfRule type="expression" dxfId="168" priority="150" stopIfTrue="1">
      <formula>ISBLANK(G899)</formula>
    </cfRule>
    <cfRule type="expression" dxfId="167" priority="151">
      <formula>IFERROR(FIND("@",G899),-1)&lt;0</formula>
    </cfRule>
  </conditionalFormatting>
  <conditionalFormatting sqref="G900">
    <cfRule type="expression" dxfId="166" priority="148" stopIfTrue="1">
      <formula>ISBLANK(G900)</formula>
    </cfRule>
    <cfRule type="expression" dxfId="165" priority="149">
      <formula>IFERROR(FIND("@",G900),-1)&lt;0</formula>
    </cfRule>
  </conditionalFormatting>
  <conditionalFormatting sqref="G902">
    <cfRule type="expression" dxfId="164" priority="146" stopIfTrue="1">
      <formula>ISBLANK(G902)</formula>
    </cfRule>
    <cfRule type="expression" dxfId="163" priority="147">
      <formula>IFERROR(FIND("@",G902),-1)&lt;0</formula>
    </cfRule>
  </conditionalFormatting>
  <conditionalFormatting sqref="G909">
    <cfRule type="expression" dxfId="162" priority="140" stopIfTrue="1">
      <formula>ISBLANK(G909)</formula>
    </cfRule>
    <cfRule type="expression" dxfId="161" priority="141">
      <formula>IFERROR(FIND("@",G909),-1)&lt;0</formula>
    </cfRule>
  </conditionalFormatting>
  <conditionalFormatting sqref="G916">
    <cfRule type="expression" dxfId="160" priority="138" stopIfTrue="1">
      <formula>ISBLANK(G916)</formula>
    </cfRule>
    <cfRule type="expression" dxfId="159" priority="139">
      <formula>IFERROR(FIND("@",G916),-1)&lt;0</formula>
    </cfRule>
  </conditionalFormatting>
  <conditionalFormatting sqref="G921">
    <cfRule type="expression" dxfId="158" priority="136" stopIfTrue="1">
      <formula>ISBLANK(G921)</formula>
    </cfRule>
    <cfRule type="expression" dxfId="157" priority="137">
      <formula>IFERROR(FIND("@",G921),-1)&lt;0</formula>
    </cfRule>
  </conditionalFormatting>
  <conditionalFormatting sqref="G930">
    <cfRule type="expression" dxfId="156" priority="133" stopIfTrue="1">
      <formula>ISBLANK(G930)</formula>
    </cfRule>
    <cfRule type="expression" dxfId="155" priority="134">
      <formula>IFERROR(FIND("@",G930),-1)&lt;0</formula>
    </cfRule>
  </conditionalFormatting>
  <conditionalFormatting sqref="G944">
    <cfRule type="expression" dxfId="154" priority="129" stopIfTrue="1">
      <formula>ISBLANK(G944)</formula>
    </cfRule>
    <cfRule type="expression" dxfId="153" priority="130">
      <formula>IFERROR(FIND("@",G944),-1)&lt;0</formula>
    </cfRule>
  </conditionalFormatting>
  <conditionalFormatting sqref="G958">
    <cfRule type="expression" dxfId="152" priority="127" stopIfTrue="1">
      <formula>ISBLANK(G958)</formula>
    </cfRule>
    <cfRule type="expression" dxfId="151" priority="128">
      <formula>IFERROR(FIND("@",G958),-1)&lt;0</formula>
    </cfRule>
  </conditionalFormatting>
  <conditionalFormatting sqref="G959">
    <cfRule type="expression" dxfId="150" priority="125" stopIfTrue="1">
      <formula>ISBLANK(G959)</formula>
    </cfRule>
    <cfRule type="expression" dxfId="149" priority="126">
      <formula>IFERROR(FIND("@",G959),-1)&lt;0</formula>
    </cfRule>
  </conditionalFormatting>
  <conditionalFormatting sqref="G961">
    <cfRule type="expression" dxfId="148" priority="123" stopIfTrue="1">
      <formula>ISBLANK(G961)</formula>
    </cfRule>
    <cfRule type="expression" dxfId="147" priority="124">
      <formula>IFERROR(FIND("@",G961),-1)&lt;0</formula>
    </cfRule>
  </conditionalFormatting>
  <conditionalFormatting sqref="G967">
    <cfRule type="expression" dxfId="146" priority="121" stopIfTrue="1">
      <formula>ISBLANK(G967)</formula>
    </cfRule>
    <cfRule type="expression" dxfId="145" priority="122">
      <formula>IFERROR(FIND("@",G967),-1)&lt;0</formula>
    </cfRule>
  </conditionalFormatting>
  <conditionalFormatting sqref="G971:G972">
    <cfRule type="expression" dxfId="144" priority="119" stopIfTrue="1">
      <formula>ISBLANK(G971)</formula>
    </cfRule>
    <cfRule type="expression" dxfId="143" priority="120">
      <formula>IFERROR(FIND("@",G971),-1)&lt;0</formula>
    </cfRule>
  </conditionalFormatting>
  <conditionalFormatting sqref="G983">
    <cfRule type="expression" dxfId="142" priority="117" stopIfTrue="1">
      <formula>ISBLANK(G983)</formula>
    </cfRule>
    <cfRule type="expression" dxfId="141" priority="118">
      <formula>IFERROR(FIND("@",G983),-1)&lt;0</formula>
    </cfRule>
  </conditionalFormatting>
  <conditionalFormatting sqref="G998">
    <cfRule type="expression" dxfId="140" priority="115" stopIfTrue="1">
      <formula>ISBLANK(G998)</formula>
    </cfRule>
    <cfRule type="expression" dxfId="139" priority="116">
      <formula>IFERROR(FIND("@",G998),-1)&lt;0</formula>
    </cfRule>
  </conditionalFormatting>
  <conditionalFormatting sqref="G1010">
    <cfRule type="expression" dxfId="138" priority="113" stopIfTrue="1">
      <formula>ISBLANK(G1010)</formula>
    </cfRule>
    <cfRule type="expression" dxfId="137" priority="114">
      <formula>IFERROR(FIND("@",G1010),-1)&lt;0</formula>
    </cfRule>
  </conditionalFormatting>
  <conditionalFormatting sqref="G1017">
    <cfRule type="expression" dxfId="136" priority="111" stopIfTrue="1">
      <formula>ISBLANK(G1017)</formula>
    </cfRule>
    <cfRule type="expression" dxfId="135" priority="112">
      <formula>IFERROR(FIND("@",G1017),-1)&lt;0</formula>
    </cfRule>
  </conditionalFormatting>
  <conditionalFormatting sqref="G1018">
    <cfRule type="expression" dxfId="134" priority="109" stopIfTrue="1">
      <formula>ISBLANK(G1018)</formula>
    </cfRule>
    <cfRule type="expression" dxfId="133" priority="110">
      <formula>IFERROR(FIND("@",G1018),-1)&lt;0</formula>
    </cfRule>
  </conditionalFormatting>
  <conditionalFormatting sqref="G1023">
    <cfRule type="expression" dxfId="132" priority="107" stopIfTrue="1">
      <formula>ISBLANK(G1023)</formula>
    </cfRule>
    <cfRule type="expression" dxfId="131" priority="108">
      <formula>IFERROR(FIND("@",G1023),-1)&lt;0</formula>
    </cfRule>
  </conditionalFormatting>
  <conditionalFormatting sqref="G1024">
    <cfRule type="expression" dxfId="130" priority="105" stopIfTrue="1">
      <formula>ISBLANK(G1024)</formula>
    </cfRule>
    <cfRule type="expression" dxfId="129" priority="106">
      <formula>IFERROR(FIND("@",G1024),-1)&lt;0</formula>
    </cfRule>
  </conditionalFormatting>
  <conditionalFormatting sqref="G1029">
    <cfRule type="expression" dxfId="128" priority="103" stopIfTrue="1">
      <formula>ISBLANK(G1029)</formula>
    </cfRule>
    <cfRule type="expression" dxfId="127" priority="104">
      <formula>IFERROR(FIND("@",G1029),-1)&lt;0</formula>
    </cfRule>
  </conditionalFormatting>
  <conditionalFormatting sqref="G1030">
    <cfRule type="expression" dxfId="126" priority="101" stopIfTrue="1">
      <formula>ISBLANK(G1030)</formula>
    </cfRule>
    <cfRule type="expression" dxfId="125" priority="102">
      <formula>IFERROR(FIND("@",G1030),-1)&lt;0</formula>
    </cfRule>
  </conditionalFormatting>
  <conditionalFormatting sqref="G1033">
    <cfRule type="expression" dxfId="124" priority="99" stopIfTrue="1">
      <formula>ISBLANK(G1033)</formula>
    </cfRule>
    <cfRule type="expression" dxfId="123" priority="100">
      <formula>IFERROR(FIND("@",G1033),-1)&lt;0</formula>
    </cfRule>
  </conditionalFormatting>
  <conditionalFormatting sqref="G1041">
    <cfRule type="expression" dxfId="122" priority="97" stopIfTrue="1">
      <formula>ISBLANK(G1041)</formula>
    </cfRule>
    <cfRule type="expression" dxfId="121" priority="98">
      <formula>IFERROR(FIND("@",G1041),-1)&lt;0</formula>
    </cfRule>
  </conditionalFormatting>
  <conditionalFormatting sqref="G1047">
    <cfRule type="expression" dxfId="120" priority="95" stopIfTrue="1">
      <formula>ISBLANK(G1047)</formula>
    </cfRule>
    <cfRule type="expression" dxfId="119" priority="96">
      <formula>IFERROR(FIND("@",G1047),-1)&lt;0</formula>
    </cfRule>
  </conditionalFormatting>
  <conditionalFormatting sqref="G1048">
    <cfRule type="expression" dxfId="118" priority="93" stopIfTrue="1">
      <formula>ISBLANK(G1048)</formula>
    </cfRule>
    <cfRule type="expression" dxfId="117" priority="94">
      <formula>IFERROR(FIND("@",G1048),-1)&lt;0</formula>
    </cfRule>
  </conditionalFormatting>
  <conditionalFormatting sqref="G1051">
    <cfRule type="expression" dxfId="116" priority="91" stopIfTrue="1">
      <formula>ISBLANK(G1051)</formula>
    </cfRule>
    <cfRule type="expression" dxfId="115" priority="92">
      <formula>IFERROR(FIND("@",G1051),-1)&lt;0</formula>
    </cfRule>
  </conditionalFormatting>
  <conditionalFormatting sqref="G1061">
    <cfRule type="expression" dxfId="114" priority="89" stopIfTrue="1">
      <formula>ISBLANK(G1061)</formula>
    </cfRule>
    <cfRule type="expression" dxfId="113" priority="90">
      <formula>IFERROR(FIND("@",G1061),-1)&lt;0</formula>
    </cfRule>
  </conditionalFormatting>
  <conditionalFormatting sqref="G1066">
    <cfRule type="expression" dxfId="112" priority="87" stopIfTrue="1">
      <formula>ISBLANK(G1066)</formula>
    </cfRule>
    <cfRule type="expression" dxfId="111" priority="88">
      <formula>IFERROR(FIND("@",G1066),-1)&lt;0</formula>
    </cfRule>
  </conditionalFormatting>
  <conditionalFormatting sqref="G1075">
    <cfRule type="expression" dxfId="110" priority="85" stopIfTrue="1">
      <formula>ISBLANK(G1075)</formula>
    </cfRule>
    <cfRule type="expression" dxfId="109" priority="86">
      <formula>IFERROR(FIND("@",G1075),-1)&lt;0</formula>
    </cfRule>
  </conditionalFormatting>
  <conditionalFormatting sqref="G1091">
    <cfRule type="expression" dxfId="108" priority="83" stopIfTrue="1">
      <formula>ISBLANK(G1091)</formula>
    </cfRule>
    <cfRule type="expression" dxfId="107" priority="84">
      <formula>IFERROR(FIND("@",G1091),-1)&lt;0</formula>
    </cfRule>
  </conditionalFormatting>
  <conditionalFormatting sqref="G1099:G1100">
    <cfRule type="expression" dxfId="106" priority="81" stopIfTrue="1">
      <formula>ISBLANK(G1099)</formula>
    </cfRule>
    <cfRule type="expression" dxfId="105" priority="82">
      <formula>IFERROR(FIND("@",G1099),-1)&lt;0</formula>
    </cfRule>
  </conditionalFormatting>
  <conditionalFormatting sqref="G1105">
    <cfRule type="expression" dxfId="104" priority="75" stopIfTrue="1">
      <formula>ISBLANK(G1105)</formula>
    </cfRule>
    <cfRule type="expression" dxfId="103" priority="76">
      <formula>IFERROR(FIND("@",G1105),-1)&lt;0</formula>
    </cfRule>
  </conditionalFormatting>
  <conditionalFormatting sqref="G1111">
    <cfRule type="expression" dxfId="102" priority="73" stopIfTrue="1">
      <formula>ISBLANK(G1111)</formula>
    </cfRule>
    <cfRule type="expression" dxfId="101" priority="74">
      <formula>IFERROR(FIND("@",G1111),-1)&lt;0</formula>
    </cfRule>
  </conditionalFormatting>
  <conditionalFormatting sqref="G1112">
    <cfRule type="expression" dxfId="100" priority="71" stopIfTrue="1">
      <formula>ISBLANK(G1112)</formula>
    </cfRule>
    <cfRule type="expression" dxfId="99" priority="72">
      <formula>IFERROR(FIND("@",G1112),-1)&lt;0</formula>
    </cfRule>
  </conditionalFormatting>
  <conditionalFormatting sqref="G1115:G1116">
    <cfRule type="expression" dxfId="98" priority="69" stopIfTrue="1">
      <formula>ISBLANK(G1115)</formula>
    </cfRule>
    <cfRule type="expression" dxfId="97" priority="70">
      <formula>IFERROR(FIND("@",G1115),-1)&lt;0</formula>
    </cfRule>
  </conditionalFormatting>
  <conditionalFormatting sqref="G1131">
    <cfRule type="expression" dxfId="96" priority="67" stopIfTrue="1">
      <formula>ISBLANK(G1131)</formula>
    </cfRule>
    <cfRule type="expression" dxfId="95" priority="68">
      <formula>IFERROR(FIND("@",G1131),-1)&lt;0</formula>
    </cfRule>
  </conditionalFormatting>
  <conditionalFormatting sqref="G1137">
    <cfRule type="expression" dxfId="94" priority="65" stopIfTrue="1">
      <formula>ISBLANK(G1137)</formula>
    </cfRule>
    <cfRule type="expression" dxfId="93" priority="66">
      <formula>IFERROR(FIND("@",G1137),-1)&lt;0</formula>
    </cfRule>
  </conditionalFormatting>
  <conditionalFormatting sqref="G1139">
    <cfRule type="expression" dxfId="92" priority="63" stopIfTrue="1">
      <formula>ISBLANK(G1139)</formula>
    </cfRule>
    <cfRule type="expression" dxfId="91" priority="64">
      <formula>IFERROR(FIND("@",G1139),-1)&lt;0</formula>
    </cfRule>
  </conditionalFormatting>
  <conditionalFormatting sqref="G1143">
    <cfRule type="expression" dxfId="90" priority="61" stopIfTrue="1">
      <formula>ISBLANK(G1143)</formula>
    </cfRule>
    <cfRule type="expression" dxfId="89" priority="62">
      <formula>IFERROR(FIND("@",G1143),-1)&lt;0</formula>
    </cfRule>
  </conditionalFormatting>
  <conditionalFormatting sqref="G1160">
    <cfRule type="expression" dxfId="88" priority="59" stopIfTrue="1">
      <formula>ISBLANK(G1160)</formula>
    </cfRule>
    <cfRule type="expression" dxfId="87" priority="60">
      <formula>IFERROR(FIND("@",G1160),-1)&lt;0</formula>
    </cfRule>
  </conditionalFormatting>
  <conditionalFormatting sqref="G1161">
    <cfRule type="expression" dxfId="86" priority="57" stopIfTrue="1">
      <formula>ISBLANK(G1161)</formula>
    </cfRule>
    <cfRule type="expression" dxfId="85" priority="58">
      <formula>IFERROR(FIND("@",G1161),-1)&lt;0</formula>
    </cfRule>
  </conditionalFormatting>
  <conditionalFormatting sqref="G1169">
    <cfRule type="expression" dxfId="84" priority="55" stopIfTrue="1">
      <formula>ISBLANK(G1169)</formula>
    </cfRule>
    <cfRule type="expression" dxfId="83" priority="56">
      <formula>IFERROR(FIND("@",G1169),-1)&lt;0</formula>
    </cfRule>
  </conditionalFormatting>
  <conditionalFormatting sqref="G1186">
    <cfRule type="expression" dxfId="82" priority="53" stopIfTrue="1">
      <formula>ISBLANK(G1186)</formula>
    </cfRule>
    <cfRule type="expression" dxfId="81" priority="54">
      <formula>IFERROR(FIND("@",G1186),-1)&lt;0</formula>
    </cfRule>
  </conditionalFormatting>
  <conditionalFormatting sqref="G1190">
    <cfRule type="expression" dxfId="80" priority="51" stopIfTrue="1">
      <formula>ISBLANK(G1190)</formula>
    </cfRule>
    <cfRule type="expression" dxfId="79" priority="52">
      <formula>IFERROR(FIND("@",G1190),-1)&lt;0</formula>
    </cfRule>
  </conditionalFormatting>
  <conditionalFormatting sqref="G1206">
    <cfRule type="expression" dxfId="78" priority="49" stopIfTrue="1">
      <formula>ISBLANK(G1206)</formula>
    </cfRule>
    <cfRule type="expression" dxfId="77" priority="50">
      <formula>IFERROR(FIND("@",G1206),-1)&lt;0</formula>
    </cfRule>
  </conditionalFormatting>
  <conditionalFormatting sqref="G1213">
    <cfRule type="expression" dxfId="76" priority="47" stopIfTrue="1">
      <formula>ISBLANK(G1213)</formula>
    </cfRule>
    <cfRule type="expression" dxfId="75" priority="48">
      <formula>IFERROR(FIND("@",G1213),-1)&lt;0</formula>
    </cfRule>
  </conditionalFormatting>
  <conditionalFormatting sqref="G1216">
    <cfRule type="expression" dxfId="74" priority="45" stopIfTrue="1">
      <formula>ISBLANK(G1216)</formula>
    </cfRule>
    <cfRule type="expression" dxfId="73" priority="46">
      <formula>IFERROR(FIND("@",G1216),-1)&lt;0</formula>
    </cfRule>
  </conditionalFormatting>
  <conditionalFormatting sqref="G1218">
    <cfRule type="expression" dxfId="72" priority="43" stopIfTrue="1">
      <formula>ISBLANK(G1218)</formula>
    </cfRule>
    <cfRule type="expression" dxfId="71" priority="44">
      <formula>IFERROR(FIND("@",G1218),-1)&lt;0</formula>
    </cfRule>
  </conditionalFormatting>
  <conditionalFormatting sqref="G1228">
    <cfRule type="expression" dxfId="70" priority="41" stopIfTrue="1">
      <formula>ISBLANK(G1228)</formula>
    </cfRule>
    <cfRule type="expression" dxfId="69" priority="42">
      <formula>IFERROR(FIND("@",G1228),-1)&lt;0</formula>
    </cfRule>
  </conditionalFormatting>
  <conditionalFormatting sqref="G1229">
    <cfRule type="expression" dxfId="68" priority="39" stopIfTrue="1">
      <formula>ISBLANK(G1229)</formula>
    </cfRule>
    <cfRule type="expression" dxfId="67" priority="40">
      <formula>IFERROR(FIND("@",G1229),-1)&lt;0</formula>
    </cfRule>
  </conditionalFormatting>
  <conditionalFormatting sqref="G1233">
    <cfRule type="expression" dxfId="66" priority="37" stopIfTrue="1">
      <formula>ISBLANK(G1233)</formula>
    </cfRule>
    <cfRule type="expression" dxfId="65" priority="38">
      <formula>IFERROR(FIND("@",G1233),-1)&lt;0</formula>
    </cfRule>
  </conditionalFormatting>
  <conditionalFormatting sqref="G1239">
    <cfRule type="expression" dxfId="64" priority="35" stopIfTrue="1">
      <formula>ISBLANK(G1239)</formula>
    </cfRule>
    <cfRule type="expression" dxfId="63" priority="36">
      <formula>IFERROR(FIND("@",G1239),-1)&lt;0</formula>
    </cfRule>
  </conditionalFormatting>
  <conditionalFormatting sqref="G1248">
    <cfRule type="expression" dxfId="62" priority="33" stopIfTrue="1">
      <formula>ISBLANK(G1248)</formula>
    </cfRule>
    <cfRule type="expression" dxfId="61" priority="34">
      <formula>IFERROR(FIND("@",G1248),-1)&lt;0</formula>
    </cfRule>
  </conditionalFormatting>
  <conditionalFormatting sqref="G1263">
    <cfRule type="expression" dxfId="60" priority="31" stopIfTrue="1">
      <formula>ISBLANK(G1263)</formula>
    </cfRule>
    <cfRule type="expression" dxfId="59" priority="32">
      <formula>IFERROR(FIND("@",G1263),-1)&lt;0</formula>
    </cfRule>
  </conditionalFormatting>
  <conditionalFormatting sqref="G1264">
    <cfRule type="expression" dxfId="58" priority="29" stopIfTrue="1">
      <formula>ISBLANK(G1264)</formula>
    </cfRule>
    <cfRule type="expression" dxfId="57" priority="30">
      <formula>IFERROR(FIND("@",G1264),-1)&lt;0</formula>
    </cfRule>
  </conditionalFormatting>
  <conditionalFormatting sqref="G1271">
    <cfRule type="expression" dxfId="56" priority="27" stopIfTrue="1">
      <formula>ISBLANK(G1271)</formula>
    </cfRule>
    <cfRule type="expression" dxfId="55" priority="28">
      <formula>IFERROR(FIND("@",G1271),-1)&lt;0</formula>
    </cfRule>
  </conditionalFormatting>
  <conditionalFormatting sqref="G1275:G1276">
    <cfRule type="expression" dxfId="54" priority="25" stopIfTrue="1">
      <formula>ISBLANK(G1275)</formula>
    </cfRule>
    <cfRule type="expression" dxfId="53" priority="26">
      <formula>IFERROR(FIND("@",G1275),-1)&lt;0</formula>
    </cfRule>
  </conditionalFormatting>
  <conditionalFormatting sqref="G1277">
    <cfRule type="expression" dxfId="52" priority="23" stopIfTrue="1">
      <formula>ISBLANK(G1277)</formula>
    </cfRule>
    <cfRule type="expression" dxfId="51" priority="24">
      <formula>IFERROR(FIND("@",G1277),-1)&lt;0</formula>
    </cfRule>
  </conditionalFormatting>
  <conditionalFormatting sqref="G1284">
    <cfRule type="expression" dxfId="50" priority="21" stopIfTrue="1">
      <formula>ISBLANK(G1284)</formula>
    </cfRule>
    <cfRule type="expression" dxfId="49" priority="22">
      <formula>IFERROR(FIND("@",G1284),-1)&lt;0</formula>
    </cfRule>
  </conditionalFormatting>
  <conditionalFormatting sqref="G1290">
    <cfRule type="expression" dxfId="48" priority="19" stopIfTrue="1">
      <formula>ISBLANK(G1290)</formula>
    </cfRule>
    <cfRule type="expression" dxfId="47" priority="20">
      <formula>IFERROR(FIND("@",G1290),-1)&lt;0</formula>
    </cfRule>
  </conditionalFormatting>
  <conditionalFormatting sqref="G1311:G1312">
    <cfRule type="expression" dxfId="46" priority="17" stopIfTrue="1">
      <formula>ISBLANK(G1311)</formula>
    </cfRule>
    <cfRule type="expression" dxfId="45" priority="18">
      <formula>IFERROR(FIND("@",G1311),-1)&lt;0</formula>
    </cfRule>
  </conditionalFormatting>
  <conditionalFormatting sqref="G1315:G1316">
    <cfRule type="expression" dxfId="44" priority="15" stopIfTrue="1">
      <formula>ISBLANK(G1315)</formula>
    </cfRule>
    <cfRule type="expression" dxfId="43" priority="16">
      <formula>IFERROR(FIND("@",G1315),-1)&lt;0</formula>
    </cfRule>
  </conditionalFormatting>
  <conditionalFormatting sqref="G1319:G1320">
    <cfRule type="expression" dxfId="42" priority="13" stopIfTrue="1">
      <formula>ISBLANK(G1319)</formula>
    </cfRule>
    <cfRule type="expression" dxfId="41" priority="14">
      <formula>IFERROR(FIND("@",G1319),-1)&lt;0</formula>
    </cfRule>
  </conditionalFormatting>
  <conditionalFormatting sqref="G1335">
    <cfRule type="expression" dxfId="40" priority="11" stopIfTrue="1">
      <formula>ISBLANK(G1335)</formula>
    </cfRule>
    <cfRule type="expression" dxfId="39" priority="12">
      <formula>IFERROR(FIND("@",G1335),-1)&lt;0</formula>
    </cfRule>
  </conditionalFormatting>
  <conditionalFormatting sqref="G1349">
    <cfRule type="expression" dxfId="38" priority="9" stopIfTrue="1">
      <formula>ISBLANK(G1349)</formula>
    </cfRule>
    <cfRule type="expression" dxfId="37" priority="10">
      <formula>IFERROR(FIND("@",G1349),-1)&lt;0</formula>
    </cfRule>
  </conditionalFormatting>
  <conditionalFormatting sqref="G1350">
    <cfRule type="expression" dxfId="36" priority="7" stopIfTrue="1">
      <formula>ISBLANK(G1350)</formula>
    </cfRule>
    <cfRule type="expression" dxfId="35" priority="8">
      <formula>IFERROR(FIND("@",G1350),-1)&lt;0</formula>
    </cfRule>
  </conditionalFormatting>
  <conditionalFormatting sqref="G1365">
    <cfRule type="expression" dxfId="34" priority="5" stopIfTrue="1">
      <formula>ISBLANK(G1365)</formula>
    </cfRule>
    <cfRule type="expression" dxfId="33" priority="6">
      <formula>IFERROR(FIND("@",G1365),-1)&lt;0</formula>
    </cfRule>
  </conditionalFormatting>
  <conditionalFormatting sqref="G1368">
    <cfRule type="expression" dxfId="32" priority="3" stopIfTrue="1">
      <formula>ISBLANK(G1368)</formula>
    </cfRule>
    <cfRule type="expression" dxfId="31" priority="4">
      <formula>IFERROR(FIND("@",G1368),-1)&lt;0</formula>
    </cfRule>
  </conditionalFormatting>
  <conditionalFormatting sqref="G1373">
    <cfRule type="expression" dxfId="30" priority="1" stopIfTrue="1">
      <formula>ISBLANK(G1373)</formula>
    </cfRule>
    <cfRule type="expression" dxfId="29" priority="2">
      <formula>IFERROR(FIND("@",G1373),-1)&lt;0</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35"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D137"/>
  <sheetViews>
    <sheetView showGridLines="0" zoomScale="86" zoomScaleNormal="86" workbookViewId="0">
      <pane xSplit="3" ySplit="1" topLeftCell="M2" activePane="bottomRight" state="frozen"/>
      <selection pane="topRight" activeCell="L92" sqref="L92"/>
      <selection pane="bottomLeft" activeCell="L92" sqref="L92"/>
      <selection pane="bottomRight" activeCell="O15" sqref="O15"/>
    </sheetView>
  </sheetViews>
  <sheetFormatPr baseColWidth="10" defaultColWidth="11.42578125" defaultRowHeight="12.75" x14ac:dyDescent="0.2"/>
  <cols>
    <col min="1" max="1" width="27.5703125" style="68" bestFit="1" customWidth="1"/>
    <col min="2" max="2" width="27.140625" style="68" bestFit="1" customWidth="1"/>
    <col min="3" max="3" width="3.85546875" style="69" bestFit="1" customWidth="1"/>
    <col min="4" max="28" width="11.7109375" style="47" customWidth="1"/>
    <col min="29" max="29" width="11.42578125" style="48"/>
    <col min="30" max="30" width="6.140625" style="68" customWidth="1"/>
    <col min="31" max="16384" width="11.42578125" style="68"/>
  </cols>
  <sheetData>
    <row r="1" spans="1:29" s="52" customFormat="1" ht="20.100000000000001" customHeight="1" x14ac:dyDescent="0.25">
      <c r="A1" s="49" t="s">
        <v>5</v>
      </c>
      <c r="B1" s="50" t="s">
        <v>7</v>
      </c>
      <c r="C1" s="51" t="str">
        <f>IF(SUMIF(Vigilancia!$J:$J,"Vigilancia",Vigilancia!$E:$E)=AC131,"ü","û")</f>
        <v>ü</v>
      </c>
      <c r="D1" s="104">
        <v>2016</v>
      </c>
      <c r="E1" s="140">
        <v>42736</v>
      </c>
      <c r="F1" s="141">
        <f>EDATE(E1,1)</f>
        <v>42767</v>
      </c>
      <c r="G1" s="141">
        <f t="shared" ref="G1:AB1" si="0">EDATE(F1,1)</f>
        <v>42795</v>
      </c>
      <c r="H1" s="141">
        <f t="shared" si="0"/>
        <v>42826</v>
      </c>
      <c r="I1" s="141">
        <f t="shared" si="0"/>
        <v>42856</v>
      </c>
      <c r="J1" s="141">
        <f t="shared" si="0"/>
        <v>42887</v>
      </c>
      <c r="K1" s="141">
        <f t="shared" si="0"/>
        <v>42917</v>
      </c>
      <c r="L1" s="141">
        <f t="shared" si="0"/>
        <v>42948</v>
      </c>
      <c r="M1" s="141">
        <f t="shared" si="0"/>
        <v>42979</v>
      </c>
      <c r="N1" s="141">
        <f t="shared" si="0"/>
        <v>43009</v>
      </c>
      <c r="O1" s="141">
        <f t="shared" si="0"/>
        <v>43040</v>
      </c>
      <c r="P1" s="142">
        <f t="shared" si="0"/>
        <v>43070</v>
      </c>
      <c r="Q1" s="140">
        <f t="shared" si="0"/>
        <v>43101</v>
      </c>
      <c r="R1" s="141">
        <f t="shared" si="0"/>
        <v>43132</v>
      </c>
      <c r="S1" s="141">
        <f t="shared" si="0"/>
        <v>43160</v>
      </c>
      <c r="T1" s="141">
        <f t="shared" si="0"/>
        <v>43191</v>
      </c>
      <c r="U1" s="141">
        <f t="shared" si="0"/>
        <v>43221</v>
      </c>
      <c r="V1" s="141">
        <f t="shared" si="0"/>
        <v>43252</v>
      </c>
      <c r="W1" s="141">
        <f t="shared" si="0"/>
        <v>43282</v>
      </c>
      <c r="X1" s="141">
        <f t="shared" si="0"/>
        <v>43313</v>
      </c>
      <c r="Y1" s="141">
        <f t="shared" si="0"/>
        <v>43344</v>
      </c>
      <c r="Z1" s="141">
        <f t="shared" si="0"/>
        <v>43374</v>
      </c>
      <c r="AA1" s="141">
        <f t="shared" si="0"/>
        <v>43405</v>
      </c>
      <c r="AB1" s="142">
        <f t="shared" si="0"/>
        <v>43435</v>
      </c>
      <c r="AC1" s="112" t="s">
        <v>808</v>
      </c>
    </row>
    <row r="2" spans="1:29" s="52" customFormat="1" ht="20.100000000000001" customHeight="1" x14ac:dyDescent="0.25">
      <c r="A2" s="53" t="s">
        <v>248</v>
      </c>
      <c r="B2" s="54" t="s">
        <v>250</v>
      </c>
      <c r="C2" s="55" t="str">
        <f>IF(SUMIFS(Vigilancia!$E:$E,Vigilancia!$F:$F,A2,Vigilancia!$J:$J,"Vigilancia")=AC2,"ü","û")</f>
        <v>ü</v>
      </c>
      <c r="D2" s="99"/>
      <c r="E2" s="105">
        <v>17000</v>
      </c>
      <c r="F2" s="41">
        <v>17000</v>
      </c>
      <c r="G2" s="41">
        <v>17000</v>
      </c>
      <c r="H2" s="41">
        <v>17000</v>
      </c>
      <c r="I2" s="42">
        <v>17000</v>
      </c>
      <c r="J2" s="41">
        <v>26000</v>
      </c>
      <c r="K2" s="41">
        <v>35000</v>
      </c>
      <c r="L2" s="41">
        <v>35000</v>
      </c>
      <c r="M2" s="41">
        <v>35000</v>
      </c>
      <c r="N2" s="41">
        <v>35000</v>
      </c>
      <c r="O2" s="41">
        <v>50000</v>
      </c>
      <c r="P2" s="99">
        <v>50000</v>
      </c>
      <c r="Q2" s="94">
        <v>80000</v>
      </c>
      <c r="R2" s="90">
        <v>80000</v>
      </c>
      <c r="S2" s="92">
        <v>140000</v>
      </c>
      <c r="T2" s="92">
        <v>140000</v>
      </c>
      <c r="U2" s="92">
        <v>400000</v>
      </c>
      <c r="V2" s="92">
        <f>400000+225000</f>
        <v>625000</v>
      </c>
      <c r="W2" s="92">
        <v>1000000</v>
      </c>
      <c r="X2" s="92">
        <v>1200000</v>
      </c>
      <c r="Y2" s="92"/>
      <c r="Z2" s="92"/>
      <c r="AA2" s="92"/>
      <c r="AB2" s="110"/>
      <c r="AC2" s="113">
        <f>SUM(D2:AB2)</f>
        <v>4016000</v>
      </c>
    </row>
    <row r="3" spans="1:29" s="52" customFormat="1" ht="20.100000000000001" customHeight="1" x14ac:dyDescent="0.25">
      <c r="A3" s="56" t="s">
        <v>270</v>
      </c>
      <c r="B3" s="57" t="s">
        <v>272</v>
      </c>
      <c r="C3" s="58" t="str">
        <f>IF(SUMIFS(Vigilancia!$E:$E,Vigilancia!$F:$F,A3,Vigilancia!$J:$J,"Vigilancia")=AC3,"ü","û")</f>
        <v>ü</v>
      </c>
      <c r="D3" s="100"/>
      <c r="E3" s="106">
        <v>10500</v>
      </c>
      <c r="F3" s="43">
        <v>10500</v>
      </c>
      <c r="G3" s="43">
        <v>10500</v>
      </c>
      <c r="H3" s="43"/>
      <c r="I3" s="43"/>
      <c r="J3" s="43"/>
      <c r="K3" s="43"/>
      <c r="L3" s="43"/>
      <c r="M3" s="43"/>
      <c r="N3" s="43"/>
      <c r="O3" s="43"/>
      <c r="P3" s="100"/>
      <c r="Q3" s="93"/>
      <c r="R3" s="89"/>
      <c r="S3" s="89"/>
      <c r="T3" s="89"/>
      <c r="U3" s="89"/>
      <c r="V3" s="89"/>
      <c r="W3" s="89"/>
      <c r="X3" s="89"/>
      <c r="Y3" s="89"/>
      <c r="Z3" s="89"/>
      <c r="AA3" s="89"/>
      <c r="AB3" s="100"/>
      <c r="AC3" s="114">
        <f t="shared" ref="AC3:AC68" si="1">SUM(D3:AB3)</f>
        <v>31500</v>
      </c>
    </row>
    <row r="4" spans="1:29" s="52" customFormat="1" ht="20.100000000000001" customHeight="1" x14ac:dyDescent="0.25">
      <c r="A4" s="53" t="s">
        <v>197</v>
      </c>
      <c r="B4" s="54" t="s">
        <v>199</v>
      </c>
      <c r="C4" s="59" t="str">
        <f>IF(SUMIFS(Vigilancia!$E:$E,Vigilancia!$F:$F,A4,Vigilancia!$J:$J,"Vigilancia")=AC4,"ü","û")</f>
        <v>ü</v>
      </c>
      <c r="D4" s="99"/>
      <c r="E4" s="105">
        <v>17000</v>
      </c>
      <c r="F4" s="41">
        <v>17000</v>
      </c>
      <c r="G4" s="41">
        <v>17000</v>
      </c>
      <c r="H4" s="41">
        <v>17000</v>
      </c>
      <c r="I4" s="41">
        <v>26000</v>
      </c>
      <c r="J4" s="41">
        <v>26000</v>
      </c>
      <c r="K4" s="41">
        <v>35000</v>
      </c>
      <c r="L4" s="41">
        <f>1000+34000</f>
        <v>35000</v>
      </c>
      <c r="M4" s="41">
        <f>1000+34000</f>
        <v>35000</v>
      </c>
      <c r="N4" s="41">
        <v>35000</v>
      </c>
      <c r="O4" s="41">
        <f>50000</f>
        <v>50000</v>
      </c>
      <c r="P4" s="99">
        <f>1000+20000+29000</f>
        <v>50000</v>
      </c>
      <c r="Q4" s="94">
        <v>80000</v>
      </c>
      <c r="R4" s="90">
        <v>80000</v>
      </c>
      <c r="S4" s="90">
        <f>21000+119000</f>
        <v>140000</v>
      </c>
      <c r="T4" s="90">
        <v>140000</v>
      </c>
      <c r="U4" s="90">
        <f>400000</f>
        <v>400000</v>
      </c>
      <c r="V4" s="350">
        <f>400000+225000</f>
        <v>625000</v>
      </c>
      <c r="W4" s="90">
        <v>1000000</v>
      </c>
      <c r="X4" s="90">
        <v>1200000</v>
      </c>
      <c r="Y4" s="134">
        <v>1000</v>
      </c>
      <c r="Z4" s="90"/>
      <c r="AA4" s="90"/>
      <c r="AB4" s="99"/>
      <c r="AC4" s="115">
        <f t="shared" si="1"/>
        <v>4026000</v>
      </c>
    </row>
    <row r="5" spans="1:29" s="52" customFormat="1" ht="20.100000000000001" customHeight="1" x14ac:dyDescent="0.25">
      <c r="A5" s="53" t="s">
        <v>337</v>
      </c>
      <c r="B5" s="54" t="s">
        <v>339</v>
      </c>
      <c r="C5" s="59" t="str">
        <f>IF(SUMIFS(Vigilancia!$E:$E,Vigilancia!$F:$F,A5,Vigilancia!$J:$J,"Vigilancia")=AC5,"ü","û")</f>
        <v>ü</v>
      </c>
      <c r="D5" s="99"/>
      <c r="E5" s="105">
        <v>17000</v>
      </c>
      <c r="F5" s="41">
        <v>17000</v>
      </c>
      <c r="G5" s="41">
        <v>17000</v>
      </c>
      <c r="H5" s="41">
        <v>17000</v>
      </c>
      <c r="I5" s="41">
        <v>26000</v>
      </c>
      <c r="J5" s="41">
        <v>26000</v>
      </c>
      <c r="K5" s="41">
        <f>13000+22000</f>
        <v>35000</v>
      </c>
      <c r="L5" s="41">
        <v>35000</v>
      </c>
      <c r="M5" s="41">
        <v>35000</v>
      </c>
      <c r="N5" s="41">
        <v>35000</v>
      </c>
      <c r="O5" s="41">
        <v>50000</v>
      </c>
      <c r="P5" s="99">
        <v>50000</v>
      </c>
      <c r="Q5" s="94">
        <v>80000</v>
      </c>
      <c r="R5" s="90">
        <v>80000</v>
      </c>
      <c r="S5" s="90">
        <v>140000</v>
      </c>
      <c r="T5" s="90">
        <v>140000</v>
      </c>
      <c r="U5" s="90">
        <f>140000+260000</f>
        <v>400000</v>
      </c>
      <c r="V5" s="90">
        <f>400000+225000</f>
        <v>625000</v>
      </c>
      <c r="W5" s="90">
        <v>1000000</v>
      </c>
      <c r="X5" s="90">
        <v>1200000</v>
      </c>
      <c r="Y5" s="90"/>
      <c r="Z5" s="90"/>
      <c r="AA5" s="90"/>
      <c r="AB5" s="99"/>
      <c r="AC5" s="115">
        <f t="shared" si="1"/>
        <v>4025000</v>
      </c>
    </row>
    <row r="6" spans="1:29" s="52" customFormat="1" ht="20.100000000000001" customHeight="1" x14ac:dyDescent="0.25">
      <c r="A6" s="53" t="s">
        <v>62</v>
      </c>
      <c r="B6" s="54" t="s">
        <v>64</v>
      </c>
      <c r="C6" s="59" t="str">
        <f>IF(SUMIFS(Vigilancia!$E:$E,Vigilancia!$F:$F,A6,Vigilancia!$J:$J,"Vigilancia")=AC6,"ü","û")</f>
        <v>ü</v>
      </c>
      <c r="D6" s="99"/>
      <c r="E6" s="105">
        <f>10500+6500</f>
        <v>17000</v>
      </c>
      <c r="F6" s="41">
        <v>17000</v>
      </c>
      <c r="G6" s="41">
        <v>17000</v>
      </c>
      <c r="H6" s="41">
        <v>17000</v>
      </c>
      <c r="I6" s="41">
        <v>26000</v>
      </c>
      <c r="J6" s="41">
        <v>26000</v>
      </c>
      <c r="K6" s="41">
        <v>35000</v>
      </c>
      <c r="L6" s="41">
        <v>35000</v>
      </c>
      <c r="M6" s="41">
        <v>35000</v>
      </c>
      <c r="N6" s="41">
        <v>35000</v>
      </c>
      <c r="O6" s="41">
        <v>50000</v>
      </c>
      <c r="P6" s="99">
        <v>50000</v>
      </c>
      <c r="Q6" s="94">
        <v>80000</v>
      </c>
      <c r="R6" s="90">
        <v>80000</v>
      </c>
      <c r="S6" s="90">
        <v>140000</v>
      </c>
      <c r="T6" s="90">
        <v>140000</v>
      </c>
      <c r="U6" s="90">
        <v>400000</v>
      </c>
      <c r="V6" s="90">
        <f>400000+225000</f>
        <v>625000</v>
      </c>
      <c r="W6" s="90">
        <v>1000000</v>
      </c>
      <c r="X6" s="90">
        <v>1200000</v>
      </c>
      <c r="Y6" s="90"/>
      <c r="Z6" s="90"/>
      <c r="AA6" s="90"/>
      <c r="AB6" s="99"/>
      <c r="AC6" s="115">
        <f t="shared" si="1"/>
        <v>4025000</v>
      </c>
    </row>
    <row r="7" spans="1:29" s="52" customFormat="1" ht="20.100000000000001" customHeight="1" x14ac:dyDescent="0.25">
      <c r="A7" s="56" t="s">
        <v>94</v>
      </c>
      <c r="B7" s="57" t="s">
        <v>96</v>
      </c>
      <c r="C7" s="58" t="str">
        <f>IF(SUMIFS(Vigilancia!$E:$E,Vigilancia!$F:$F,A7,Vigilancia!$J:$J,"Vigilancia")=AC7,"ü","û")</f>
        <v>ü</v>
      </c>
      <c r="D7" s="100"/>
      <c r="E7" s="106">
        <v>2000</v>
      </c>
      <c r="F7" s="43">
        <v>2000</v>
      </c>
      <c r="G7" s="43">
        <v>3000</v>
      </c>
      <c r="H7" s="43">
        <v>3000</v>
      </c>
      <c r="I7" s="43">
        <v>4000</v>
      </c>
      <c r="J7" s="43">
        <v>4000</v>
      </c>
      <c r="K7" s="43">
        <v>4000</v>
      </c>
      <c r="L7" s="43">
        <v>4000</v>
      </c>
      <c r="M7" s="43">
        <v>3000</v>
      </c>
      <c r="N7" s="43">
        <v>5000</v>
      </c>
      <c r="O7" s="135" t="s">
        <v>490</v>
      </c>
      <c r="P7" s="136" t="s">
        <v>490</v>
      </c>
      <c r="Q7" s="94">
        <v>80000</v>
      </c>
      <c r="R7" s="90">
        <v>80000</v>
      </c>
      <c r="S7" s="90">
        <v>140000</v>
      </c>
      <c r="T7" s="90">
        <v>140000</v>
      </c>
      <c r="U7" s="90">
        <v>400000</v>
      </c>
      <c r="V7" s="90">
        <v>625000</v>
      </c>
      <c r="W7" s="90">
        <v>1000000</v>
      </c>
      <c r="X7" s="90">
        <v>1200000</v>
      </c>
      <c r="Y7" s="90"/>
      <c r="Z7" s="90"/>
      <c r="AA7" s="90"/>
      <c r="AB7" s="99"/>
      <c r="AC7" s="115">
        <f t="shared" si="1"/>
        <v>3699000</v>
      </c>
    </row>
    <row r="8" spans="1:29" s="52" customFormat="1" ht="20.100000000000001" customHeight="1" x14ac:dyDescent="0.25">
      <c r="A8" s="53" t="s">
        <v>809</v>
      </c>
      <c r="B8" s="54" t="s">
        <v>810</v>
      </c>
      <c r="C8" s="59" t="str">
        <f>IF(SUMIFS(Vigilancia!$E:$E,Vigilancia!$F:$F,A8,Vigilancia!$J:$J,"Vigilancia")=AC8,"ü","û")</f>
        <v>ü</v>
      </c>
      <c r="D8" s="99"/>
      <c r="E8" s="105"/>
      <c r="F8" s="41"/>
      <c r="G8" s="41"/>
      <c r="H8" s="41"/>
      <c r="I8" s="41"/>
      <c r="J8" s="41"/>
      <c r="K8" s="41"/>
      <c r="L8" s="41"/>
      <c r="M8" s="41"/>
      <c r="N8" s="41"/>
      <c r="O8" s="41"/>
      <c r="P8" s="99"/>
      <c r="Q8" s="94"/>
      <c r="R8" s="90"/>
      <c r="S8" s="90"/>
      <c r="T8" s="90"/>
      <c r="U8" s="90"/>
      <c r="V8" s="90"/>
      <c r="W8" s="90"/>
      <c r="X8" s="90"/>
      <c r="Y8" s="90"/>
      <c r="Z8" s="90"/>
      <c r="AA8" s="90"/>
      <c r="AB8" s="99"/>
      <c r="AC8" s="115">
        <f t="shared" si="1"/>
        <v>0</v>
      </c>
    </row>
    <row r="9" spans="1:29" s="52" customFormat="1" ht="20.100000000000001" customHeight="1" x14ac:dyDescent="0.25">
      <c r="A9" s="53" t="s">
        <v>57</v>
      </c>
      <c r="B9" s="54" t="s">
        <v>59</v>
      </c>
      <c r="C9" s="59" t="str">
        <f>IF(SUMIFS(Vigilancia!$E:$E,Vigilancia!$F:$F,A9,Vigilancia!$J:$J,"Vigilancia")=AC9,"ü","û")</f>
        <v>ü</v>
      </c>
      <c r="D9" s="99"/>
      <c r="E9" s="107">
        <v>12000</v>
      </c>
      <c r="F9" s="41">
        <v>20000</v>
      </c>
      <c r="G9" s="41">
        <v>20000</v>
      </c>
      <c r="H9" s="41">
        <v>20000</v>
      </c>
      <c r="I9" s="41">
        <v>30000</v>
      </c>
      <c r="J9" s="41">
        <v>30000</v>
      </c>
      <c r="K9" s="41">
        <f>30000+10000</f>
        <v>40000</v>
      </c>
      <c r="L9" s="41">
        <v>40000</v>
      </c>
      <c r="M9" s="41">
        <v>40000</v>
      </c>
      <c r="N9" s="41">
        <v>40000</v>
      </c>
      <c r="O9" s="41">
        <v>54000</v>
      </c>
      <c r="P9" s="99">
        <v>54000</v>
      </c>
      <c r="Q9" s="94">
        <v>86400</v>
      </c>
      <c r="R9" s="90">
        <v>86400</v>
      </c>
      <c r="S9" s="90">
        <v>155000</v>
      </c>
      <c r="T9" s="90">
        <v>155000</v>
      </c>
      <c r="U9" s="137">
        <v>400000</v>
      </c>
      <c r="V9" s="90">
        <v>690000</v>
      </c>
      <c r="W9" s="90">
        <v>1100000</v>
      </c>
      <c r="X9" s="134">
        <v>1100000</v>
      </c>
      <c r="Y9" s="90"/>
      <c r="Z9" s="90"/>
      <c r="AA9" s="90"/>
      <c r="AB9" s="99"/>
      <c r="AC9" s="115">
        <f t="shared" si="1"/>
        <v>4172800</v>
      </c>
    </row>
    <row r="10" spans="1:29" s="52" customFormat="1" ht="20.100000000000001" customHeight="1" x14ac:dyDescent="0.25">
      <c r="A10" s="53" t="s">
        <v>439</v>
      </c>
      <c r="B10" s="54" t="s">
        <v>441</v>
      </c>
      <c r="C10" s="59" t="str">
        <f>IF(SUMIFS(Vigilancia!$E:$E,Vigilancia!$F:$F,A10,Vigilancia!$J:$J,"Vigilancia")=AC10,"ü","û")</f>
        <v>ü</v>
      </c>
      <c r="D10" s="99"/>
      <c r="E10" s="105">
        <v>17000</v>
      </c>
      <c r="F10" s="41">
        <v>17000</v>
      </c>
      <c r="G10" s="41">
        <v>17000</v>
      </c>
      <c r="H10" s="41">
        <v>17000</v>
      </c>
      <c r="I10" s="41">
        <v>26000</v>
      </c>
      <c r="J10" s="41">
        <v>26000</v>
      </c>
      <c r="K10" s="41">
        <f>26000+9000</f>
        <v>35000</v>
      </c>
      <c r="L10" s="41">
        <v>35000</v>
      </c>
      <c r="M10" s="41">
        <v>35000</v>
      </c>
      <c r="N10" s="41">
        <v>35000</v>
      </c>
      <c r="O10" s="41">
        <v>50000</v>
      </c>
      <c r="P10" s="99">
        <v>50000</v>
      </c>
      <c r="Q10" s="94">
        <v>80000</v>
      </c>
      <c r="R10" s="90">
        <v>80000</v>
      </c>
      <c r="S10" s="90">
        <v>140000</v>
      </c>
      <c r="T10" s="90">
        <v>140000</v>
      </c>
      <c r="U10" s="90">
        <v>400000</v>
      </c>
      <c r="V10" s="90">
        <f>400000+225000</f>
        <v>625000</v>
      </c>
      <c r="W10" s="90">
        <v>1000000</v>
      </c>
      <c r="X10" s="350">
        <f>990000+210000</f>
        <v>1200000</v>
      </c>
      <c r="Y10" s="90"/>
      <c r="Z10" s="90"/>
      <c r="AA10" s="90"/>
      <c r="AB10" s="99"/>
      <c r="AC10" s="115">
        <f t="shared" si="1"/>
        <v>4025000</v>
      </c>
    </row>
    <row r="11" spans="1:29" s="52" customFormat="1" ht="20.100000000000001" customHeight="1" x14ac:dyDescent="0.25">
      <c r="A11" s="53" t="s">
        <v>811</v>
      </c>
      <c r="B11" s="54" t="s">
        <v>812</v>
      </c>
      <c r="C11" s="59" t="str">
        <f>IF(SUMIFS(Vigilancia!$E:$E,Vigilancia!$F:$F,A11,Vigilancia!$J:$J,"Vigilancia")=AC11,"ü","û")</f>
        <v>ü</v>
      </c>
      <c r="D11" s="99"/>
      <c r="E11" s="105"/>
      <c r="F11" s="41"/>
      <c r="G11" s="41"/>
      <c r="H11" s="41"/>
      <c r="I11" s="41"/>
      <c r="J11" s="41"/>
      <c r="K11" s="41"/>
      <c r="L11" s="41"/>
      <c r="M11" s="41"/>
      <c r="N11" s="41"/>
      <c r="O11" s="41"/>
      <c r="P11" s="99"/>
      <c r="Q11" s="94"/>
      <c r="R11" s="90"/>
      <c r="S11" s="90"/>
      <c r="T11" s="90"/>
      <c r="U11" s="90"/>
      <c r="V11" s="90"/>
      <c r="W11" s="90"/>
      <c r="X11" s="90"/>
      <c r="Y11" s="90"/>
      <c r="Z11" s="90"/>
      <c r="AA11" s="90"/>
      <c r="AB11" s="99"/>
      <c r="AC11" s="115">
        <f t="shared" si="1"/>
        <v>0</v>
      </c>
    </row>
    <row r="12" spans="1:29" s="52" customFormat="1" ht="20.100000000000001" customHeight="1" x14ac:dyDescent="0.25">
      <c r="A12" s="53" t="s">
        <v>813</v>
      </c>
      <c r="B12" s="54" t="s">
        <v>814</v>
      </c>
      <c r="C12" s="59" t="str">
        <f>IF(SUMIFS(Vigilancia!$E:$E,Vigilancia!$F:$F,A12,Vigilancia!$J:$J,"Vigilancia")=AC12,"ü","û")</f>
        <v>ü</v>
      </c>
      <c r="D12" s="99"/>
      <c r="E12" s="105"/>
      <c r="F12" s="41"/>
      <c r="G12" s="41"/>
      <c r="H12" s="41"/>
      <c r="I12" s="41"/>
      <c r="J12" s="41"/>
      <c r="K12" s="41"/>
      <c r="L12" s="41"/>
      <c r="M12" s="41"/>
      <c r="N12" s="41"/>
      <c r="O12" s="41"/>
      <c r="P12" s="99"/>
      <c r="Q12" s="94"/>
      <c r="R12" s="90"/>
      <c r="S12" s="90"/>
      <c r="T12" s="90"/>
      <c r="U12" s="90"/>
      <c r="V12" s="90"/>
      <c r="W12" s="90"/>
      <c r="X12" s="90"/>
      <c r="Y12" s="90"/>
      <c r="Z12" s="90"/>
      <c r="AA12" s="90"/>
      <c r="AB12" s="99"/>
      <c r="AC12" s="115">
        <f t="shared" si="1"/>
        <v>0</v>
      </c>
    </row>
    <row r="13" spans="1:29" s="52" customFormat="1" ht="20.100000000000001" customHeight="1" x14ac:dyDescent="0.25">
      <c r="A13" s="56" t="s">
        <v>177</v>
      </c>
      <c r="B13" s="57" t="s">
        <v>179</v>
      </c>
      <c r="C13" s="58" t="str">
        <f>IF(SUMIFS(Vigilancia!$E:$E,Vigilancia!$F:$F,A13,Vigilancia!$J:$J,"Vigilancia")=AC13,"ü","û")</f>
        <v>ü</v>
      </c>
      <c r="D13" s="100"/>
      <c r="E13" s="106">
        <f>10500</f>
        <v>10500</v>
      </c>
      <c r="F13" s="43">
        <f>10500+6500</f>
        <v>17000</v>
      </c>
      <c r="G13" s="43">
        <v>10500</v>
      </c>
      <c r="H13" s="41">
        <v>17000</v>
      </c>
      <c r="I13" s="41">
        <f>20000+6000</f>
        <v>26000</v>
      </c>
      <c r="J13" s="41">
        <v>26000</v>
      </c>
      <c r="K13" s="41">
        <f>20000+15000</f>
        <v>35000</v>
      </c>
      <c r="L13" s="41">
        <v>35000</v>
      </c>
      <c r="M13" s="41">
        <v>35000</v>
      </c>
      <c r="N13" s="41">
        <v>35000</v>
      </c>
      <c r="O13" s="41">
        <f>30000+20000</f>
        <v>50000</v>
      </c>
      <c r="P13" s="99">
        <v>50000</v>
      </c>
      <c r="Q13" s="94">
        <f>30000+50000</f>
        <v>80000</v>
      </c>
      <c r="R13" s="90">
        <f>50000+30000</f>
        <v>80000</v>
      </c>
      <c r="S13" s="90">
        <v>140000</v>
      </c>
      <c r="T13" s="90">
        <v>140000</v>
      </c>
      <c r="U13" s="90">
        <v>400000</v>
      </c>
      <c r="V13" s="90">
        <f>400000+225000</f>
        <v>625000</v>
      </c>
      <c r="W13" s="90">
        <v>1000000</v>
      </c>
      <c r="X13" s="137">
        <v>1000000</v>
      </c>
      <c r="Y13" s="90"/>
      <c r="Z13" s="90"/>
      <c r="AA13" s="90"/>
      <c r="AB13" s="99"/>
      <c r="AC13" s="115">
        <f t="shared" si="1"/>
        <v>3812000</v>
      </c>
    </row>
    <row r="14" spans="1:29" s="52" customFormat="1" ht="20.100000000000001" customHeight="1" x14ac:dyDescent="0.25">
      <c r="A14" s="53" t="s">
        <v>264</v>
      </c>
      <c r="B14" s="54" t="s">
        <v>266</v>
      </c>
      <c r="C14" s="59" t="str">
        <f>IF(SUMIFS(Vigilancia!$E:$E,Vigilancia!$F:$F,A14,Vigilancia!$J:$J,"Vigilancia")=AC14,"ü","û")</f>
        <v>ü</v>
      </c>
      <c r="D14" s="99"/>
      <c r="E14" s="105">
        <v>17000</v>
      </c>
      <c r="F14" s="41">
        <v>17000</v>
      </c>
      <c r="G14" s="41">
        <v>17000</v>
      </c>
      <c r="H14" s="41">
        <v>17000</v>
      </c>
      <c r="I14" s="41">
        <f>17000+9000</f>
        <v>26000</v>
      </c>
      <c r="J14" s="41">
        <f>17000+9000</f>
        <v>26000</v>
      </c>
      <c r="K14" s="41">
        <f>26000+9000</f>
        <v>35000</v>
      </c>
      <c r="L14" s="41">
        <v>35000</v>
      </c>
      <c r="M14" s="41">
        <v>35000</v>
      </c>
      <c r="N14" s="41">
        <v>35000</v>
      </c>
      <c r="O14" s="41">
        <v>50000</v>
      </c>
      <c r="P14" s="99">
        <v>50000</v>
      </c>
      <c r="Q14" s="94">
        <v>80000</v>
      </c>
      <c r="R14" s="90">
        <v>80000</v>
      </c>
      <c r="S14" s="90">
        <v>140000</v>
      </c>
      <c r="T14" s="90">
        <v>140000</v>
      </c>
      <c r="U14" s="90">
        <v>400000</v>
      </c>
      <c r="V14" s="90">
        <v>625000</v>
      </c>
      <c r="W14" s="90">
        <v>1000000</v>
      </c>
      <c r="X14" s="90"/>
      <c r="Y14" s="90"/>
      <c r="Z14" s="90"/>
      <c r="AA14" s="90"/>
      <c r="AB14" s="99"/>
      <c r="AC14" s="115">
        <f t="shared" si="1"/>
        <v>2825000</v>
      </c>
    </row>
    <row r="15" spans="1:29" s="52" customFormat="1" ht="20.100000000000001" customHeight="1" x14ac:dyDescent="0.25">
      <c r="A15" s="53" t="s">
        <v>815</v>
      </c>
      <c r="B15" s="54" t="s">
        <v>816</v>
      </c>
      <c r="C15" s="59" t="str">
        <f>IF(SUMIFS(Vigilancia!$E:$E,Vigilancia!$F:$F,A15,Vigilancia!$J:$J,"Vigilancia")=AC15,"ü","û")</f>
        <v>ü</v>
      </c>
      <c r="D15" s="99"/>
      <c r="E15" s="105"/>
      <c r="F15" s="41"/>
      <c r="G15" s="41"/>
      <c r="H15" s="41"/>
      <c r="I15" s="41"/>
      <c r="J15" s="41"/>
      <c r="K15" s="41"/>
      <c r="L15" s="41"/>
      <c r="M15" s="41"/>
      <c r="N15" s="41"/>
      <c r="O15" s="41"/>
      <c r="P15" s="99"/>
      <c r="Q15" s="94"/>
      <c r="R15" s="90"/>
      <c r="S15" s="90"/>
      <c r="T15" s="90"/>
      <c r="U15" s="90"/>
      <c r="V15" s="90"/>
      <c r="W15" s="90"/>
      <c r="X15" s="90"/>
      <c r="Y15" s="90"/>
      <c r="Z15" s="90"/>
      <c r="AA15" s="90"/>
      <c r="AB15" s="99"/>
      <c r="AC15" s="115">
        <f t="shared" si="1"/>
        <v>0</v>
      </c>
    </row>
    <row r="16" spans="1:29" s="52" customFormat="1" ht="20.100000000000001" customHeight="1" x14ac:dyDescent="0.25">
      <c r="A16" s="53" t="s">
        <v>817</v>
      </c>
      <c r="B16" s="54" t="s">
        <v>816</v>
      </c>
      <c r="C16" s="59" t="str">
        <f>IF(SUMIFS(Vigilancia!$E:$E,Vigilancia!$F:$F,A16,Vigilancia!$J:$J,"Vigilancia")=AC16,"ü","û")</f>
        <v>ü</v>
      </c>
      <c r="D16" s="99"/>
      <c r="E16" s="105"/>
      <c r="F16" s="41"/>
      <c r="G16" s="41"/>
      <c r="H16" s="41"/>
      <c r="I16" s="41"/>
      <c r="J16" s="41"/>
      <c r="K16" s="41"/>
      <c r="L16" s="41"/>
      <c r="M16" s="41"/>
      <c r="N16" s="41"/>
      <c r="O16" s="41"/>
      <c r="P16" s="99"/>
      <c r="Q16" s="94"/>
      <c r="R16" s="90"/>
      <c r="S16" s="90"/>
      <c r="T16" s="90"/>
      <c r="U16" s="90"/>
      <c r="V16" s="90"/>
      <c r="W16" s="90"/>
      <c r="X16" s="90"/>
      <c r="Y16" s="90"/>
      <c r="Z16" s="90"/>
      <c r="AA16" s="90"/>
      <c r="AB16" s="99"/>
      <c r="AC16" s="115">
        <f t="shared" si="1"/>
        <v>0</v>
      </c>
    </row>
    <row r="17" spans="1:29" s="52" customFormat="1" ht="20.100000000000001" customHeight="1" x14ac:dyDescent="0.25">
      <c r="A17" s="56" t="s">
        <v>334</v>
      </c>
      <c r="B17" s="57" t="s">
        <v>335</v>
      </c>
      <c r="C17" s="58" t="str">
        <f>IF(SUMIFS(Vigilancia!$E:$E,Vigilancia!$F:$F,A17,Vigilancia!$J:$J,"Vigilancia")=AC17,"ü","û")</f>
        <v>ü</v>
      </c>
      <c r="D17" s="100"/>
      <c r="E17" s="106">
        <v>17000</v>
      </c>
      <c r="F17" s="43">
        <v>17000</v>
      </c>
      <c r="G17" s="43">
        <v>17000</v>
      </c>
      <c r="H17" s="43">
        <v>17000</v>
      </c>
      <c r="I17" s="43">
        <v>17000</v>
      </c>
      <c r="J17" s="43">
        <v>17000</v>
      </c>
      <c r="K17" s="43">
        <v>17000</v>
      </c>
      <c r="L17" s="43">
        <v>20000</v>
      </c>
      <c r="M17" s="43">
        <v>25000</v>
      </c>
      <c r="N17" s="43">
        <v>25000</v>
      </c>
      <c r="O17" s="43">
        <v>25000</v>
      </c>
      <c r="P17" s="100">
        <v>25000</v>
      </c>
      <c r="Q17" s="94">
        <v>80000</v>
      </c>
      <c r="R17" s="90">
        <v>80000</v>
      </c>
      <c r="S17" s="90">
        <v>140000</v>
      </c>
      <c r="T17" s="90">
        <v>140000</v>
      </c>
      <c r="U17" s="134">
        <f>10000+190000</f>
        <v>200000</v>
      </c>
      <c r="V17" s="90">
        <f>400000+225000</f>
        <v>625000</v>
      </c>
      <c r="W17" s="90">
        <v>1000000</v>
      </c>
      <c r="X17" s="90">
        <v>1200000</v>
      </c>
      <c r="Y17" s="90"/>
      <c r="Z17" s="90"/>
      <c r="AA17" s="90"/>
      <c r="AB17" s="99"/>
      <c r="AC17" s="115">
        <f t="shared" si="1"/>
        <v>3704000</v>
      </c>
    </row>
    <row r="18" spans="1:29" s="52" customFormat="1" ht="20.100000000000001" customHeight="1" x14ac:dyDescent="0.25">
      <c r="A18" s="60" t="s">
        <v>818</v>
      </c>
      <c r="B18" s="61" t="s">
        <v>819</v>
      </c>
      <c r="C18" s="62" t="str">
        <f>IF(SUMIFS(Vigilancia!$E:$E,Vigilancia!$F:$F,A18,Vigilancia!$J:$J,"Vigilancia")=AC18,"ü","û")</f>
        <v>ü</v>
      </c>
      <c r="D18" s="101"/>
      <c r="E18" s="108"/>
      <c r="F18" s="44"/>
      <c r="G18" s="44"/>
      <c r="H18" s="44"/>
      <c r="I18" s="44"/>
      <c r="J18" s="44"/>
      <c r="K18" s="44"/>
      <c r="L18" s="44"/>
      <c r="M18" s="44"/>
      <c r="N18" s="44"/>
      <c r="O18" s="44"/>
      <c r="P18" s="101"/>
      <c r="Q18" s="95"/>
      <c r="R18" s="88"/>
      <c r="S18" s="88"/>
      <c r="T18" s="88"/>
      <c r="U18" s="88"/>
      <c r="V18" s="88"/>
      <c r="W18" s="88"/>
      <c r="X18" s="88"/>
      <c r="Y18" s="88"/>
      <c r="Z18" s="88"/>
      <c r="AA18" s="88"/>
      <c r="AB18" s="101"/>
      <c r="AC18" s="116">
        <f t="shared" si="1"/>
        <v>0</v>
      </c>
    </row>
    <row r="19" spans="1:29" s="52" customFormat="1" ht="20.100000000000001" customHeight="1" x14ac:dyDescent="0.25">
      <c r="A19" s="60" t="s">
        <v>820</v>
      </c>
      <c r="B19" s="61" t="s">
        <v>821</v>
      </c>
      <c r="C19" s="62" t="str">
        <f>IF(SUMIFS(Vigilancia!$E:$E,Vigilancia!$F:$F,A19,Vigilancia!$J:$J,"Vigilancia")=AC19,"ü","û")</f>
        <v>ü</v>
      </c>
      <c r="D19" s="101"/>
      <c r="E19" s="108"/>
      <c r="F19" s="44"/>
      <c r="G19" s="44"/>
      <c r="H19" s="44"/>
      <c r="I19" s="44"/>
      <c r="J19" s="44"/>
      <c r="K19" s="44"/>
      <c r="L19" s="44"/>
      <c r="M19" s="44"/>
      <c r="N19" s="44"/>
      <c r="O19" s="44"/>
      <c r="P19" s="101"/>
      <c r="Q19" s="95"/>
      <c r="R19" s="88"/>
      <c r="S19" s="88"/>
      <c r="T19" s="88"/>
      <c r="U19" s="88"/>
      <c r="V19" s="88"/>
      <c r="W19" s="88"/>
      <c r="X19" s="88"/>
      <c r="Y19" s="88"/>
      <c r="Z19" s="88"/>
      <c r="AA19" s="88"/>
      <c r="AB19" s="101"/>
      <c r="AC19" s="116">
        <f t="shared" si="1"/>
        <v>0</v>
      </c>
    </row>
    <row r="20" spans="1:29" s="52" customFormat="1" ht="20.100000000000001" customHeight="1" x14ac:dyDescent="0.25">
      <c r="A20" s="60" t="s">
        <v>822</v>
      </c>
      <c r="B20" s="61" t="s">
        <v>823</v>
      </c>
      <c r="C20" s="62" t="str">
        <f>IF(SUMIFS(Vigilancia!$E:$E,Vigilancia!$F:$F,A20,Vigilancia!$J:$J,"Vigilancia")=AC20,"ü","û")</f>
        <v>ü</v>
      </c>
      <c r="D20" s="101"/>
      <c r="E20" s="108"/>
      <c r="F20" s="44"/>
      <c r="G20" s="44"/>
      <c r="H20" s="44"/>
      <c r="I20" s="44"/>
      <c r="J20" s="44"/>
      <c r="K20" s="44"/>
      <c r="L20" s="44"/>
      <c r="M20" s="44"/>
      <c r="N20" s="44"/>
      <c r="O20" s="44"/>
      <c r="P20" s="101"/>
      <c r="Q20" s="95"/>
      <c r="R20" s="88"/>
      <c r="S20" s="88"/>
      <c r="T20" s="88"/>
      <c r="U20" s="88"/>
      <c r="V20" s="88"/>
      <c r="W20" s="88"/>
      <c r="X20" s="88"/>
      <c r="Y20" s="88"/>
      <c r="Z20" s="88"/>
      <c r="AA20" s="88"/>
      <c r="AB20" s="101"/>
      <c r="AC20" s="116">
        <f t="shared" si="1"/>
        <v>0</v>
      </c>
    </row>
    <row r="21" spans="1:29" s="52" customFormat="1" ht="20.100000000000001" customHeight="1" x14ac:dyDescent="0.25">
      <c r="A21" s="60" t="s">
        <v>824</v>
      </c>
      <c r="B21" s="61" t="s">
        <v>825</v>
      </c>
      <c r="C21" s="62" t="str">
        <f>IF(SUMIFS(Vigilancia!$E:$E,Vigilancia!$F:$F,A21,Vigilancia!$J:$J,"Vigilancia")=AC21,"ü","û")</f>
        <v>ü</v>
      </c>
      <c r="D21" s="101"/>
      <c r="E21" s="108"/>
      <c r="F21" s="44"/>
      <c r="G21" s="44"/>
      <c r="H21" s="44"/>
      <c r="I21" s="44"/>
      <c r="J21" s="44"/>
      <c r="K21" s="44"/>
      <c r="L21" s="44"/>
      <c r="M21" s="44"/>
      <c r="N21" s="44"/>
      <c r="O21" s="44"/>
      <c r="P21" s="101"/>
      <c r="Q21" s="95"/>
      <c r="R21" s="88"/>
      <c r="S21" s="88"/>
      <c r="T21" s="88"/>
      <c r="U21" s="88"/>
      <c r="V21" s="88"/>
      <c r="W21" s="88"/>
      <c r="X21" s="88"/>
      <c r="Y21" s="88"/>
      <c r="Z21" s="88"/>
      <c r="AA21" s="88"/>
      <c r="AB21" s="101"/>
      <c r="AC21" s="116">
        <f t="shared" si="1"/>
        <v>0</v>
      </c>
    </row>
    <row r="22" spans="1:29" s="52" customFormat="1" ht="20.100000000000001" customHeight="1" x14ac:dyDescent="0.25">
      <c r="A22" s="60" t="s">
        <v>826</v>
      </c>
      <c r="B22" s="61" t="s">
        <v>827</v>
      </c>
      <c r="C22" s="62" t="str">
        <f>IF(SUMIFS(Vigilancia!$E:$E,Vigilancia!$F:$F,A22,Vigilancia!$J:$J,"Vigilancia")=AC22,"ü","û")</f>
        <v>ü</v>
      </c>
      <c r="D22" s="101"/>
      <c r="E22" s="108"/>
      <c r="F22" s="44"/>
      <c r="G22" s="44"/>
      <c r="H22" s="44"/>
      <c r="I22" s="44"/>
      <c r="J22" s="44"/>
      <c r="K22" s="44"/>
      <c r="L22" s="44"/>
      <c r="M22" s="44"/>
      <c r="N22" s="44"/>
      <c r="O22" s="44"/>
      <c r="P22" s="101"/>
      <c r="Q22" s="95"/>
      <c r="R22" s="88"/>
      <c r="S22" s="88"/>
      <c r="T22" s="88"/>
      <c r="U22" s="88"/>
      <c r="V22" s="88"/>
      <c r="W22" s="88"/>
      <c r="X22" s="88"/>
      <c r="Y22" s="88"/>
      <c r="Z22" s="88"/>
      <c r="AA22" s="88"/>
      <c r="AB22" s="101"/>
      <c r="AC22" s="116">
        <f t="shared" si="1"/>
        <v>0</v>
      </c>
    </row>
    <row r="23" spans="1:29" s="52" customFormat="1" ht="20.100000000000001" customHeight="1" x14ac:dyDescent="0.25">
      <c r="A23" s="60" t="s">
        <v>828</v>
      </c>
      <c r="B23" s="61" t="s">
        <v>829</v>
      </c>
      <c r="C23" s="62" t="str">
        <f>IF(SUMIFS(Vigilancia!$E:$E,Vigilancia!$F:$F,A23,Vigilancia!$J:$J,"Vigilancia")=AC23,"ü","û")</f>
        <v>ü</v>
      </c>
      <c r="D23" s="101"/>
      <c r="E23" s="108"/>
      <c r="F23" s="44"/>
      <c r="G23" s="44"/>
      <c r="H23" s="44"/>
      <c r="I23" s="44"/>
      <c r="J23" s="44"/>
      <c r="K23" s="44"/>
      <c r="L23" s="44"/>
      <c r="M23" s="44"/>
      <c r="N23" s="44"/>
      <c r="O23" s="44"/>
      <c r="P23" s="101"/>
      <c r="Q23" s="95"/>
      <c r="R23" s="88"/>
      <c r="S23" s="88"/>
      <c r="T23" s="88"/>
      <c r="U23" s="88"/>
      <c r="V23" s="88"/>
      <c r="W23" s="88"/>
      <c r="X23" s="88"/>
      <c r="Y23" s="88"/>
      <c r="Z23" s="88"/>
      <c r="AA23" s="88"/>
      <c r="AB23" s="101"/>
      <c r="AC23" s="116">
        <f t="shared" si="1"/>
        <v>0</v>
      </c>
    </row>
    <row r="24" spans="1:29" s="52" customFormat="1" ht="20.100000000000001" customHeight="1" x14ac:dyDescent="0.25">
      <c r="A24" s="60" t="s">
        <v>830</v>
      </c>
      <c r="B24" s="61" t="s">
        <v>831</v>
      </c>
      <c r="C24" s="62" t="str">
        <f>IF(SUMIFS(Vigilancia!$E:$E,Vigilancia!$F:$F,A24,Vigilancia!$J:$J,"Vigilancia")=AC24,"ü","û")</f>
        <v>ü</v>
      </c>
      <c r="D24" s="101"/>
      <c r="E24" s="108"/>
      <c r="F24" s="44"/>
      <c r="G24" s="44"/>
      <c r="H24" s="44"/>
      <c r="I24" s="44"/>
      <c r="J24" s="44"/>
      <c r="K24" s="44"/>
      <c r="L24" s="44"/>
      <c r="M24" s="44"/>
      <c r="N24" s="44"/>
      <c r="O24" s="44"/>
      <c r="P24" s="101"/>
      <c r="Q24" s="95"/>
      <c r="R24" s="88"/>
      <c r="S24" s="88"/>
      <c r="T24" s="88"/>
      <c r="U24" s="88"/>
      <c r="V24" s="88"/>
      <c r="W24" s="88"/>
      <c r="X24" s="88"/>
      <c r="Y24" s="88"/>
      <c r="Z24" s="88"/>
      <c r="AA24" s="88"/>
      <c r="AB24" s="101"/>
      <c r="AC24" s="116">
        <f t="shared" si="1"/>
        <v>0</v>
      </c>
    </row>
    <row r="25" spans="1:29" s="52" customFormat="1" ht="20.100000000000001" customHeight="1" x14ac:dyDescent="0.25">
      <c r="A25" s="60" t="s">
        <v>465</v>
      </c>
      <c r="B25" s="61" t="s">
        <v>832</v>
      </c>
      <c r="C25" s="62" t="str">
        <f>IF(SUMIFS(Vigilancia!$E:$E,Vigilancia!$F:$F,A25,Vigilancia!$J:$J,"Vigilancia")=AC25,"ü","û")</f>
        <v>ü</v>
      </c>
      <c r="D25" s="101"/>
      <c r="E25" s="108"/>
      <c r="F25" s="44"/>
      <c r="G25" s="44"/>
      <c r="H25" s="44"/>
      <c r="I25" s="44"/>
      <c r="J25" s="44"/>
      <c r="K25" s="44"/>
      <c r="L25" s="44"/>
      <c r="M25" s="44"/>
      <c r="N25" s="44"/>
      <c r="O25" s="44"/>
      <c r="P25" s="101"/>
      <c r="Q25" s="95"/>
      <c r="R25" s="88"/>
      <c r="S25" s="88"/>
      <c r="T25" s="88"/>
      <c r="U25" s="88"/>
      <c r="V25" s="88"/>
      <c r="W25" s="88"/>
      <c r="X25" s="88"/>
      <c r="Y25" s="88"/>
      <c r="Z25" s="88"/>
      <c r="AA25" s="88"/>
      <c r="AB25" s="101"/>
      <c r="AC25" s="116">
        <f t="shared" si="1"/>
        <v>0</v>
      </c>
    </row>
    <row r="26" spans="1:29" s="52" customFormat="1" ht="20.100000000000001" customHeight="1" x14ac:dyDescent="0.25">
      <c r="A26" s="60" t="s">
        <v>833</v>
      </c>
      <c r="B26" s="61" t="s">
        <v>834</v>
      </c>
      <c r="C26" s="62" t="str">
        <f>IF(SUMIFS(Vigilancia!$E:$E,Vigilancia!$F:$F,A26,Vigilancia!$J:$J,"Vigilancia")=AC26,"ü","û")</f>
        <v>ü</v>
      </c>
      <c r="D26" s="101"/>
      <c r="E26" s="108"/>
      <c r="F26" s="44"/>
      <c r="G26" s="44"/>
      <c r="H26" s="44"/>
      <c r="I26" s="44"/>
      <c r="J26" s="44"/>
      <c r="K26" s="44"/>
      <c r="L26" s="44"/>
      <c r="M26" s="44"/>
      <c r="N26" s="44"/>
      <c r="O26" s="44"/>
      <c r="P26" s="101"/>
      <c r="Q26" s="95"/>
      <c r="R26" s="88"/>
      <c r="S26" s="88"/>
      <c r="T26" s="88"/>
      <c r="U26" s="88"/>
      <c r="V26" s="88"/>
      <c r="W26" s="88"/>
      <c r="X26" s="88"/>
      <c r="Y26" s="88"/>
      <c r="Z26" s="88"/>
      <c r="AA26" s="88"/>
      <c r="AB26" s="101"/>
      <c r="AC26" s="116">
        <f t="shared" si="1"/>
        <v>0</v>
      </c>
    </row>
    <row r="27" spans="1:29" s="52" customFormat="1" ht="20.100000000000001" customHeight="1" x14ac:dyDescent="0.25">
      <c r="A27" s="60" t="s">
        <v>835</v>
      </c>
      <c r="B27" s="61" t="s">
        <v>836</v>
      </c>
      <c r="C27" s="62" t="str">
        <f>IF(SUMIFS(Vigilancia!$E:$E,Vigilancia!$F:$F,A27,Vigilancia!$J:$J,"Vigilancia")=AC27,"ü","û")</f>
        <v>ü</v>
      </c>
      <c r="D27" s="101"/>
      <c r="E27" s="108"/>
      <c r="F27" s="44"/>
      <c r="G27" s="44"/>
      <c r="H27" s="44"/>
      <c r="I27" s="44"/>
      <c r="J27" s="44"/>
      <c r="K27" s="44"/>
      <c r="L27" s="44"/>
      <c r="M27" s="44"/>
      <c r="N27" s="44"/>
      <c r="O27" s="44"/>
      <c r="P27" s="101"/>
      <c r="Q27" s="95"/>
      <c r="R27" s="88"/>
      <c r="S27" s="88"/>
      <c r="T27" s="88"/>
      <c r="U27" s="88"/>
      <c r="V27" s="88"/>
      <c r="W27" s="88"/>
      <c r="X27" s="88"/>
      <c r="Y27" s="88"/>
      <c r="Z27" s="88"/>
      <c r="AA27" s="88"/>
      <c r="AB27" s="101"/>
      <c r="AC27" s="116">
        <f t="shared" si="1"/>
        <v>0</v>
      </c>
    </row>
    <row r="28" spans="1:29" s="52" customFormat="1" ht="20.100000000000001" customHeight="1" x14ac:dyDescent="0.25">
      <c r="A28" s="60" t="s">
        <v>837</v>
      </c>
      <c r="B28" s="61" t="s">
        <v>838</v>
      </c>
      <c r="C28" s="62" t="str">
        <f>IF(SUMIFS(Vigilancia!$E:$E,Vigilancia!$F:$F,A28,Vigilancia!$J:$J,"Vigilancia")=AC28,"ü","û")</f>
        <v>ü</v>
      </c>
      <c r="D28" s="101"/>
      <c r="E28" s="108"/>
      <c r="F28" s="44"/>
      <c r="G28" s="44"/>
      <c r="H28" s="44"/>
      <c r="I28" s="44"/>
      <c r="J28" s="44"/>
      <c r="K28" s="44"/>
      <c r="L28" s="44"/>
      <c r="M28" s="44"/>
      <c r="N28" s="44"/>
      <c r="O28" s="44"/>
      <c r="P28" s="101"/>
      <c r="Q28" s="95"/>
      <c r="R28" s="88"/>
      <c r="S28" s="88"/>
      <c r="T28" s="88"/>
      <c r="U28" s="88"/>
      <c r="V28" s="88"/>
      <c r="W28" s="88"/>
      <c r="X28" s="88"/>
      <c r="Y28" s="88"/>
      <c r="Z28" s="88"/>
      <c r="AA28" s="88"/>
      <c r="AB28" s="101"/>
      <c r="AC28" s="116">
        <f t="shared" si="1"/>
        <v>0</v>
      </c>
    </row>
    <row r="29" spans="1:29" s="52" customFormat="1" ht="20.100000000000001" customHeight="1" x14ac:dyDescent="0.25">
      <c r="A29" s="60" t="s">
        <v>839</v>
      </c>
      <c r="B29" s="61" t="s">
        <v>840</v>
      </c>
      <c r="C29" s="62" t="str">
        <f>IF(SUMIFS(Vigilancia!$E:$E,Vigilancia!$F:$F,A29,Vigilancia!$J:$J,"Vigilancia")=AC29,"ü","û")</f>
        <v>ü</v>
      </c>
      <c r="D29" s="101"/>
      <c r="E29" s="108"/>
      <c r="F29" s="44"/>
      <c r="G29" s="44"/>
      <c r="H29" s="44"/>
      <c r="I29" s="44"/>
      <c r="J29" s="44"/>
      <c r="K29" s="44"/>
      <c r="L29" s="44"/>
      <c r="M29" s="44"/>
      <c r="N29" s="44"/>
      <c r="O29" s="44"/>
      <c r="P29" s="101"/>
      <c r="Q29" s="95"/>
      <c r="R29" s="88"/>
      <c r="S29" s="88"/>
      <c r="T29" s="88"/>
      <c r="U29" s="88"/>
      <c r="V29" s="88"/>
      <c r="W29" s="88"/>
      <c r="X29" s="88"/>
      <c r="Y29" s="88"/>
      <c r="Z29" s="88"/>
      <c r="AA29" s="88"/>
      <c r="AB29" s="101"/>
      <c r="AC29" s="116">
        <f t="shared" si="1"/>
        <v>0</v>
      </c>
    </row>
    <row r="30" spans="1:29" s="52" customFormat="1" ht="20.100000000000001" customHeight="1" x14ac:dyDescent="0.25">
      <c r="A30" s="56" t="s">
        <v>48</v>
      </c>
      <c r="B30" s="57" t="s">
        <v>50</v>
      </c>
      <c r="C30" s="58" t="str">
        <f>IF(SUMIFS(Vigilancia!$E:$E,Vigilancia!$F:$F,A30,Vigilancia!$J:$J,"Vigilancia")=AC30,"ü","û")</f>
        <v>ü</v>
      </c>
      <c r="D30" s="100"/>
      <c r="E30" s="106">
        <v>5000</v>
      </c>
      <c r="F30" s="43">
        <v>5000</v>
      </c>
      <c r="G30" s="43">
        <v>7000</v>
      </c>
      <c r="H30" s="43">
        <v>7000</v>
      </c>
      <c r="I30" s="43">
        <v>7000</v>
      </c>
      <c r="J30" s="43">
        <v>10000</v>
      </c>
      <c r="K30" s="43">
        <v>10000</v>
      </c>
      <c r="L30" s="43">
        <v>15000</v>
      </c>
      <c r="M30" s="43">
        <v>15000</v>
      </c>
      <c r="N30" s="43">
        <v>15000</v>
      </c>
      <c r="O30" s="43">
        <v>35000</v>
      </c>
      <c r="P30" s="100">
        <v>35000</v>
      </c>
      <c r="Q30" s="93">
        <v>35000</v>
      </c>
      <c r="R30" s="89">
        <v>80000</v>
      </c>
      <c r="S30" s="89">
        <f>20000+80000</f>
        <v>100000</v>
      </c>
      <c r="T30" s="89">
        <f>20000+80000</f>
        <v>100000</v>
      </c>
      <c r="U30" s="89">
        <v>200000</v>
      </c>
      <c r="V30" s="89">
        <f>400000+225000</f>
        <v>625000</v>
      </c>
      <c r="W30" s="89">
        <f>850000+150000</f>
        <v>1000000</v>
      </c>
      <c r="X30" s="89">
        <v>1200000</v>
      </c>
      <c r="Y30" s="89"/>
      <c r="Z30" s="89"/>
      <c r="AA30" s="89"/>
      <c r="AB30" s="100"/>
      <c r="AC30" s="114">
        <f t="shared" si="1"/>
        <v>3506000</v>
      </c>
    </row>
    <row r="31" spans="1:29" s="52" customFormat="1" ht="20.100000000000001" customHeight="1" x14ac:dyDescent="0.25">
      <c r="A31" s="53" t="s">
        <v>841</v>
      </c>
      <c r="B31" s="54" t="s">
        <v>842</v>
      </c>
      <c r="C31" s="59" t="str">
        <f>IF(SUMIFS(Vigilancia!$E:$E,Vigilancia!$F:$F,A31,Vigilancia!$J:$J,"Vigilancia")=AC31,"ü","û")</f>
        <v>ü</v>
      </c>
      <c r="D31" s="99"/>
      <c r="E31" s="105"/>
      <c r="F31" s="41"/>
      <c r="G31" s="41"/>
      <c r="H31" s="41"/>
      <c r="I31" s="41"/>
      <c r="J31" s="41"/>
      <c r="K31" s="41"/>
      <c r="L31" s="41"/>
      <c r="M31" s="41"/>
      <c r="N31" s="41"/>
      <c r="O31" s="41"/>
      <c r="P31" s="99"/>
      <c r="Q31" s="94"/>
      <c r="R31" s="90"/>
      <c r="S31" s="90"/>
      <c r="T31" s="90"/>
      <c r="U31" s="90"/>
      <c r="V31" s="90"/>
      <c r="W31" s="90"/>
      <c r="X31" s="90"/>
      <c r="Y31" s="90"/>
      <c r="Z31" s="90"/>
      <c r="AA31" s="90"/>
      <c r="AB31" s="99"/>
      <c r="AC31" s="115">
        <f t="shared" si="1"/>
        <v>0</v>
      </c>
    </row>
    <row r="32" spans="1:29" s="52" customFormat="1" ht="20.100000000000001" customHeight="1" x14ac:dyDescent="0.25">
      <c r="A32" s="53" t="s">
        <v>100</v>
      </c>
      <c r="B32" s="54" t="s">
        <v>101</v>
      </c>
      <c r="C32" s="59" t="str">
        <f>IF(SUMIFS(Vigilancia!$E:$E,Vigilancia!$F:$F,A32,Vigilancia!$J:$J,"Vigilancia")=AC32,"ü","û")</f>
        <v>ü</v>
      </c>
      <c r="D32" s="99"/>
      <c r="E32" s="105">
        <v>17000</v>
      </c>
      <c r="F32" s="41">
        <v>17000</v>
      </c>
      <c r="G32" s="41">
        <f>14200+2800</f>
        <v>17000</v>
      </c>
      <c r="H32" s="41">
        <v>17000</v>
      </c>
      <c r="I32" s="41">
        <v>26000</v>
      </c>
      <c r="J32" s="41">
        <v>26000</v>
      </c>
      <c r="K32" s="41">
        <f>26000+9000</f>
        <v>35000</v>
      </c>
      <c r="L32" s="41">
        <f>13000-9000+31000</f>
        <v>35000</v>
      </c>
      <c r="M32" s="41">
        <v>35000</v>
      </c>
      <c r="N32" s="41">
        <v>35000</v>
      </c>
      <c r="O32" s="41">
        <v>50000</v>
      </c>
      <c r="P32" s="99">
        <v>50000</v>
      </c>
      <c r="Q32" s="94">
        <v>80000</v>
      </c>
      <c r="R32" s="90">
        <v>80000</v>
      </c>
      <c r="S32" s="90">
        <f>80000+60000</f>
        <v>140000</v>
      </c>
      <c r="T32" s="90">
        <v>140000</v>
      </c>
      <c r="U32" s="90">
        <f>250000+150000</f>
        <v>400000</v>
      </c>
      <c r="V32" s="90">
        <f>400000+225000</f>
        <v>625000</v>
      </c>
      <c r="W32" s="350">
        <f>850000+150000</f>
        <v>1000000</v>
      </c>
      <c r="X32" s="90"/>
      <c r="Y32" s="90"/>
      <c r="Z32" s="90"/>
      <c r="AA32" s="90"/>
      <c r="AB32" s="99"/>
      <c r="AC32" s="115">
        <f t="shared" si="1"/>
        <v>2825000</v>
      </c>
    </row>
    <row r="33" spans="1:29" s="52" customFormat="1" ht="20.100000000000001" customHeight="1" x14ac:dyDescent="0.25">
      <c r="A33" s="56" t="s">
        <v>28</v>
      </c>
      <c r="B33" s="57" t="s">
        <v>30</v>
      </c>
      <c r="C33" s="58" t="str">
        <f>IF(SUMIFS(Vigilancia!$E:$E,Vigilancia!$F:$F,A33,Vigilancia!$J:$J,"Vigilancia")=AC33,"ü","û")</f>
        <v>ü</v>
      </c>
      <c r="D33" s="100"/>
      <c r="E33" s="106">
        <f>4500+10000</f>
        <v>14500</v>
      </c>
      <c r="F33" s="43">
        <v>10500</v>
      </c>
      <c r="G33" s="43">
        <v>10500</v>
      </c>
      <c r="H33" s="43">
        <v>10500</v>
      </c>
      <c r="I33" s="43">
        <v>20000</v>
      </c>
      <c r="J33" s="43">
        <v>20000</v>
      </c>
      <c r="K33" s="43">
        <v>25000</v>
      </c>
      <c r="L33" s="43">
        <v>20000</v>
      </c>
      <c r="M33" s="43">
        <v>20000</v>
      </c>
      <c r="N33" s="43">
        <v>20000</v>
      </c>
      <c r="O33" s="43">
        <v>32000</v>
      </c>
      <c r="P33" s="100">
        <v>30000</v>
      </c>
      <c r="Q33" s="93">
        <v>50000</v>
      </c>
      <c r="R33" s="89">
        <v>50000</v>
      </c>
      <c r="S33" s="89">
        <f>50000+50000</f>
        <v>100000</v>
      </c>
      <c r="T33" s="89">
        <v>100000</v>
      </c>
      <c r="U33" s="89">
        <v>200000</v>
      </c>
      <c r="V33" s="89">
        <v>600000</v>
      </c>
      <c r="W33" s="89">
        <v>600000</v>
      </c>
      <c r="X33" s="89"/>
      <c r="Y33" s="89"/>
      <c r="Z33" s="89"/>
      <c r="AA33" s="89"/>
      <c r="AB33" s="100"/>
      <c r="AC33" s="114">
        <f t="shared" si="1"/>
        <v>1933000</v>
      </c>
    </row>
    <row r="34" spans="1:29" s="52" customFormat="1" ht="20.100000000000001" customHeight="1" x14ac:dyDescent="0.25">
      <c r="A34" s="56" t="s">
        <v>118</v>
      </c>
      <c r="B34" s="57" t="s">
        <v>120</v>
      </c>
      <c r="C34" s="58" t="str">
        <f>IF(SUMIFS(Vigilancia!$E:$E,Vigilancia!$F:$F,A34,Vigilancia!$J:$J,"Vigilancia")=AC34,"ü","û")</f>
        <v>ü</v>
      </c>
      <c r="D34" s="100"/>
      <c r="E34" s="106">
        <f>7960+2040</f>
        <v>10000</v>
      </c>
      <c r="F34" s="43">
        <v>10000</v>
      </c>
      <c r="G34" s="43">
        <v>10000</v>
      </c>
      <c r="H34" s="43">
        <v>10000</v>
      </c>
      <c r="I34" s="43">
        <v>20000</v>
      </c>
      <c r="J34" s="43">
        <v>20000</v>
      </c>
      <c r="K34" s="43">
        <v>20000</v>
      </c>
      <c r="L34" s="43">
        <v>20000</v>
      </c>
      <c r="M34" s="43">
        <v>20000</v>
      </c>
      <c r="N34" s="43">
        <v>20000</v>
      </c>
      <c r="O34" s="43">
        <v>15000</v>
      </c>
      <c r="P34" s="100">
        <v>45000</v>
      </c>
      <c r="Q34" s="93">
        <v>50000</v>
      </c>
      <c r="R34" s="89">
        <v>80000</v>
      </c>
      <c r="S34" s="89">
        <v>100000</v>
      </c>
      <c r="T34" s="89">
        <v>100000</v>
      </c>
      <c r="U34" s="89">
        <v>250000</v>
      </c>
      <c r="V34" s="89">
        <v>400000</v>
      </c>
      <c r="W34" s="89">
        <v>1000000</v>
      </c>
      <c r="X34" s="89"/>
      <c r="Y34" s="89"/>
      <c r="Z34" s="89"/>
      <c r="AA34" s="89"/>
      <c r="AB34" s="100"/>
      <c r="AC34" s="114">
        <f t="shared" si="1"/>
        <v>2200000</v>
      </c>
    </row>
    <row r="35" spans="1:29" s="52" customFormat="1" ht="20.100000000000001" customHeight="1" x14ac:dyDescent="0.25">
      <c r="A35" s="53" t="s">
        <v>354</v>
      </c>
      <c r="B35" s="54" t="s">
        <v>356</v>
      </c>
      <c r="C35" s="59" t="str">
        <f>IF(SUMIFS(Vigilancia!$E:$E,Vigilancia!$F:$F,A35,Vigilancia!$J:$J,"Vigilancia")=AC35,"ü","û")</f>
        <v>ü</v>
      </c>
      <c r="D35" s="99"/>
      <c r="E35" s="105">
        <v>17000</v>
      </c>
      <c r="F35" s="41">
        <v>17000</v>
      </c>
      <c r="G35" s="41">
        <v>17000</v>
      </c>
      <c r="H35" s="41">
        <v>17000</v>
      </c>
      <c r="I35" s="41">
        <v>26000</v>
      </c>
      <c r="J35" s="41">
        <v>26000</v>
      </c>
      <c r="K35" s="43">
        <v>30000</v>
      </c>
      <c r="L35" s="43">
        <v>30000</v>
      </c>
      <c r="M35" s="41">
        <v>35000</v>
      </c>
      <c r="N35" s="41">
        <v>35000</v>
      </c>
      <c r="O35" s="41">
        <v>50000</v>
      </c>
      <c r="P35" s="99">
        <v>50000</v>
      </c>
      <c r="Q35" s="94">
        <v>80000</v>
      </c>
      <c r="R35" s="90">
        <v>80000</v>
      </c>
      <c r="S35" s="90">
        <f>80000+60000</f>
        <v>140000</v>
      </c>
      <c r="T35" s="90">
        <f>80000+60000</f>
        <v>140000</v>
      </c>
      <c r="U35" s="90">
        <v>400000</v>
      </c>
      <c r="V35" s="90">
        <v>625000</v>
      </c>
      <c r="W35" s="134">
        <f>850000</f>
        <v>850000</v>
      </c>
      <c r="X35" s="137">
        <f>850000</f>
        <v>850000</v>
      </c>
      <c r="Y35" s="90"/>
      <c r="Z35" s="90"/>
      <c r="AA35" s="90"/>
      <c r="AB35" s="99"/>
      <c r="AC35" s="115">
        <f t="shared" si="1"/>
        <v>3515000</v>
      </c>
    </row>
    <row r="36" spans="1:29" s="52" customFormat="1" ht="20.100000000000001" customHeight="1" x14ac:dyDescent="0.25">
      <c r="A36" s="53" t="s">
        <v>18</v>
      </c>
      <c r="B36" s="54" t="s">
        <v>20</v>
      </c>
      <c r="C36" s="59" t="str">
        <f>IF(SUMIFS(Vigilancia!$E:$E,Vigilancia!$F:$F,A36,Vigilancia!$J:$J,"Vigilancia")=AC36,"ü","û")</f>
        <v>ü</v>
      </c>
      <c r="D36" s="99"/>
      <c r="E36" s="105">
        <f>10500+6500</f>
        <v>17000</v>
      </c>
      <c r="F36" s="41">
        <v>17000</v>
      </c>
      <c r="G36" s="41">
        <v>17000</v>
      </c>
      <c r="H36" s="41">
        <v>17000</v>
      </c>
      <c r="I36" s="41">
        <v>26000</v>
      </c>
      <c r="J36" s="41">
        <v>26000</v>
      </c>
      <c r="K36" s="41">
        <f>26000+9000</f>
        <v>35000</v>
      </c>
      <c r="L36" s="41">
        <v>35000</v>
      </c>
      <c r="M36" s="41">
        <v>35000</v>
      </c>
      <c r="N36" s="41">
        <v>35000</v>
      </c>
      <c r="O36" s="41">
        <v>50000</v>
      </c>
      <c r="P36" s="99">
        <v>50000</v>
      </c>
      <c r="Q36" s="94">
        <v>80000</v>
      </c>
      <c r="R36" s="90">
        <v>80000</v>
      </c>
      <c r="S36" s="90">
        <v>140000</v>
      </c>
      <c r="T36" s="90">
        <v>140000</v>
      </c>
      <c r="U36" s="90">
        <v>400000</v>
      </c>
      <c r="V36" s="90">
        <f>400000+225000</f>
        <v>625000</v>
      </c>
      <c r="W36" s="90">
        <v>1000000</v>
      </c>
      <c r="X36" s="90">
        <v>1200000</v>
      </c>
      <c r="Y36" s="90"/>
      <c r="Z36" s="90"/>
      <c r="AA36" s="90"/>
      <c r="AB36" s="99"/>
      <c r="AC36" s="115">
        <f t="shared" si="1"/>
        <v>4025000</v>
      </c>
    </row>
    <row r="37" spans="1:29" s="52" customFormat="1" ht="20.100000000000001" customHeight="1" x14ac:dyDescent="0.25">
      <c r="A37" s="53" t="s">
        <v>324</v>
      </c>
      <c r="B37" s="54" t="s">
        <v>326</v>
      </c>
      <c r="C37" s="59" t="str">
        <f>IF(SUMIFS(Vigilancia!$E:$E,Vigilancia!$F:$F,A37,Vigilancia!$J:$J,"Vigilancia")=AC37,"ü","û")</f>
        <v>ü</v>
      </c>
      <c r="D37" s="99"/>
      <c r="E37" s="107">
        <v>10500</v>
      </c>
      <c r="F37" s="42">
        <v>16000</v>
      </c>
      <c r="G37" s="42">
        <v>16000</v>
      </c>
      <c r="H37" s="42">
        <f>2000+10000+5100</f>
        <v>17100</v>
      </c>
      <c r="I37" s="41">
        <v>26000</v>
      </c>
      <c r="J37" s="41">
        <v>26000</v>
      </c>
      <c r="K37" s="41">
        <v>30000</v>
      </c>
      <c r="L37" s="41">
        <v>30000</v>
      </c>
      <c r="M37" s="41">
        <v>35000</v>
      </c>
      <c r="N37" s="41">
        <v>35000</v>
      </c>
      <c r="O37" s="41">
        <f>1000+4850+44150</f>
        <v>50000</v>
      </c>
      <c r="P37" s="99">
        <v>50000</v>
      </c>
      <c r="Q37" s="94">
        <f>5850+74150</f>
        <v>80000</v>
      </c>
      <c r="R37" s="90">
        <v>80000</v>
      </c>
      <c r="S37" s="90">
        <f>80000+60000</f>
        <v>140000</v>
      </c>
      <c r="T37" s="90">
        <f>80000+20000+40000</f>
        <v>140000</v>
      </c>
      <c r="U37" s="90">
        <v>400000</v>
      </c>
      <c r="V37" s="90">
        <f>400000+225000</f>
        <v>625000</v>
      </c>
      <c r="W37" s="90">
        <f>400000+450000+150000</f>
        <v>1000000</v>
      </c>
      <c r="X37" s="90"/>
      <c r="Y37" s="90"/>
      <c r="Z37" s="90"/>
      <c r="AA37" s="90"/>
      <c r="AB37" s="99"/>
      <c r="AC37" s="115">
        <f t="shared" si="1"/>
        <v>2806600</v>
      </c>
    </row>
    <row r="38" spans="1:29" s="52" customFormat="1" ht="20.100000000000001" customHeight="1" x14ac:dyDescent="0.25">
      <c r="A38" s="53" t="s">
        <v>480</v>
      </c>
      <c r="B38" s="54" t="s">
        <v>482</v>
      </c>
      <c r="C38" s="59" t="str">
        <f>IF(SUMIFS(Vigilancia!$E:$E,Vigilancia!$F:$F,A38,Vigilancia!$J:$J,"Vigilancia")=AC38,"ü","û")</f>
        <v>ü</v>
      </c>
      <c r="D38" s="99"/>
      <c r="E38" s="105">
        <v>17000</v>
      </c>
      <c r="F38" s="41">
        <v>17000</v>
      </c>
      <c r="G38" s="41">
        <v>17000</v>
      </c>
      <c r="H38" s="41">
        <v>17000</v>
      </c>
      <c r="I38" s="41">
        <v>26000</v>
      </c>
      <c r="J38" s="161" t="s">
        <v>490</v>
      </c>
      <c r="K38" s="161" t="s">
        <v>490</v>
      </c>
      <c r="L38" s="161" t="s">
        <v>490</v>
      </c>
      <c r="M38" s="161" t="s">
        <v>490</v>
      </c>
      <c r="N38" s="161" t="s">
        <v>490</v>
      </c>
      <c r="O38" s="161" t="s">
        <v>490</v>
      </c>
      <c r="P38" s="139" t="s">
        <v>490</v>
      </c>
      <c r="Q38" s="94">
        <v>80000</v>
      </c>
      <c r="R38" s="90">
        <v>80000</v>
      </c>
      <c r="S38" s="90">
        <v>140000</v>
      </c>
      <c r="T38" s="90">
        <v>140000</v>
      </c>
      <c r="U38" s="90">
        <v>400000</v>
      </c>
      <c r="V38" s="134">
        <f>400000</f>
        <v>400000</v>
      </c>
      <c r="W38" s="90"/>
      <c r="X38" s="90"/>
      <c r="Y38" s="90"/>
      <c r="Z38" s="90"/>
      <c r="AA38" s="90"/>
      <c r="AB38" s="99"/>
      <c r="AC38" s="115">
        <f t="shared" si="1"/>
        <v>1334000</v>
      </c>
    </row>
    <row r="39" spans="1:29" s="52" customFormat="1" ht="20.100000000000001" customHeight="1" x14ac:dyDescent="0.25">
      <c r="A39" s="53" t="s">
        <v>455</v>
      </c>
      <c r="B39" s="54" t="s">
        <v>456</v>
      </c>
      <c r="C39" s="59" t="str">
        <f>IF(SUMIFS(Vigilancia!$E:$E,Vigilancia!$F:$F,A39,Vigilancia!$J:$J,"Vigilancia")=AC39,"ü","û")</f>
        <v>ü</v>
      </c>
      <c r="D39" s="99"/>
      <c r="E39" s="105"/>
      <c r="F39" s="41"/>
      <c r="G39" s="41"/>
      <c r="H39" s="41"/>
      <c r="I39" s="41"/>
      <c r="J39" s="41"/>
      <c r="K39" s="41"/>
      <c r="L39" s="41"/>
      <c r="M39" s="41"/>
      <c r="N39" s="41"/>
      <c r="O39" s="41"/>
      <c r="P39" s="99"/>
      <c r="Q39" s="94"/>
      <c r="R39" s="90"/>
      <c r="S39" s="90"/>
      <c r="T39" s="90"/>
      <c r="U39" s="90"/>
      <c r="V39" s="90"/>
      <c r="W39" s="90">
        <v>1000000</v>
      </c>
      <c r="X39" s="90"/>
      <c r="Y39" s="90"/>
      <c r="Z39" s="90"/>
      <c r="AA39" s="90"/>
      <c r="AB39" s="99"/>
      <c r="AC39" s="115">
        <f t="shared" si="1"/>
        <v>1000000</v>
      </c>
    </row>
    <row r="40" spans="1:29" s="52" customFormat="1" ht="20.100000000000001" customHeight="1" x14ac:dyDescent="0.25">
      <c r="A40" s="163" t="s">
        <v>148</v>
      </c>
      <c r="B40" s="164" t="s">
        <v>150</v>
      </c>
      <c r="C40" s="59" t="str">
        <f>IF(SUMIFS(Vigilancia!$E:$E,Vigilancia!$F:$F,A40,Vigilancia!$J:$J,"Vigilancia")=AC40,"ü","û")</f>
        <v>ü</v>
      </c>
      <c r="D40" s="99"/>
      <c r="E40" s="105">
        <v>17000</v>
      </c>
      <c r="F40" s="41">
        <v>17000</v>
      </c>
      <c r="G40" s="41">
        <v>17000</v>
      </c>
      <c r="H40" s="41">
        <v>17000</v>
      </c>
      <c r="I40" s="41">
        <v>26000</v>
      </c>
      <c r="J40" s="41">
        <v>26000</v>
      </c>
      <c r="K40" s="41">
        <v>35000</v>
      </c>
      <c r="L40" s="41">
        <f>1000+34000</f>
        <v>35000</v>
      </c>
      <c r="M40" s="41">
        <f>1000+34000</f>
        <v>35000</v>
      </c>
      <c r="N40" s="41">
        <f>1000+34000</f>
        <v>35000</v>
      </c>
      <c r="O40" s="41">
        <v>50000</v>
      </c>
      <c r="P40" s="99">
        <v>50000</v>
      </c>
      <c r="Q40" s="94">
        <v>80000</v>
      </c>
      <c r="R40" s="90">
        <v>80000</v>
      </c>
      <c r="S40" s="134">
        <v>35000</v>
      </c>
      <c r="T40" s="134"/>
      <c r="U40" s="245" t="s">
        <v>843</v>
      </c>
      <c r="V40" s="198"/>
      <c r="W40" s="198"/>
      <c r="X40" s="198"/>
      <c r="Y40" s="198"/>
      <c r="Z40" s="198"/>
      <c r="AA40" s="198"/>
      <c r="AB40" s="199"/>
      <c r="AC40" s="200">
        <f t="shared" si="1"/>
        <v>555000</v>
      </c>
    </row>
    <row r="41" spans="1:29" s="52" customFormat="1" ht="20.100000000000001" customHeight="1" x14ac:dyDescent="0.25">
      <c r="A41" s="53" t="s">
        <v>698</v>
      </c>
      <c r="B41" s="54" t="s">
        <v>150</v>
      </c>
      <c r="C41" s="59" t="str">
        <f>IF(SUMIFS(Vigilancia!$E:$E,Vigilancia!$F:$F,A41,Vigilancia!$J:$J,"Vigilancia")=AC41,"ü","û")</f>
        <v>ü</v>
      </c>
      <c r="D41" s="182"/>
      <c r="E41" s="183"/>
      <c r="F41" s="184"/>
      <c r="G41" s="184"/>
      <c r="H41" s="184"/>
      <c r="I41" s="184"/>
      <c r="J41" s="184"/>
      <c r="K41" s="184"/>
      <c r="L41" s="184"/>
      <c r="M41" s="184"/>
      <c r="N41" s="184"/>
      <c r="O41" s="184"/>
      <c r="P41" s="182"/>
      <c r="Q41" s="185"/>
      <c r="R41" s="186"/>
      <c r="S41" s="186"/>
      <c r="T41" s="186"/>
      <c r="U41" s="90">
        <v>400000</v>
      </c>
      <c r="V41" s="90">
        <f>400000+225000</f>
        <v>625000</v>
      </c>
      <c r="W41" s="350">
        <f>850000+150000</f>
        <v>1000000</v>
      </c>
      <c r="X41" s="90">
        <v>1200000</v>
      </c>
      <c r="Y41" s="90"/>
      <c r="Z41" s="90"/>
      <c r="AA41" s="90"/>
      <c r="AB41" s="99"/>
      <c r="AC41" s="115">
        <f t="shared" si="1"/>
        <v>3225000</v>
      </c>
    </row>
    <row r="42" spans="1:29" s="52" customFormat="1" ht="20.100000000000001" customHeight="1" x14ac:dyDescent="0.25">
      <c r="A42" s="56" t="s">
        <v>342</v>
      </c>
      <c r="B42" s="57" t="s">
        <v>344</v>
      </c>
      <c r="C42" s="58" t="str">
        <f>IF(SUMIFS(Vigilancia!$E:$E,Vigilancia!$F:$F,A42,Vigilancia!$J:$J,"Vigilancia")=AC42,"ü","û")</f>
        <v>ü</v>
      </c>
      <c r="D42" s="100"/>
      <c r="E42" s="106">
        <v>15000</v>
      </c>
      <c r="F42" s="43">
        <v>15000</v>
      </c>
      <c r="G42" s="43">
        <v>15000</v>
      </c>
      <c r="H42" s="43">
        <v>22000</v>
      </c>
      <c r="I42" s="43">
        <v>22000</v>
      </c>
      <c r="J42" s="43">
        <v>22000</v>
      </c>
      <c r="K42" s="43">
        <v>25000</v>
      </c>
      <c r="L42" s="43">
        <v>30000</v>
      </c>
      <c r="M42" s="43">
        <v>30000</v>
      </c>
      <c r="N42" s="43">
        <v>30000</v>
      </c>
      <c r="O42" s="43">
        <v>40000</v>
      </c>
      <c r="P42" s="100">
        <v>40000</v>
      </c>
      <c r="Q42" s="93">
        <v>70000</v>
      </c>
      <c r="R42" s="89">
        <v>70000</v>
      </c>
      <c r="S42" s="89">
        <v>70000</v>
      </c>
      <c r="T42" s="89">
        <v>70000</v>
      </c>
      <c r="U42" s="90">
        <v>400000</v>
      </c>
      <c r="V42" s="90">
        <f>400000+225000</f>
        <v>625000</v>
      </c>
      <c r="W42" s="90">
        <f>400000+600000</f>
        <v>1000000</v>
      </c>
      <c r="X42" s="350">
        <f>400000+800000</f>
        <v>1200000</v>
      </c>
      <c r="Y42" s="90"/>
      <c r="Z42" s="90"/>
      <c r="AA42" s="90"/>
      <c r="AB42" s="99"/>
      <c r="AC42" s="115">
        <f t="shared" si="1"/>
        <v>3811000</v>
      </c>
    </row>
    <row r="43" spans="1:29" s="52" customFormat="1" ht="20.100000000000001" customHeight="1" x14ac:dyDescent="0.25">
      <c r="A43" s="56" t="s">
        <v>284</v>
      </c>
      <c r="B43" s="57" t="s">
        <v>285</v>
      </c>
      <c r="C43" s="58" t="str">
        <f>IF(SUMIFS(Vigilancia!$E:$E,Vigilancia!$F:$F,A43,Vigilancia!$J:$J,"Vigilancia")=AC43,"ü","û")</f>
        <v>ü</v>
      </c>
      <c r="D43" s="100"/>
      <c r="E43" s="106">
        <v>10000</v>
      </c>
      <c r="F43" s="43">
        <v>10000</v>
      </c>
      <c r="G43" s="43">
        <v>14000</v>
      </c>
      <c r="H43" s="43">
        <v>17000</v>
      </c>
      <c r="I43" s="43">
        <v>10000</v>
      </c>
      <c r="J43" s="43">
        <v>10000</v>
      </c>
      <c r="K43" s="43">
        <v>10000</v>
      </c>
      <c r="L43" s="43">
        <v>10000</v>
      </c>
      <c r="M43" s="43"/>
      <c r="N43" s="43"/>
      <c r="O43" s="43"/>
      <c r="P43" s="100"/>
      <c r="Q43" s="94">
        <v>80000</v>
      </c>
      <c r="R43" s="90">
        <v>80000</v>
      </c>
      <c r="S43" s="90">
        <v>140000</v>
      </c>
      <c r="T43" s="90">
        <v>140000</v>
      </c>
      <c r="U43" s="90">
        <f>60000+340000</f>
        <v>400000</v>
      </c>
      <c r="V43" s="90">
        <v>625000</v>
      </c>
      <c r="W43" s="350">
        <f>850000+150000</f>
        <v>1000000</v>
      </c>
      <c r="X43" s="90"/>
      <c r="Y43" s="90"/>
      <c r="Z43" s="90"/>
      <c r="AA43" s="90"/>
      <c r="AB43" s="99"/>
      <c r="AC43" s="115">
        <f t="shared" si="1"/>
        <v>2556000</v>
      </c>
    </row>
    <row r="44" spans="1:29" s="52" customFormat="1" ht="20.100000000000001" customHeight="1" x14ac:dyDescent="0.25">
      <c r="A44" s="53" t="s">
        <v>844</v>
      </c>
      <c r="B44" s="54" t="s">
        <v>845</v>
      </c>
      <c r="C44" s="59" t="str">
        <f>IF(SUMIFS(Vigilancia!$E:$E,Vigilancia!$F:$F,A44,Vigilancia!$J:$J,"Vigilancia")=AC44,"ü","û")</f>
        <v>ü</v>
      </c>
      <c r="D44" s="99"/>
      <c r="E44" s="105"/>
      <c r="F44" s="41"/>
      <c r="G44" s="41"/>
      <c r="H44" s="41"/>
      <c r="I44" s="41"/>
      <c r="J44" s="41"/>
      <c r="K44" s="41"/>
      <c r="L44" s="41"/>
      <c r="M44" s="41"/>
      <c r="N44" s="41"/>
      <c r="O44" s="41"/>
      <c r="P44" s="99"/>
      <c r="Q44" s="94"/>
      <c r="R44" s="90"/>
      <c r="S44" s="90"/>
      <c r="T44" s="90"/>
      <c r="U44" s="90"/>
      <c r="V44" s="90"/>
      <c r="W44" s="90"/>
      <c r="X44" s="90"/>
      <c r="Y44" s="90"/>
      <c r="Z44" s="90"/>
      <c r="AA44" s="90"/>
      <c r="AB44" s="99"/>
      <c r="AC44" s="115">
        <f t="shared" si="1"/>
        <v>0</v>
      </c>
    </row>
    <row r="45" spans="1:29" s="52" customFormat="1" ht="20.100000000000001" customHeight="1" x14ac:dyDescent="0.25">
      <c r="A45" s="163" t="s">
        <v>846</v>
      </c>
      <c r="B45" s="164" t="s">
        <v>775</v>
      </c>
      <c r="C45" s="59" t="str">
        <f>IF(SUMIFS(Vigilancia!$E:$E,Vigilancia!$F:$F,A45,Vigilancia!$J:$J,"Vigilancia")=AC45,"ü","û")</f>
        <v>ü</v>
      </c>
      <c r="D45" s="99"/>
      <c r="E45" s="105"/>
      <c r="F45" s="41"/>
      <c r="G45" s="41"/>
      <c r="H45" s="41"/>
      <c r="I45" s="41"/>
      <c r="J45" s="41"/>
      <c r="K45" s="41"/>
      <c r="L45" s="41"/>
      <c r="M45" s="41"/>
      <c r="N45" s="41"/>
      <c r="O45" s="41"/>
      <c r="P45" s="99"/>
      <c r="Q45" s="94"/>
      <c r="R45" s="90"/>
      <c r="S45" s="90"/>
      <c r="T45" s="90"/>
      <c r="U45" s="90"/>
      <c r="V45" s="90"/>
      <c r="W45" s="258" t="s">
        <v>847</v>
      </c>
      <c r="X45" s="246"/>
      <c r="Y45" s="198"/>
      <c r="Z45" s="198"/>
      <c r="AA45" s="198"/>
      <c r="AB45" s="199"/>
      <c r="AC45" s="200">
        <f t="shared" si="1"/>
        <v>0</v>
      </c>
    </row>
    <row r="46" spans="1:29" s="52" customFormat="1" ht="20.100000000000001" customHeight="1" x14ac:dyDescent="0.25">
      <c r="A46" s="53" t="s">
        <v>773</v>
      </c>
      <c r="B46" s="54" t="s">
        <v>775</v>
      </c>
      <c r="C46" s="59" t="str">
        <f>IF(SUMIFS(Vigilancia!$E:$E,Vigilancia!$F:$F,A46,Vigilancia!$J:$J,"Vigilancia")=AC46,"ü","û")</f>
        <v>ü</v>
      </c>
      <c r="D46" s="179"/>
      <c r="E46" s="259"/>
      <c r="F46" s="180"/>
      <c r="G46" s="180"/>
      <c r="H46" s="180"/>
      <c r="I46" s="180"/>
      <c r="J46" s="180"/>
      <c r="K46" s="180"/>
      <c r="L46" s="180"/>
      <c r="M46" s="180"/>
      <c r="N46" s="180"/>
      <c r="O46" s="180"/>
      <c r="P46" s="179"/>
      <c r="Q46" s="260"/>
      <c r="R46" s="261"/>
      <c r="S46" s="261"/>
      <c r="T46" s="261"/>
      <c r="U46" s="261"/>
      <c r="V46" s="261"/>
      <c r="W46" s="41">
        <v>1000000</v>
      </c>
      <c r="X46" s="41">
        <v>1200000</v>
      </c>
      <c r="Y46" s="90"/>
      <c r="Z46" s="90"/>
      <c r="AA46" s="90"/>
      <c r="AB46" s="99"/>
      <c r="AC46" s="115">
        <f>SUM(D46:AB46)</f>
        <v>2200000</v>
      </c>
    </row>
    <row r="47" spans="1:29" s="52" customFormat="1" ht="20.100000000000001" customHeight="1" x14ac:dyDescent="0.25">
      <c r="A47" s="53" t="s">
        <v>70</v>
      </c>
      <c r="B47" s="54" t="s">
        <v>72</v>
      </c>
      <c r="C47" s="59" t="str">
        <f>IF(SUMIFS(Vigilancia!$E:$E,Vigilancia!$F:$F,A47,Vigilancia!$J:$J,"Vigilancia")=AC47,"ü","û")</f>
        <v>ü</v>
      </c>
      <c r="D47" s="99"/>
      <c r="E47" s="105">
        <f>10500+6500</f>
        <v>17000</v>
      </c>
      <c r="F47" s="41">
        <v>17000</v>
      </c>
      <c r="G47" s="41">
        <v>17000</v>
      </c>
      <c r="H47" s="41">
        <v>17000</v>
      </c>
      <c r="I47" s="41">
        <v>26000</v>
      </c>
      <c r="J47" s="41">
        <v>26000</v>
      </c>
      <c r="K47" s="41">
        <f>26000+9000</f>
        <v>35000</v>
      </c>
      <c r="L47" s="41">
        <v>35000</v>
      </c>
      <c r="M47" s="41">
        <v>35000</v>
      </c>
      <c r="N47" s="41">
        <v>35000</v>
      </c>
      <c r="O47" s="41">
        <v>50000</v>
      </c>
      <c r="P47" s="99">
        <v>50000</v>
      </c>
      <c r="Q47" s="94">
        <f>50000+30000</f>
        <v>80000</v>
      </c>
      <c r="R47" s="90">
        <v>80000</v>
      </c>
      <c r="S47" s="90">
        <v>140000</v>
      </c>
      <c r="T47" s="90">
        <v>140000</v>
      </c>
      <c r="U47" s="90">
        <v>400000</v>
      </c>
      <c r="V47" s="90">
        <f>400000+225000</f>
        <v>625000</v>
      </c>
      <c r="W47" s="256">
        <v>1000000</v>
      </c>
      <c r="X47" s="41">
        <v>1200000</v>
      </c>
      <c r="Y47" s="90"/>
      <c r="Z47" s="90"/>
      <c r="AA47" s="90"/>
      <c r="AB47" s="99"/>
      <c r="AC47" s="115">
        <f t="shared" si="1"/>
        <v>4025000</v>
      </c>
    </row>
    <row r="48" spans="1:29" s="52" customFormat="1" ht="20.100000000000001" customHeight="1" x14ac:dyDescent="0.25">
      <c r="A48" s="53" t="s">
        <v>107</v>
      </c>
      <c r="B48" s="54" t="s">
        <v>109</v>
      </c>
      <c r="C48" s="59" t="str">
        <f>IF(SUMIFS(Vigilancia!$E:$E,Vigilancia!$F:$F,A48,Vigilancia!$J:$J,"Vigilancia")=AC48,"ü","û")</f>
        <v>ü</v>
      </c>
      <c r="D48" s="99"/>
      <c r="E48" s="105">
        <v>17000</v>
      </c>
      <c r="F48" s="41">
        <v>17000</v>
      </c>
      <c r="G48" s="41">
        <v>17000</v>
      </c>
      <c r="H48" s="41">
        <v>17000</v>
      </c>
      <c r="I48" s="41">
        <v>26000</v>
      </c>
      <c r="J48" s="41">
        <v>26000</v>
      </c>
      <c r="K48" s="41">
        <f>26000+9000</f>
        <v>35000</v>
      </c>
      <c r="L48" s="41">
        <v>35000</v>
      </c>
      <c r="M48" s="41">
        <v>35000</v>
      </c>
      <c r="N48" s="41">
        <v>35000</v>
      </c>
      <c r="O48" s="41">
        <v>50000</v>
      </c>
      <c r="P48" s="99">
        <v>50000</v>
      </c>
      <c r="Q48" s="94">
        <v>80000</v>
      </c>
      <c r="R48" s="90">
        <v>80000</v>
      </c>
      <c r="S48" s="90">
        <f>130000+10000</f>
        <v>140000</v>
      </c>
      <c r="T48" s="90">
        <v>140000</v>
      </c>
      <c r="U48" s="90">
        <v>400000</v>
      </c>
      <c r="V48" s="90">
        <f>200000+425000</f>
        <v>625000</v>
      </c>
      <c r="W48" s="41">
        <f>1000000-425000+650000</f>
        <v>1225000</v>
      </c>
      <c r="X48" s="41">
        <v>1200000</v>
      </c>
      <c r="Y48" s="90">
        <v>20000</v>
      </c>
      <c r="Z48" s="90"/>
      <c r="AA48" s="90"/>
      <c r="AB48" s="99"/>
      <c r="AC48" s="115">
        <f t="shared" si="1"/>
        <v>4270000</v>
      </c>
    </row>
    <row r="49" spans="1:29" s="52" customFormat="1" ht="20.100000000000001" customHeight="1" x14ac:dyDescent="0.25">
      <c r="A49" s="53" t="s">
        <v>239</v>
      </c>
      <c r="B49" s="54" t="s">
        <v>241</v>
      </c>
      <c r="C49" s="59" t="str">
        <f>IF(SUMIFS(Vigilancia!$E:$E,Vigilancia!$F:$F,A49,Vigilancia!$J:$J,"Vigilancia")=AC49,"ü","û")</f>
        <v>ü</v>
      </c>
      <c r="D49" s="99"/>
      <c r="E49" s="105">
        <f>14000+3000</f>
        <v>17000</v>
      </c>
      <c r="F49" s="41">
        <v>17000</v>
      </c>
      <c r="G49" s="41">
        <v>17000</v>
      </c>
      <c r="H49" s="41">
        <v>17000</v>
      </c>
      <c r="I49" s="41">
        <v>26000</v>
      </c>
      <c r="J49" s="41">
        <v>26000</v>
      </c>
      <c r="K49" s="41">
        <v>35000</v>
      </c>
      <c r="L49" s="41">
        <v>35000</v>
      </c>
      <c r="M49" s="41">
        <v>35000</v>
      </c>
      <c r="N49" s="41">
        <v>35000</v>
      </c>
      <c r="O49" s="41">
        <f>35000+15000</f>
        <v>50000</v>
      </c>
      <c r="P49" s="99">
        <v>20000</v>
      </c>
      <c r="Q49" s="94">
        <v>80000</v>
      </c>
      <c r="R49" s="90">
        <v>80000</v>
      </c>
      <c r="S49" s="90">
        <v>140000</v>
      </c>
      <c r="T49" s="90">
        <v>140000</v>
      </c>
      <c r="U49" s="90">
        <v>400000</v>
      </c>
      <c r="V49" s="90">
        <v>650000</v>
      </c>
      <c r="W49" s="257">
        <v>1000000</v>
      </c>
      <c r="X49" s="41"/>
      <c r="Y49" s="90"/>
      <c r="Z49" s="90"/>
      <c r="AA49" s="90"/>
      <c r="AB49" s="99"/>
      <c r="AC49" s="115">
        <f t="shared" si="1"/>
        <v>2820000</v>
      </c>
    </row>
    <row r="50" spans="1:29" s="52" customFormat="1" ht="20.100000000000001" customHeight="1" x14ac:dyDescent="0.25">
      <c r="A50" s="56" t="s">
        <v>594</v>
      </c>
      <c r="B50" s="57" t="s">
        <v>596</v>
      </c>
      <c r="C50" s="58" t="str">
        <f>IF(SUMIFS(Vigilancia!$E:$E,Vigilancia!$F:$F,A50,Vigilancia!$J:$J,"Vigilancia")=AC50,"ü","û")</f>
        <v>ü</v>
      </c>
      <c r="D50" s="100"/>
      <c r="E50" s="106"/>
      <c r="F50" s="43"/>
      <c r="G50" s="43"/>
      <c r="H50" s="43"/>
      <c r="I50" s="43"/>
      <c r="J50" s="43"/>
      <c r="K50" s="43"/>
      <c r="L50" s="43"/>
      <c r="M50" s="43"/>
      <c r="N50" s="43"/>
      <c r="O50" s="43"/>
      <c r="P50" s="100">
        <v>50000</v>
      </c>
      <c r="Q50" s="93">
        <v>50000</v>
      </c>
      <c r="R50" s="89">
        <v>50000</v>
      </c>
      <c r="S50" s="89">
        <v>50000</v>
      </c>
      <c r="T50" s="89">
        <v>50000</v>
      </c>
      <c r="U50" s="89">
        <v>400000</v>
      </c>
      <c r="V50" s="89">
        <v>400000</v>
      </c>
      <c r="W50" s="89">
        <f>850000+150000</f>
        <v>1000000</v>
      </c>
      <c r="X50" s="89">
        <v>1000000</v>
      </c>
      <c r="Y50" s="89"/>
      <c r="Z50" s="89"/>
      <c r="AA50" s="89"/>
      <c r="AB50" s="100"/>
      <c r="AC50" s="114">
        <f t="shared" si="1"/>
        <v>3050000</v>
      </c>
    </row>
    <row r="51" spans="1:29" s="52" customFormat="1" ht="20.100000000000001" customHeight="1" x14ac:dyDescent="0.25">
      <c r="A51" s="53" t="s">
        <v>44</v>
      </c>
      <c r="B51" s="54" t="s">
        <v>46</v>
      </c>
      <c r="C51" s="59" t="str">
        <f>IF(SUMIFS(Vigilancia!$E:$E,Vigilancia!$F:$F,A51,Vigilancia!$J:$J,"Vigilancia")=AC51,"ü","û")</f>
        <v>ü</v>
      </c>
      <c r="D51" s="99"/>
      <c r="E51" s="107">
        <v>10000</v>
      </c>
      <c r="F51" s="41">
        <v>17000</v>
      </c>
      <c r="G51" s="41">
        <v>17000</v>
      </c>
      <c r="H51" s="41">
        <v>17000</v>
      </c>
      <c r="I51" s="41">
        <v>26000</v>
      </c>
      <c r="J51" s="41">
        <v>27000</v>
      </c>
      <c r="K51" s="41">
        <f>27000+9000</f>
        <v>36000</v>
      </c>
      <c r="L51" s="41">
        <v>35000</v>
      </c>
      <c r="M51" s="41">
        <v>35000</v>
      </c>
      <c r="N51" s="41">
        <v>35000</v>
      </c>
      <c r="O51" s="41">
        <f>35000+15000</f>
        <v>50000</v>
      </c>
      <c r="P51" s="99">
        <v>50000</v>
      </c>
      <c r="Q51" s="94">
        <f>50000+50000</f>
        <v>100000</v>
      </c>
      <c r="R51" s="90">
        <v>100000</v>
      </c>
      <c r="S51" s="90">
        <v>200000</v>
      </c>
      <c r="T51" s="90">
        <v>250000</v>
      </c>
      <c r="U51" s="90">
        <f>300000+100000</f>
        <v>400000</v>
      </c>
      <c r="V51" s="90">
        <f>400000+225000</f>
        <v>625000</v>
      </c>
      <c r="W51" s="90">
        <f>200000+800000</f>
        <v>1000000</v>
      </c>
      <c r="X51" s="350">
        <f>215000+1500000-515000</f>
        <v>1200000</v>
      </c>
      <c r="Y51" s="90">
        <v>515000</v>
      </c>
      <c r="Z51" s="90"/>
      <c r="AA51" s="90"/>
      <c r="AB51" s="99"/>
      <c r="AC51" s="115">
        <f t="shared" si="1"/>
        <v>4745000</v>
      </c>
    </row>
    <row r="52" spans="1:29" s="52" customFormat="1" ht="20.100000000000001" customHeight="1" x14ac:dyDescent="0.25">
      <c r="A52" s="53" t="s">
        <v>411</v>
      </c>
      <c r="B52" s="54" t="s">
        <v>412</v>
      </c>
      <c r="C52" s="59" t="str">
        <f>IF(SUMIFS(Vigilancia!$E:$E,Vigilancia!$F:$F,A52,Vigilancia!$J:$J,"Vigilancia")=AC52,"ü","û")</f>
        <v>ü</v>
      </c>
      <c r="D52" s="99"/>
      <c r="E52" s="105">
        <v>17000</v>
      </c>
      <c r="F52" s="41">
        <v>17000</v>
      </c>
      <c r="G52" s="41">
        <v>17000</v>
      </c>
      <c r="H52" s="41">
        <v>17000</v>
      </c>
      <c r="I52" s="41"/>
      <c r="J52" s="41"/>
      <c r="K52" s="41"/>
      <c r="L52" s="41"/>
      <c r="M52" s="41"/>
      <c r="N52" s="41"/>
      <c r="O52" s="41"/>
      <c r="P52" s="99"/>
      <c r="Q52" s="94"/>
      <c r="R52" s="90"/>
      <c r="S52" s="90"/>
      <c r="T52" s="90"/>
      <c r="U52" s="90">
        <v>400000</v>
      </c>
      <c r="V52" s="134">
        <f>400000</f>
        <v>400000</v>
      </c>
      <c r="W52" s="90">
        <v>1000000</v>
      </c>
      <c r="X52" s="90">
        <v>1200000</v>
      </c>
      <c r="Y52" s="90"/>
      <c r="Z52" s="90"/>
      <c r="AA52" s="90"/>
      <c r="AB52" s="99"/>
      <c r="AC52" s="115">
        <f t="shared" si="1"/>
        <v>3068000</v>
      </c>
    </row>
    <row r="53" spans="1:29" s="52" customFormat="1" ht="20.100000000000001" customHeight="1" x14ac:dyDescent="0.25">
      <c r="A53" s="53" t="s">
        <v>201</v>
      </c>
      <c r="B53" s="54" t="s">
        <v>203</v>
      </c>
      <c r="C53" s="59" t="str">
        <f>IF(SUMIFS(Vigilancia!$E:$E,Vigilancia!$F:$F,A53,Vigilancia!$J:$J,"Vigilancia")=AC53,"ü","û")</f>
        <v>ü</v>
      </c>
      <c r="D53" s="99"/>
      <c r="E53" s="105">
        <v>17000</v>
      </c>
      <c r="F53" s="41">
        <v>17000</v>
      </c>
      <c r="G53" s="41">
        <v>17000</v>
      </c>
      <c r="H53" s="41">
        <v>17000</v>
      </c>
      <c r="I53" s="41">
        <v>26000</v>
      </c>
      <c r="J53" s="41">
        <v>26000</v>
      </c>
      <c r="K53" s="41">
        <f>2000+33000</f>
        <v>35000</v>
      </c>
      <c r="L53" s="41">
        <v>35000</v>
      </c>
      <c r="M53" s="41">
        <v>35000</v>
      </c>
      <c r="N53" s="41">
        <v>35000</v>
      </c>
      <c r="O53" s="41">
        <v>50000</v>
      </c>
      <c r="P53" s="99">
        <v>50000</v>
      </c>
      <c r="Q53" s="94">
        <v>80000</v>
      </c>
      <c r="R53" s="90">
        <v>80000</v>
      </c>
      <c r="S53" s="90">
        <v>140000</v>
      </c>
      <c r="T53" s="90">
        <v>140000</v>
      </c>
      <c r="U53" s="90">
        <v>400000</v>
      </c>
      <c r="V53" s="90">
        <f>400+399600+225000</f>
        <v>625000</v>
      </c>
      <c r="W53" s="90">
        <f>850000+150000</f>
        <v>1000000</v>
      </c>
      <c r="X53" s="90">
        <v>1200000</v>
      </c>
      <c r="Y53" s="90"/>
      <c r="Z53" s="90"/>
      <c r="AA53" s="90"/>
      <c r="AB53" s="99"/>
      <c r="AC53" s="115">
        <f t="shared" si="1"/>
        <v>4025000</v>
      </c>
    </row>
    <row r="54" spans="1:29" s="52" customFormat="1" ht="20.100000000000001" customHeight="1" x14ac:dyDescent="0.25">
      <c r="A54" s="53" t="s">
        <v>66</v>
      </c>
      <c r="B54" s="54" t="s">
        <v>68</v>
      </c>
      <c r="C54" s="59" t="str">
        <f>IF(SUMIFS(Vigilancia!$E:$E,Vigilancia!$F:$F,A54,Vigilancia!$J:$J,"Vigilancia")=AC54,"ü","û")</f>
        <v>ü</v>
      </c>
      <c r="D54" s="99"/>
      <c r="E54" s="107">
        <v>10500</v>
      </c>
      <c r="F54" s="41">
        <v>17000</v>
      </c>
      <c r="G54" s="41">
        <v>22000</v>
      </c>
      <c r="H54" s="41">
        <v>22000</v>
      </c>
      <c r="I54" s="41">
        <v>22000</v>
      </c>
      <c r="J54" s="41">
        <v>26000</v>
      </c>
      <c r="K54" s="41">
        <f>26000+9000</f>
        <v>35000</v>
      </c>
      <c r="L54" s="41">
        <v>35000</v>
      </c>
      <c r="M54" s="41">
        <v>35000</v>
      </c>
      <c r="N54" s="41">
        <v>35000</v>
      </c>
      <c r="O54" s="41">
        <v>50000</v>
      </c>
      <c r="P54" s="99">
        <v>50000</v>
      </c>
      <c r="Q54" s="94">
        <v>80000</v>
      </c>
      <c r="R54" s="90">
        <v>80000</v>
      </c>
      <c r="S54" s="90">
        <v>140000</v>
      </c>
      <c r="T54" s="90">
        <v>140000</v>
      </c>
      <c r="U54" s="90">
        <f>140000+260000</f>
        <v>400000</v>
      </c>
      <c r="V54" s="90">
        <f>400000+225000</f>
        <v>625000</v>
      </c>
      <c r="W54" s="350">
        <f>850000+150000</f>
        <v>1000000</v>
      </c>
      <c r="X54" s="90"/>
      <c r="Y54" s="90"/>
      <c r="Z54" s="90"/>
      <c r="AA54" s="90"/>
      <c r="AB54" s="99"/>
      <c r="AC54" s="115">
        <f t="shared" si="1"/>
        <v>2824500</v>
      </c>
    </row>
    <row r="55" spans="1:29" s="52" customFormat="1" ht="20.100000000000001" customHeight="1" x14ac:dyDescent="0.25">
      <c r="A55" s="56" t="s">
        <v>84</v>
      </c>
      <c r="B55" s="57" t="s">
        <v>86</v>
      </c>
      <c r="C55" s="58" t="str">
        <f>IF(SUMIFS(Vigilancia!$E:$E,Vigilancia!$F:$F,A55,Vigilancia!$J:$J,"Vigilancia")=AC55,"ü","û")</f>
        <v>ü</v>
      </c>
      <c r="D55" s="100"/>
      <c r="E55" s="106">
        <f>6000+4000</f>
        <v>10000</v>
      </c>
      <c r="F55" s="43">
        <v>10000</v>
      </c>
      <c r="G55" s="43">
        <v>10000</v>
      </c>
      <c r="H55" s="43">
        <v>10000</v>
      </c>
      <c r="I55" s="43"/>
      <c r="J55" s="43"/>
      <c r="K55" s="43">
        <v>15000</v>
      </c>
      <c r="L55" s="43">
        <v>15000</v>
      </c>
      <c r="M55" s="43">
        <v>20000</v>
      </c>
      <c r="N55" s="43">
        <v>25000</v>
      </c>
      <c r="O55" s="43">
        <v>30000</v>
      </c>
      <c r="P55" s="100">
        <v>30000</v>
      </c>
      <c r="Q55" s="93">
        <v>30000</v>
      </c>
      <c r="R55" s="89">
        <v>30000</v>
      </c>
      <c r="S55" s="89">
        <v>70000</v>
      </c>
      <c r="T55" s="89">
        <v>80000</v>
      </c>
      <c r="U55" s="89">
        <v>200000</v>
      </c>
      <c r="V55" s="89">
        <f>400000+225000</f>
        <v>625000</v>
      </c>
      <c r="W55" s="89">
        <v>1000000</v>
      </c>
      <c r="X55" s="89">
        <v>1200000</v>
      </c>
      <c r="Y55" s="89"/>
      <c r="Z55" s="89"/>
      <c r="AA55" s="89"/>
      <c r="AB55" s="100"/>
      <c r="AC55" s="114">
        <f t="shared" si="1"/>
        <v>3410000</v>
      </c>
    </row>
    <row r="56" spans="1:29" s="52" customFormat="1" ht="20.100000000000001" customHeight="1" x14ac:dyDescent="0.25">
      <c r="A56" s="53" t="s">
        <v>848</v>
      </c>
      <c r="B56" s="54" t="s">
        <v>849</v>
      </c>
      <c r="C56" s="59" t="str">
        <f>IF(SUMIFS(Vigilancia!$E:$E,Vigilancia!$F:$F,A56,Vigilancia!$J:$J,"Vigilancia")=AC56,"ü","û")</f>
        <v>ü</v>
      </c>
      <c r="D56" s="99"/>
      <c r="E56" s="105"/>
      <c r="F56" s="41"/>
      <c r="G56" s="41"/>
      <c r="H56" s="41"/>
      <c r="I56" s="41"/>
      <c r="J56" s="41"/>
      <c r="K56" s="41"/>
      <c r="L56" s="41"/>
      <c r="M56" s="41"/>
      <c r="N56" s="41"/>
      <c r="O56" s="41"/>
      <c r="P56" s="99"/>
      <c r="Q56" s="94"/>
      <c r="R56" s="90"/>
      <c r="S56" s="90"/>
      <c r="T56" s="90"/>
      <c r="U56" s="90"/>
      <c r="V56" s="90"/>
      <c r="W56" s="90"/>
      <c r="X56" s="90"/>
      <c r="Y56" s="90"/>
      <c r="Z56" s="90"/>
      <c r="AA56" s="90"/>
      <c r="AB56" s="99"/>
      <c r="AC56" s="115">
        <f t="shared" si="1"/>
        <v>0</v>
      </c>
    </row>
    <row r="57" spans="1:29" s="52" customFormat="1" ht="20.100000000000001" customHeight="1" x14ac:dyDescent="0.25">
      <c r="A57" s="53" t="s">
        <v>850</v>
      </c>
      <c r="B57" s="54" t="s">
        <v>851</v>
      </c>
      <c r="C57" s="59" t="str">
        <f>IF(SUMIFS(Vigilancia!$E:$E,Vigilancia!$F:$F,A57,Vigilancia!$J:$J,"Vigilancia")=AC57,"ü","û")</f>
        <v>ü</v>
      </c>
      <c r="D57" s="99"/>
      <c r="E57" s="105"/>
      <c r="F57" s="41"/>
      <c r="G57" s="41"/>
      <c r="H57" s="41"/>
      <c r="I57" s="41"/>
      <c r="J57" s="41"/>
      <c r="K57" s="41"/>
      <c r="L57" s="41"/>
      <c r="M57" s="41"/>
      <c r="N57" s="41"/>
      <c r="O57" s="41"/>
      <c r="P57" s="99"/>
      <c r="Q57" s="94"/>
      <c r="R57" s="90"/>
      <c r="S57" s="90"/>
      <c r="T57" s="90"/>
      <c r="U57" s="90"/>
      <c r="V57" s="90"/>
      <c r="W57" s="90"/>
      <c r="X57" s="90"/>
      <c r="Y57" s="90"/>
      <c r="Z57" s="90"/>
      <c r="AA57" s="90"/>
      <c r="AB57" s="99"/>
      <c r="AC57" s="115">
        <f t="shared" si="1"/>
        <v>0</v>
      </c>
    </row>
    <row r="58" spans="1:29" s="52" customFormat="1" ht="20.100000000000001" customHeight="1" x14ac:dyDescent="0.25">
      <c r="A58" s="53" t="s">
        <v>103</v>
      </c>
      <c r="B58" s="54" t="s">
        <v>105</v>
      </c>
      <c r="C58" s="59" t="str">
        <f>IF(SUMIFS(Vigilancia!$E:$E,Vigilancia!$F:$F,A58,Vigilancia!$J:$J,"Vigilancia")=AC58,"ü","û")</f>
        <v>ü</v>
      </c>
      <c r="D58" s="99"/>
      <c r="E58" s="105">
        <v>17000</v>
      </c>
      <c r="F58" s="41">
        <v>17000</v>
      </c>
      <c r="G58" s="41">
        <v>17000</v>
      </c>
      <c r="H58" s="41">
        <v>17000</v>
      </c>
      <c r="I58" s="41">
        <v>26000</v>
      </c>
      <c r="J58" s="41">
        <v>26000</v>
      </c>
      <c r="K58" s="41">
        <v>35000</v>
      </c>
      <c r="L58" s="41">
        <v>35000</v>
      </c>
      <c r="M58" s="41">
        <v>35000</v>
      </c>
      <c r="N58" s="41">
        <v>35000</v>
      </c>
      <c r="O58" s="41">
        <v>50000</v>
      </c>
      <c r="P58" s="99">
        <v>50000</v>
      </c>
      <c r="Q58" s="94">
        <v>80000</v>
      </c>
      <c r="R58" s="90">
        <v>80000</v>
      </c>
      <c r="S58" s="90">
        <v>140000</v>
      </c>
      <c r="T58" s="90">
        <v>140000</v>
      </c>
      <c r="U58" s="90">
        <v>400000</v>
      </c>
      <c r="V58" s="90">
        <f>400000+250000</f>
        <v>650000</v>
      </c>
      <c r="W58" s="90">
        <v>1000000</v>
      </c>
      <c r="X58" s="90">
        <v>1200000</v>
      </c>
      <c r="Y58" s="90"/>
      <c r="Z58" s="90"/>
      <c r="AA58" s="90"/>
      <c r="AB58" s="99"/>
      <c r="AC58" s="115">
        <f t="shared" si="1"/>
        <v>4050000</v>
      </c>
    </row>
    <row r="59" spans="1:29" s="52" customFormat="1" ht="20.100000000000001" customHeight="1" x14ac:dyDescent="0.25">
      <c r="A59" s="248" t="s">
        <v>319</v>
      </c>
      <c r="B59" s="54" t="s">
        <v>320</v>
      </c>
      <c r="C59" s="59" t="str">
        <f>IF(SUMIFS(Vigilancia!$E:$E,Vigilancia!$F:$F,A59,Vigilancia!$J:$J,"Vigilancia")=AC59,"ü","û")</f>
        <v>ü</v>
      </c>
      <c r="D59" s="99"/>
      <c r="E59" s="105">
        <v>17000</v>
      </c>
      <c r="F59" s="41">
        <v>17000</v>
      </c>
      <c r="G59" s="41">
        <f>3000+14000</f>
        <v>17000</v>
      </c>
      <c r="H59" s="41">
        <v>17000</v>
      </c>
      <c r="I59" s="41">
        <f>17000+9000</f>
        <v>26000</v>
      </c>
      <c r="J59" s="41">
        <v>26000</v>
      </c>
      <c r="K59" s="41">
        <v>35000</v>
      </c>
      <c r="L59" s="41">
        <v>35000</v>
      </c>
      <c r="M59" s="41">
        <v>35000</v>
      </c>
      <c r="N59" s="41">
        <v>35000</v>
      </c>
      <c r="O59" s="41">
        <v>50000</v>
      </c>
      <c r="P59" s="99">
        <v>50000</v>
      </c>
      <c r="Q59" s="94">
        <v>80000</v>
      </c>
      <c r="R59" s="90">
        <v>80000</v>
      </c>
      <c r="S59" s="90">
        <v>140000</v>
      </c>
      <c r="T59" s="90">
        <f>40000+100000</f>
        <v>140000</v>
      </c>
      <c r="U59" s="90">
        <v>400000</v>
      </c>
      <c r="V59" s="90">
        <v>625000</v>
      </c>
      <c r="W59" s="90">
        <v>1000000</v>
      </c>
      <c r="X59" s="90"/>
      <c r="Y59" s="90"/>
      <c r="Z59" s="90"/>
      <c r="AA59" s="90"/>
      <c r="AB59" s="99"/>
      <c r="AC59" s="115">
        <f t="shared" si="1"/>
        <v>2825000</v>
      </c>
    </row>
    <row r="60" spans="1:29" s="52" customFormat="1" ht="20.100000000000001" customHeight="1" x14ac:dyDescent="0.25">
      <c r="A60" s="248" t="s">
        <v>53</v>
      </c>
      <c r="B60" s="54" t="s">
        <v>55</v>
      </c>
      <c r="C60" s="59" t="str">
        <f>IF(SUMIFS(Vigilancia!$E:$E,Vigilancia!$F:$F,A60,Vigilancia!$J:$J,"Vigilancia")=AC60,"ü","û")</f>
        <v>ü</v>
      </c>
      <c r="D60" s="99"/>
      <c r="E60" s="105">
        <f>10500+6500</f>
        <v>17000</v>
      </c>
      <c r="F60" s="41">
        <v>17000</v>
      </c>
      <c r="G60" s="41">
        <v>17000</v>
      </c>
      <c r="H60" s="41">
        <v>17000</v>
      </c>
      <c r="I60" s="41">
        <v>26000</v>
      </c>
      <c r="J60" s="41">
        <v>26000</v>
      </c>
      <c r="K60" s="41">
        <v>35000</v>
      </c>
      <c r="L60" s="41">
        <v>35000</v>
      </c>
      <c r="M60" s="41">
        <v>35000</v>
      </c>
      <c r="N60" s="41">
        <v>35000</v>
      </c>
      <c r="O60" s="41">
        <v>50000</v>
      </c>
      <c r="P60" s="99">
        <v>50000</v>
      </c>
      <c r="Q60" s="94">
        <v>80000</v>
      </c>
      <c r="R60" s="90">
        <v>80000</v>
      </c>
      <c r="S60" s="90">
        <v>150000</v>
      </c>
      <c r="T60" s="90">
        <v>150000</v>
      </c>
      <c r="U60" s="90">
        <v>400000</v>
      </c>
      <c r="V60" s="90">
        <f>400000+225000</f>
        <v>625000</v>
      </c>
      <c r="W60" s="90">
        <v>1000000</v>
      </c>
      <c r="X60" s="90"/>
      <c r="Y60" s="90"/>
      <c r="Z60" s="90"/>
      <c r="AA60" s="90"/>
      <c r="AB60" s="99"/>
      <c r="AC60" s="115">
        <f t="shared" si="1"/>
        <v>2845000</v>
      </c>
    </row>
    <row r="61" spans="1:29" s="52" customFormat="1" ht="20.100000000000001" customHeight="1" x14ac:dyDescent="0.25">
      <c r="A61" s="56" t="s">
        <v>492</v>
      </c>
      <c r="B61" s="57" t="s">
        <v>493</v>
      </c>
      <c r="C61" s="58" t="str">
        <f>IF(SUMIFS(Vigilancia!$E:$E,Vigilancia!$F:$F,A61,Vigilancia!$J:$J,"Vigilancia")=AC61,"ü","û")</f>
        <v>ü</v>
      </c>
      <c r="D61" s="100"/>
      <c r="E61" s="106">
        <v>2000</v>
      </c>
      <c r="F61" s="43">
        <v>2000</v>
      </c>
      <c r="G61" s="43">
        <v>2000</v>
      </c>
      <c r="H61" s="43">
        <v>2000</v>
      </c>
      <c r="I61" s="43">
        <v>2000</v>
      </c>
      <c r="J61" s="43"/>
      <c r="K61" s="43"/>
      <c r="L61" s="43"/>
      <c r="M61" s="43"/>
      <c r="N61" s="43"/>
      <c r="O61" s="43"/>
      <c r="P61" s="100"/>
      <c r="Q61" s="93"/>
      <c r="R61" s="89"/>
      <c r="S61" s="89"/>
      <c r="T61" s="89">
        <v>140000</v>
      </c>
      <c r="U61" s="89">
        <v>100000</v>
      </c>
      <c r="V61" s="89">
        <v>100000</v>
      </c>
      <c r="W61" s="89">
        <v>200000</v>
      </c>
      <c r="X61" s="89"/>
      <c r="Y61" s="89"/>
      <c r="Z61" s="89"/>
      <c r="AA61" s="89"/>
      <c r="AB61" s="100"/>
      <c r="AC61" s="114">
        <f t="shared" si="1"/>
        <v>550000</v>
      </c>
    </row>
    <row r="62" spans="1:29" s="52" customFormat="1" ht="20.100000000000001" customHeight="1" x14ac:dyDescent="0.25">
      <c r="A62" s="53" t="s">
        <v>852</v>
      </c>
      <c r="B62" s="54" t="s">
        <v>853</v>
      </c>
      <c r="C62" s="59" t="str">
        <f>IF(SUMIFS(Vigilancia!$E:$E,Vigilancia!$F:$F,A62,Vigilancia!$J:$J,"Vigilancia")=AC62,"ü","û")</f>
        <v>ü</v>
      </c>
      <c r="D62" s="99"/>
      <c r="E62" s="105"/>
      <c r="F62" s="41"/>
      <c r="G62" s="41"/>
      <c r="H62" s="41"/>
      <c r="I62" s="41"/>
      <c r="J62" s="41"/>
      <c r="K62" s="41"/>
      <c r="L62" s="41"/>
      <c r="M62" s="41"/>
      <c r="N62" s="41"/>
      <c r="O62" s="41"/>
      <c r="P62" s="99"/>
      <c r="Q62" s="94"/>
      <c r="R62" s="90"/>
      <c r="S62" s="90"/>
      <c r="T62" s="90"/>
      <c r="U62" s="90"/>
      <c r="V62" s="90"/>
      <c r="W62" s="90"/>
      <c r="X62" s="90"/>
      <c r="Y62" s="90"/>
      <c r="Z62" s="90"/>
      <c r="AA62" s="90"/>
      <c r="AB62" s="99"/>
      <c r="AC62" s="115">
        <f t="shared" si="1"/>
        <v>0</v>
      </c>
    </row>
    <row r="63" spans="1:29" s="52" customFormat="1" ht="20.100000000000001" customHeight="1" x14ac:dyDescent="0.25">
      <c r="A63" s="53" t="s">
        <v>90</v>
      </c>
      <c r="B63" s="54" t="s">
        <v>92</v>
      </c>
      <c r="C63" s="59" t="str">
        <f>IF(SUMIFS(Vigilancia!$E:$E,Vigilancia!$F:$F,A63,Vigilancia!$J:$J,"Vigilancia")=AC63,"ü","û")</f>
        <v>ü</v>
      </c>
      <c r="D63" s="99"/>
      <c r="E63" s="105">
        <v>17000</v>
      </c>
      <c r="F63" s="41">
        <v>17000</v>
      </c>
      <c r="G63" s="41">
        <v>19000</v>
      </c>
      <c r="H63" s="41">
        <v>17000</v>
      </c>
      <c r="I63" s="41">
        <f>17000+9000</f>
        <v>26000</v>
      </c>
      <c r="J63" s="41">
        <v>26000</v>
      </c>
      <c r="K63" s="41">
        <f>26000+9000</f>
        <v>35000</v>
      </c>
      <c r="L63" s="41">
        <v>35000</v>
      </c>
      <c r="M63" s="41">
        <v>35000</v>
      </c>
      <c r="N63" s="41">
        <v>35000</v>
      </c>
      <c r="O63" s="41">
        <v>50000</v>
      </c>
      <c r="P63" s="99">
        <v>50000</v>
      </c>
      <c r="Q63" s="94">
        <v>80000</v>
      </c>
      <c r="R63" s="90">
        <v>100000</v>
      </c>
      <c r="S63" s="90">
        <v>140000</v>
      </c>
      <c r="T63" s="90">
        <v>140000</v>
      </c>
      <c r="U63" s="90">
        <v>400000</v>
      </c>
      <c r="V63" s="90">
        <f>400000+225000</f>
        <v>625000</v>
      </c>
      <c r="W63" s="90">
        <f>200000+650000+150000</f>
        <v>1000000</v>
      </c>
      <c r="X63" s="134">
        <f>200000-150000</f>
        <v>50000</v>
      </c>
      <c r="Y63" s="90"/>
      <c r="Z63" s="90"/>
      <c r="AA63" s="90"/>
      <c r="AB63" s="99"/>
      <c r="AC63" s="115">
        <f t="shared" si="1"/>
        <v>2897000</v>
      </c>
    </row>
    <row r="64" spans="1:29" s="52" customFormat="1" ht="20.100000000000001" customHeight="1" x14ac:dyDescent="0.25">
      <c r="A64" s="56" t="s">
        <v>398</v>
      </c>
      <c r="B64" s="57" t="s">
        <v>399</v>
      </c>
      <c r="C64" s="58" t="str">
        <f>IF(SUMIFS(Vigilancia!$E:$E,Vigilancia!$F:$F,A64,Vigilancia!$J:$J,"Vigilancia")=AC64,"ü","û")</f>
        <v>ü</v>
      </c>
      <c r="D64" s="100">
        <v>4000</v>
      </c>
      <c r="E64" s="106">
        <v>3000</v>
      </c>
      <c r="F64" s="43">
        <v>3000</v>
      </c>
      <c r="G64" s="43">
        <v>3000</v>
      </c>
      <c r="H64" s="43">
        <v>3000</v>
      </c>
      <c r="I64" s="43">
        <v>3000</v>
      </c>
      <c r="J64" s="43">
        <v>3000</v>
      </c>
      <c r="K64" s="43">
        <v>6000</v>
      </c>
      <c r="L64" s="43">
        <v>6500</v>
      </c>
      <c r="M64" s="43">
        <v>14900</v>
      </c>
      <c r="N64" s="43">
        <v>20000</v>
      </c>
      <c r="O64" s="43">
        <v>18000</v>
      </c>
      <c r="P64" s="100">
        <v>20000</v>
      </c>
      <c r="Q64" s="93">
        <v>20000</v>
      </c>
      <c r="R64" s="89">
        <v>20000</v>
      </c>
      <c r="S64" s="89">
        <v>140000</v>
      </c>
      <c r="T64" s="89">
        <v>140000</v>
      </c>
      <c r="U64" s="89"/>
      <c r="V64" s="89"/>
      <c r="W64" s="89"/>
      <c r="X64" s="89"/>
      <c r="Y64" s="89"/>
      <c r="Z64" s="89"/>
      <c r="AA64" s="89"/>
      <c r="AB64" s="100"/>
      <c r="AC64" s="114">
        <f t="shared" si="1"/>
        <v>427400</v>
      </c>
    </row>
    <row r="65" spans="1:29" s="52" customFormat="1" ht="20.100000000000001" customHeight="1" x14ac:dyDescent="0.25">
      <c r="A65" s="56" t="s">
        <v>275</v>
      </c>
      <c r="B65" s="57" t="s">
        <v>277</v>
      </c>
      <c r="C65" s="58" t="str">
        <f>IF(SUMIFS(Vigilancia!$E:$E,Vigilancia!$F:$F,A65,Vigilancia!$J:$J,"Vigilancia")=AC65,"ü","û")</f>
        <v>ü</v>
      </c>
      <c r="D65" s="100"/>
      <c r="E65" s="106">
        <v>10000</v>
      </c>
      <c r="F65" s="43">
        <v>10000</v>
      </c>
      <c r="G65" s="43"/>
      <c r="H65" s="43"/>
      <c r="I65" s="43"/>
      <c r="J65" s="43"/>
      <c r="K65" s="43"/>
      <c r="L65" s="43"/>
      <c r="M65" s="43"/>
      <c r="N65" s="43"/>
      <c r="O65" s="43"/>
      <c r="P65" s="100"/>
      <c r="Q65" s="93"/>
      <c r="R65" s="89"/>
      <c r="S65" s="89"/>
      <c r="T65" s="89"/>
      <c r="U65" s="89"/>
      <c r="V65" s="89"/>
      <c r="W65" s="89"/>
      <c r="X65" s="89"/>
      <c r="Y65" s="89"/>
      <c r="Z65" s="89"/>
      <c r="AA65" s="89"/>
      <c r="AB65" s="100"/>
      <c r="AC65" s="114">
        <f t="shared" si="1"/>
        <v>20000</v>
      </c>
    </row>
    <row r="66" spans="1:29" s="52" customFormat="1" ht="20.100000000000001" customHeight="1" x14ac:dyDescent="0.25">
      <c r="A66" s="53" t="s">
        <v>854</v>
      </c>
      <c r="B66" s="54" t="s">
        <v>855</v>
      </c>
      <c r="C66" s="59" t="str">
        <f>IF(SUMIFS(Vigilancia!$E:$E,Vigilancia!$F:$F,A66,Vigilancia!$J:$J,"Vigilancia")=AC66,"ü","û")</f>
        <v>ü</v>
      </c>
      <c r="D66" s="99"/>
      <c r="E66" s="105"/>
      <c r="F66" s="41"/>
      <c r="G66" s="41"/>
      <c r="H66" s="41"/>
      <c r="I66" s="41"/>
      <c r="J66" s="41"/>
      <c r="K66" s="41"/>
      <c r="L66" s="41"/>
      <c r="M66" s="41"/>
      <c r="N66" s="41"/>
      <c r="O66" s="41"/>
      <c r="P66" s="99"/>
      <c r="Q66" s="94"/>
      <c r="R66" s="90"/>
      <c r="S66" s="90"/>
      <c r="T66" s="90"/>
      <c r="U66" s="90"/>
      <c r="V66" s="90"/>
      <c r="W66" s="90"/>
      <c r="X66" s="90"/>
      <c r="Y66" s="90"/>
      <c r="Z66" s="90"/>
      <c r="AA66" s="90"/>
      <c r="AB66" s="99"/>
      <c r="AC66" s="115">
        <f t="shared" si="1"/>
        <v>0</v>
      </c>
    </row>
    <row r="67" spans="1:29" s="52" customFormat="1" ht="20.100000000000001" customHeight="1" x14ac:dyDescent="0.25">
      <c r="A67" s="53" t="s">
        <v>856</v>
      </c>
      <c r="B67" s="54" t="s">
        <v>857</v>
      </c>
      <c r="C67" s="59" t="str">
        <f>IF(SUMIFS(Vigilancia!$E:$E,Vigilancia!$F:$F,A67,Vigilancia!$J:$J,"Vigilancia")=AC67,"ü","û")</f>
        <v>ü</v>
      </c>
      <c r="D67" s="99"/>
      <c r="E67" s="105"/>
      <c r="F67" s="41"/>
      <c r="G67" s="41"/>
      <c r="H67" s="41"/>
      <c r="I67" s="41"/>
      <c r="J67" s="41"/>
      <c r="K67" s="41"/>
      <c r="L67" s="41"/>
      <c r="M67" s="41"/>
      <c r="N67" s="41"/>
      <c r="O67" s="41"/>
      <c r="P67" s="99"/>
      <c r="Q67" s="94"/>
      <c r="R67" s="90"/>
      <c r="S67" s="90"/>
      <c r="T67" s="90"/>
      <c r="U67" s="90"/>
      <c r="V67" s="90"/>
      <c r="W67" s="90"/>
      <c r="X67" s="90"/>
      <c r="Y67" s="90"/>
      <c r="Z67" s="90"/>
      <c r="AA67" s="90"/>
      <c r="AB67" s="99"/>
      <c r="AC67" s="115">
        <f t="shared" si="1"/>
        <v>0</v>
      </c>
    </row>
    <row r="68" spans="1:29" s="52" customFormat="1" ht="20.100000000000001" customHeight="1" x14ac:dyDescent="0.25">
      <c r="A68" s="52" t="s">
        <v>243</v>
      </c>
      <c r="B68" s="54" t="s">
        <v>245</v>
      </c>
      <c r="C68" s="59" t="str">
        <f>IF(SUMIFS(Vigilancia!$E:$E,Vigilancia!$F:$F,A68,Vigilancia!$J:$J,"Vigilancia")=AC68,"ü","û")</f>
        <v>ü</v>
      </c>
      <c r="D68" s="99"/>
      <c r="E68" s="105">
        <f>10000+7000</f>
        <v>17000</v>
      </c>
      <c r="F68" s="41">
        <v>17000</v>
      </c>
      <c r="G68" s="41">
        <v>17000</v>
      </c>
      <c r="H68" s="41">
        <v>17000</v>
      </c>
      <c r="I68" s="41">
        <v>26000</v>
      </c>
      <c r="J68" s="41">
        <v>26000</v>
      </c>
      <c r="K68" s="41">
        <f>26000+9000</f>
        <v>35000</v>
      </c>
      <c r="L68" s="41">
        <v>35000</v>
      </c>
      <c r="M68" s="41">
        <v>35000</v>
      </c>
      <c r="N68" s="41">
        <v>35000</v>
      </c>
      <c r="O68" s="41">
        <f>35000+15000</f>
        <v>50000</v>
      </c>
      <c r="P68" s="99">
        <v>50000</v>
      </c>
      <c r="Q68" s="94">
        <v>80000</v>
      </c>
      <c r="R68" s="90">
        <v>80000</v>
      </c>
      <c r="S68" s="90">
        <v>140000</v>
      </c>
      <c r="T68" s="90">
        <v>140000</v>
      </c>
      <c r="U68" s="90">
        <v>400000</v>
      </c>
      <c r="V68" s="90">
        <f>225000+400000</f>
        <v>625000</v>
      </c>
      <c r="W68" s="90">
        <f>850000+150000</f>
        <v>1000000</v>
      </c>
      <c r="X68" s="90">
        <v>1200000</v>
      </c>
      <c r="Y68" s="90"/>
      <c r="Z68" s="90"/>
      <c r="AA68" s="90"/>
      <c r="AB68" s="99"/>
      <c r="AC68" s="115">
        <f t="shared" si="1"/>
        <v>4025000</v>
      </c>
    </row>
    <row r="69" spans="1:29" s="52" customFormat="1" ht="20.100000000000001" customHeight="1" x14ac:dyDescent="0.25">
      <c r="A69" s="201" t="s">
        <v>858</v>
      </c>
      <c r="B69" s="202" t="s">
        <v>614</v>
      </c>
      <c r="C69" s="58" t="str">
        <f>IF(SUMIFS(Vigilancia!$E:$E,Vigilancia!$F:$F,A69,Vigilancia!$J:$J,"Vigilancia")=AC69,"ü","û")</f>
        <v>ü</v>
      </c>
      <c r="D69" s="100"/>
      <c r="E69" s="106"/>
      <c r="F69" s="43"/>
      <c r="G69" s="43"/>
      <c r="H69" s="43"/>
      <c r="I69" s="43"/>
      <c r="J69" s="43"/>
      <c r="K69" s="43"/>
      <c r="L69" s="43"/>
      <c r="M69" s="43"/>
      <c r="N69" s="43"/>
      <c r="O69" s="203" t="s">
        <v>847</v>
      </c>
      <c r="P69" s="196"/>
      <c r="Q69" s="204"/>
      <c r="R69" s="195"/>
      <c r="S69" s="195"/>
      <c r="T69" s="195"/>
      <c r="U69" s="195"/>
      <c r="V69" s="195"/>
      <c r="W69" s="195"/>
      <c r="X69" s="195"/>
      <c r="Y69" s="195"/>
      <c r="Z69" s="195"/>
      <c r="AA69" s="195"/>
      <c r="AB69" s="196"/>
      <c r="AC69" s="197">
        <f t="shared" ref="AC69:AC134" si="2">SUM(D69:AB69)</f>
        <v>0</v>
      </c>
    </row>
    <row r="70" spans="1:29" s="52" customFormat="1" ht="20.100000000000001" customHeight="1" x14ac:dyDescent="0.25">
      <c r="A70" s="53" t="s">
        <v>612</v>
      </c>
      <c r="B70" s="54" t="s">
        <v>614</v>
      </c>
      <c r="C70" s="59" t="str">
        <f>IF(SUMIFS(Vigilancia!$E:$E,Vigilancia!$F:$F,A70,Vigilancia!$J:$J,"Vigilancia")=AC70,"ü","û")</f>
        <v>ü</v>
      </c>
      <c r="D70" s="182"/>
      <c r="E70" s="183"/>
      <c r="F70" s="184"/>
      <c r="G70" s="184"/>
      <c r="H70" s="184"/>
      <c r="I70" s="184"/>
      <c r="J70" s="184"/>
      <c r="K70" s="184"/>
      <c r="L70" s="184"/>
      <c r="M70" s="184"/>
      <c r="N70" s="184">
        <v>35000</v>
      </c>
      <c r="O70" s="41">
        <v>50000</v>
      </c>
      <c r="P70" s="99">
        <v>50000</v>
      </c>
      <c r="Q70" s="94">
        <v>80000</v>
      </c>
      <c r="R70" s="134">
        <v>65000</v>
      </c>
      <c r="S70" s="90">
        <v>140000</v>
      </c>
      <c r="T70" s="90">
        <v>140000</v>
      </c>
      <c r="U70" s="90">
        <v>400000</v>
      </c>
      <c r="V70" s="90">
        <f>400000+225000</f>
        <v>625000</v>
      </c>
      <c r="W70" s="90">
        <f>200000+650000+150000</f>
        <v>1000000</v>
      </c>
      <c r="X70" s="90">
        <v>1200000</v>
      </c>
      <c r="Y70" s="90"/>
      <c r="Z70" s="90"/>
      <c r="AA70" s="90"/>
      <c r="AB70" s="99"/>
      <c r="AC70" s="115">
        <f t="shared" si="2"/>
        <v>3785000</v>
      </c>
    </row>
    <row r="71" spans="1:29" s="52" customFormat="1" ht="20.100000000000001" customHeight="1" x14ac:dyDescent="0.25">
      <c r="A71" s="53" t="s">
        <v>363</v>
      </c>
      <c r="B71" s="54" t="s">
        <v>365</v>
      </c>
      <c r="C71" s="59" t="str">
        <f>IF(SUMIFS(Vigilancia!$E:$E,Vigilancia!$F:$F,A71,Vigilancia!$J:$J,"Vigilancia")=AC71,"ü","û")</f>
        <v>ü</v>
      </c>
      <c r="D71" s="99"/>
      <c r="E71" s="105">
        <v>17000</v>
      </c>
      <c r="F71" s="41">
        <v>17000</v>
      </c>
      <c r="G71" s="41">
        <v>17000</v>
      </c>
      <c r="H71" s="41">
        <v>17000</v>
      </c>
      <c r="I71" s="41">
        <v>26000</v>
      </c>
      <c r="J71" s="41">
        <v>26000</v>
      </c>
      <c r="K71" s="41">
        <v>35000</v>
      </c>
      <c r="L71" s="41">
        <v>35000</v>
      </c>
      <c r="M71" s="41">
        <v>35000</v>
      </c>
      <c r="N71" s="41">
        <v>35000</v>
      </c>
      <c r="O71" s="41">
        <v>50000</v>
      </c>
      <c r="P71" s="99">
        <v>50000</v>
      </c>
      <c r="Q71" s="94">
        <v>80000</v>
      </c>
      <c r="R71" s="90">
        <v>80000</v>
      </c>
      <c r="S71" s="90">
        <v>140000</v>
      </c>
      <c r="T71" s="90">
        <v>140000</v>
      </c>
      <c r="U71" s="90">
        <v>400000</v>
      </c>
      <c r="V71" s="90">
        <f>400000+225000</f>
        <v>625000</v>
      </c>
      <c r="W71" s="90">
        <f>850000+150000</f>
        <v>1000000</v>
      </c>
      <c r="X71" s="90">
        <v>1200000</v>
      </c>
      <c r="Y71" s="90"/>
      <c r="Z71" s="90"/>
      <c r="AA71" s="90"/>
      <c r="AB71" s="99"/>
      <c r="AC71" s="115">
        <f t="shared" si="2"/>
        <v>4025000</v>
      </c>
    </row>
    <row r="72" spans="1:29" s="52" customFormat="1" ht="20.100000000000001" customHeight="1" x14ac:dyDescent="0.25">
      <c r="A72" s="53" t="s">
        <v>633</v>
      </c>
      <c r="B72" s="54" t="s">
        <v>635</v>
      </c>
      <c r="C72" s="59" t="str">
        <f>IF(SUMIFS(Vigilancia!$E:$E,Vigilancia!$F:$F,A72,Vigilancia!$J:$J,"Vigilancia")=AC72,"ü","û")</f>
        <v>ü</v>
      </c>
      <c r="D72" s="99"/>
      <c r="E72" s="105"/>
      <c r="F72" s="41"/>
      <c r="G72" s="41"/>
      <c r="H72" s="41"/>
      <c r="I72" s="41"/>
      <c r="J72" s="41"/>
      <c r="K72" s="41"/>
      <c r="L72" s="41"/>
      <c r="M72" s="41"/>
      <c r="N72" s="41"/>
      <c r="O72" s="41"/>
      <c r="P72" s="99"/>
      <c r="Q72" s="94"/>
      <c r="R72" s="90">
        <v>80000</v>
      </c>
      <c r="S72" s="90">
        <v>140000</v>
      </c>
      <c r="T72" s="90">
        <v>140000</v>
      </c>
      <c r="U72" s="90">
        <v>400000</v>
      </c>
      <c r="V72" s="90">
        <f>400000+250000</f>
        <v>650000</v>
      </c>
      <c r="W72" s="90">
        <v>1000000</v>
      </c>
      <c r="X72" s="90">
        <v>1200000</v>
      </c>
      <c r="Y72" s="90"/>
      <c r="Z72" s="90"/>
      <c r="AA72" s="90"/>
      <c r="AB72" s="99"/>
      <c r="AC72" s="115">
        <f t="shared" si="2"/>
        <v>3610000</v>
      </c>
    </row>
    <row r="73" spans="1:29" s="52" customFormat="1" ht="20.100000000000001" customHeight="1" x14ac:dyDescent="0.25">
      <c r="A73" s="56" t="s">
        <v>434</v>
      </c>
      <c r="B73" s="57" t="s">
        <v>436</v>
      </c>
      <c r="C73" s="58" t="str">
        <f>IF(SUMIFS(Vigilancia!$E:$E,Vigilancia!$F:$F,A73,Vigilancia!$J:$J,"Vigilancia")=AC73,"ü","û")</f>
        <v>ü</v>
      </c>
      <c r="D73" s="100">
        <v>6000</v>
      </c>
      <c r="E73" s="106">
        <v>3000</v>
      </c>
      <c r="F73" s="43">
        <v>3000</v>
      </c>
      <c r="G73" s="43">
        <v>3000</v>
      </c>
      <c r="H73" s="43">
        <v>3000</v>
      </c>
      <c r="I73" s="43">
        <v>3000</v>
      </c>
      <c r="J73" s="43">
        <v>3000</v>
      </c>
      <c r="K73" s="43">
        <v>3000</v>
      </c>
      <c r="L73" s="43">
        <v>3000</v>
      </c>
      <c r="M73" s="43">
        <v>3000</v>
      </c>
      <c r="N73" s="43">
        <v>3000</v>
      </c>
      <c r="O73" s="43">
        <v>10000</v>
      </c>
      <c r="P73" s="100">
        <v>10000</v>
      </c>
      <c r="Q73" s="93">
        <v>10000</v>
      </c>
      <c r="R73" s="89">
        <v>10000</v>
      </c>
      <c r="S73" s="89">
        <v>30000</v>
      </c>
      <c r="T73" s="89">
        <v>30000</v>
      </c>
      <c r="U73" s="89">
        <v>50000</v>
      </c>
      <c r="V73" s="89">
        <v>50000</v>
      </c>
      <c r="W73" s="89">
        <v>100000</v>
      </c>
      <c r="X73" s="89"/>
      <c r="Y73" s="89"/>
      <c r="Z73" s="89"/>
      <c r="AA73" s="89"/>
      <c r="AB73" s="100"/>
      <c r="AC73" s="114">
        <f t="shared" si="2"/>
        <v>336000</v>
      </c>
    </row>
    <row r="74" spans="1:29" s="52" customFormat="1" ht="20.100000000000001" customHeight="1" x14ac:dyDescent="0.25">
      <c r="A74" s="56" t="s">
        <v>144</v>
      </c>
      <c r="B74" s="57" t="s">
        <v>146</v>
      </c>
      <c r="C74" s="58" t="str">
        <f>IF(SUMIFS(Vigilancia!$E:$E,Vigilancia!$F:$F,A74,Vigilancia!$J:$J,"Vigilancia")=AC74,"ü","û")</f>
        <v>ü</v>
      </c>
      <c r="D74" s="100"/>
      <c r="E74" s="106">
        <v>3000</v>
      </c>
      <c r="F74" s="43">
        <v>3000</v>
      </c>
      <c r="G74" s="43">
        <v>4000</v>
      </c>
      <c r="H74" s="43">
        <v>3000</v>
      </c>
      <c r="I74" s="43">
        <v>3000</v>
      </c>
      <c r="J74" s="43">
        <v>3000</v>
      </c>
      <c r="K74" s="43">
        <v>5000</v>
      </c>
      <c r="L74" s="43">
        <v>5000</v>
      </c>
      <c r="M74" s="43">
        <v>10000</v>
      </c>
      <c r="N74" s="43">
        <v>10000</v>
      </c>
      <c r="O74" s="43">
        <v>10000</v>
      </c>
      <c r="P74" s="100">
        <v>10000</v>
      </c>
      <c r="Q74" s="93">
        <v>10000</v>
      </c>
      <c r="R74" s="89">
        <f>10000+20000</f>
        <v>30000</v>
      </c>
      <c r="S74" s="89">
        <f>100000+40000</f>
        <v>140000</v>
      </c>
      <c r="T74" s="89">
        <f>100000+40000</f>
        <v>140000</v>
      </c>
      <c r="U74" s="89">
        <f>100000+300000</f>
        <v>400000</v>
      </c>
      <c r="V74" s="89">
        <f>400000+225000</f>
        <v>625000</v>
      </c>
      <c r="W74" s="89">
        <v>1000000</v>
      </c>
      <c r="X74" s="89"/>
      <c r="Y74" s="89"/>
      <c r="Z74" s="89"/>
      <c r="AA74" s="89"/>
      <c r="AB74" s="100"/>
      <c r="AC74" s="114">
        <f t="shared" si="2"/>
        <v>2414000</v>
      </c>
    </row>
    <row r="75" spans="1:29" s="52" customFormat="1" ht="20.100000000000001" customHeight="1" x14ac:dyDescent="0.25">
      <c r="A75" s="56" t="s">
        <v>859</v>
      </c>
      <c r="B75" s="57" t="s">
        <v>860</v>
      </c>
      <c r="C75" s="58" t="str">
        <f>IF(SUMIFS(Vigilancia!$E:$E,Vigilancia!$F:$F,A75,Vigilancia!$J:$J,"Vigilancia")=AC75,"ü","û")</f>
        <v>ü</v>
      </c>
      <c r="D75" s="100"/>
      <c r="E75" s="106"/>
      <c r="F75" s="43"/>
      <c r="G75" s="43"/>
      <c r="H75" s="43"/>
      <c r="I75" s="43"/>
      <c r="J75" s="43"/>
      <c r="K75" s="43"/>
      <c r="L75" s="43"/>
      <c r="M75" s="43"/>
      <c r="N75" s="43"/>
      <c r="O75" s="43"/>
      <c r="P75" s="100"/>
      <c r="Q75" s="93"/>
      <c r="R75" s="89"/>
      <c r="S75" s="89"/>
      <c r="T75" s="89"/>
      <c r="U75" s="89"/>
      <c r="V75" s="89"/>
      <c r="W75" s="89"/>
      <c r="X75" s="89"/>
      <c r="Y75" s="89"/>
      <c r="Z75" s="89"/>
      <c r="AA75" s="89"/>
      <c r="AB75" s="100"/>
      <c r="AC75" s="114">
        <f t="shared" si="2"/>
        <v>0</v>
      </c>
    </row>
    <row r="76" spans="1:29" s="52" customFormat="1" ht="20.100000000000001" customHeight="1" x14ac:dyDescent="0.25">
      <c r="A76" s="56" t="s">
        <v>303</v>
      </c>
      <c r="B76" s="57" t="s">
        <v>304</v>
      </c>
      <c r="C76" s="58" t="str">
        <f>IF(SUMIFS(Vigilancia!$E:$E,Vigilancia!$F:$F,A76,Vigilancia!$J:$J,"Vigilancia")=AC76,"ü","û")</f>
        <v>ü</v>
      </c>
      <c r="D76" s="100"/>
      <c r="E76" s="106">
        <v>3000</v>
      </c>
      <c r="F76" s="43">
        <v>3000</v>
      </c>
      <c r="G76" s="43">
        <v>3000</v>
      </c>
      <c r="H76" s="43">
        <v>3000</v>
      </c>
      <c r="I76" s="43">
        <v>5000</v>
      </c>
      <c r="J76" s="43">
        <v>5000</v>
      </c>
      <c r="K76" s="43">
        <v>5000</v>
      </c>
      <c r="L76" s="43">
        <v>10000</v>
      </c>
      <c r="M76" s="43">
        <v>20000</v>
      </c>
      <c r="N76" s="43">
        <v>20000</v>
      </c>
      <c r="O76" s="43">
        <v>25000</v>
      </c>
      <c r="P76" s="100">
        <v>30000</v>
      </c>
      <c r="Q76" s="93">
        <v>30000</v>
      </c>
      <c r="R76" s="89">
        <v>30000</v>
      </c>
      <c r="S76" s="89">
        <v>30000</v>
      </c>
      <c r="T76" s="89">
        <v>30000</v>
      </c>
      <c r="U76" s="89">
        <v>30000</v>
      </c>
      <c r="V76" s="89">
        <v>40000</v>
      </c>
      <c r="W76" s="89"/>
      <c r="X76" s="89"/>
      <c r="Y76" s="89"/>
      <c r="Z76" s="89"/>
      <c r="AA76" s="89"/>
      <c r="AB76" s="100"/>
      <c r="AC76" s="114">
        <f t="shared" si="2"/>
        <v>322000</v>
      </c>
    </row>
    <row r="77" spans="1:29" s="52" customFormat="1" ht="20.100000000000001" customHeight="1" x14ac:dyDescent="0.25">
      <c r="A77" s="56" t="s">
        <v>861</v>
      </c>
      <c r="B77" s="57" t="s">
        <v>862</v>
      </c>
      <c r="C77" s="58" t="str">
        <f>IF(SUMIFS(Vigilancia!$E:$E,Vigilancia!$F:$F,A77,Vigilancia!$J:$J,"Vigilancia")=AC77,"ü","û")</f>
        <v>ü</v>
      </c>
      <c r="D77" s="100"/>
      <c r="E77" s="106"/>
      <c r="F77" s="43"/>
      <c r="G77" s="43"/>
      <c r="H77" s="43"/>
      <c r="I77" s="43"/>
      <c r="J77" s="43"/>
      <c r="K77" s="43"/>
      <c r="L77" s="43"/>
      <c r="M77" s="43"/>
      <c r="N77" s="43"/>
      <c r="O77" s="43"/>
      <c r="P77" s="100"/>
      <c r="Q77" s="93"/>
      <c r="R77" s="89"/>
      <c r="S77" s="89"/>
      <c r="T77" s="89"/>
      <c r="U77" s="89"/>
      <c r="V77" s="89"/>
      <c r="W77" s="89"/>
      <c r="X77" s="89"/>
      <c r="Y77" s="89"/>
      <c r="Z77" s="89"/>
      <c r="AA77" s="89"/>
      <c r="AB77" s="100"/>
      <c r="AC77" s="114">
        <f t="shared" si="2"/>
        <v>0</v>
      </c>
    </row>
    <row r="78" spans="1:29" s="52" customFormat="1" ht="20.100000000000001" customHeight="1" x14ac:dyDescent="0.25">
      <c r="A78" s="53" t="s">
        <v>24</v>
      </c>
      <c r="B78" s="54" t="s">
        <v>26</v>
      </c>
      <c r="C78" s="59" t="str">
        <f>IF(SUMIFS(Vigilancia!$E:$E,Vigilancia!$F:$F,A78,Vigilancia!$J:$J,"Vigilancia")=AC78,"ü","û")</f>
        <v>ü</v>
      </c>
      <c r="D78" s="99"/>
      <c r="E78" s="105">
        <f>10500+6500</f>
        <v>17000</v>
      </c>
      <c r="F78" s="41">
        <v>17000</v>
      </c>
      <c r="G78" s="41">
        <v>17000</v>
      </c>
      <c r="H78" s="41">
        <v>17000</v>
      </c>
      <c r="I78" s="41">
        <v>26000</v>
      </c>
      <c r="J78" s="41">
        <v>26000</v>
      </c>
      <c r="K78" s="41">
        <f>26000+9000</f>
        <v>35000</v>
      </c>
      <c r="L78" s="41">
        <v>35000</v>
      </c>
      <c r="M78" s="41">
        <v>35000</v>
      </c>
      <c r="N78" s="41">
        <v>35000</v>
      </c>
      <c r="O78" s="41">
        <v>50000</v>
      </c>
      <c r="P78" s="99">
        <v>50000</v>
      </c>
      <c r="Q78" s="94">
        <v>80000</v>
      </c>
      <c r="R78" s="90">
        <v>80000</v>
      </c>
      <c r="S78" s="90">
        <v>140000</v>
      </c>
      <c r="T78" s="90">
        <v>140000</v>
      </c>
      <c r="U78" s="90">
        <v>400000</v>
      </c>
      <c r="V78" s="90">
        <f>400000+225000</f>
        <v>625000</v>
      </c>
      <c r="W78" s="90">
        <f>850000+150000</f>
        <v>1000000</v>
      </c>
      <c r="X78" s="90">
        <v>1200000</v>
      </c>
      <c r="Y78" s="90"/>
      <c r="Z78" s="90"/>
      <c r="AA78" s="90"/>
      <c r="AB78" s="99"/>
      <c r="AC78" s="115">
        <f t="shared" si="2"/>
        <v>4025000</v>
      </c>
    </row>
    <row r="79" spans="1:29" s="52" customFormat="1" ht="20.100000000000001" customHeight="1" x14ac:dyDescent="0.25">
      <c r="A79" s="53" t="s">
        <v>230</v>
      </c>
      <c r="B79" s="54" t="s">
        <v>232</v>
      </c>
      <c r="C79" s="59" t="str">
        <f>IF(SUMIFS(Vigilancia!$E:$E,Vigilancia!$F:$F,A79,Vigilancia!$J:$J,"Vigilancia")=AC79,"ü","û")</f>
        <v>ü</v>
      </c>
      <c r="D79" s="99"/>
      <c r="E79" s="105">
        <v>17000</v>
      </c>
      <c r="F79" s="41">
        <v>17000</v>
      </c>
      <c r="G79" s="41">
        <v>17000</v>
      </c>
      <c r="H79" s="41">
        <v>17000</v>
      </c>
      <c r="I79" s="41">
        <v>26000</v>
      </c>
      <c r="J79" s="79"/>
      <c r="K79" s="41">
        <v>35000</v>
      </c>
      <c r="L79" s="41">
        <v>35000</v>
      </c>
      <c r="M79" s="41">
        <v>35000</v>
      </c>
      <c r="N79" s="41">
        <v>35000</v>
      </c>
      <c r="O79" s="41">
        <v>50000</v>
      </c>
      <c r="P79" s="99">
        <v>50000</v>
      </c>
      <c r="Q79" s="94">
        <v>80000</v>
      </c>
      <c r="R79" s="90">
        <v>80000</v>
      </c>
      <c r="S79" s="90">
        <v>140000</v>
      </c>
      <c r="T79" s="90">
        <v>300000</v>
      </c>
      <c r="U79" s="90">
        <v>400000</v>
      </c>
      <c r="V79" s="90">
        <v>1000000</v>
      </c>
      <c r="W79" s="90">
        <v>1000000</v>
      </c>
      <c r="X79" s="90"/>
      <c r="Y79" s="90"/>
      <c r="Z79" s="90"/>
      <c r="AA79" s="90"/>
      <c r="AB79" s="99"/>
      <c r="AC79" s="115">
        <f t="shared" si="2"/>
        <v>3334000</v>
      </c>
    </row>
    <row r="80" spans="1:29" s="52" customFormat="1" ht="20.100000000000001" customHeight="1" x14ac:dyDescent="0.25">
      <c r="A80" s="56" t="s">
        <v>312</v>
      </c>
      <c r="B80" s="57" t="s">
        <v>314</v>
      </c>
      <c r="C80" s="58" t="str">
        <f>IF(SUMIFS(Vigilancia!$E:$E,Vigilancia!$F:$F,A80,Vigilancia!$J:$J,"Vigilancia")=AC80,"ü","û")</f>
        <v>ü</v>
      </c>
      <c r="D80" s="100"/>
      <c r="E80" s="106">
        <v>5000</v>
      </c>
      <c r="F80" s="43">
        <v>5000</v>
      </c>
      <c r="G80" s="43">
        <v>7000</v>
      </c>
      <c r="H80" s="43">
        <v>10000</v>
      </c>
      <c r="I80" s="43">
        <v>20000</v>
      </c>
      <c r="J80" s="43">
        <v>20000</v>
      </c>
      <c r="K80" s="43">
        <v>30000</v>
      </c>
      <c r="L80" s="41">
        <v>35000</v>
      </c>
      <c r="M80" s="41">
        <v>35000</v>
      </c>
      <c r="N80" s="41">
        <v>35000</v>
      </c>
      <c r="O80" s="41">
        <v>50000</v>
      </c>
      <c r="P80" s="99">
        <v>50000</v>
      </c>
      <c r="Q80" s="94">
        <v>80000</v>
      </c>
      <c r="R80" s="90">
        <v>80000</v>
      </c>
      <c r="S80" s="90">
        <f>40000+100000</f>
        <v>140000</v>
      </c>
      <c r="T80" s="90">
        <v>140000</v>
      </c>
      <c r="U80" s="90">
        <v>400000</v>
      </c>
      <c r="V80" s="90">
        <v>625000</v>
      </c>
      <c r="W80" s="350">
        <v>1000000</v>
      </c>
      <c r="X80" s="134">
        <v>5000</v>
      </c>
      <c r="Y80" s="90"/>
      <c r="Z80" s="90"/>
      <c r="AA80" s="90"/>
      <c r="AB80" s="99"/>
      <c r="AC80" s="115">
        <f t="shared" si="2"/>
        <v>2772000</v>
      </c>
    </row>
    <row r="81" spans="1:29" s="52" customFormat="1" ht="20.100000000000001" customHeight="1" x14ac:dyDescent="0.25">
      <c r="A81" s="53" t="s">
        <v>126</v>
      </c>
      <c r="B81" s="54" t="s">
        <v>128</v>
      </c>
      <c r="C81" s="59" t="str">
        <f>IF(SUMIFS(Vigilancia!$E:$E,Vigilancia!$F:$F,A81,Vigilancia!$J:$J,"Vigilancia")=AC81,"ü","û")</f>
        <v>ü</v>
      </c>
      <c r="D81" s="99"/>
      <c r="E81" s="105">
        <v>17000</v>
      </c>
      <c r="F81" s="41">
        <v>17000</v>
      </c>
      <c r="G81" s="41">
        <v>17000</v>
      </c>
      <c r="H81" s="41">
        <v>17000</v>
      </c>
      <c r="I81" s="41">
        <f>22000+4000</f>
        <v>26000</v>
      </c>
      <c r="J81" s="41">
        <v>26000</v>
      </c>
      <c r="K81" s="41">
        <v>35000</v>
      </c>
      <c r="L81" s="41">
        <v>35000</v>
      </c>
      <c r="M81" s="41">
        <v>35000</v>
      </c>
      <c r="N81" s="41">
        <v>35000</v>
      </c>
      <c r="O81" s="41">
        <v>50000</v>
      </c>
      <c r="P81" s="99">
        <v>50000</v>
      </c>
      <c r="Q81" s="94">
        <v>80000</v>
      </c>
      <c r="R81" s="90">
        <v>80000</v>
      </c>
      <c r="S81" s="90">
        <v>140000</v>
      </c>
      <c r="T81" s="90">
        <v>140000</v>
      </c>
      <c r="U81" s="90">
        <v>400000</v>
      </c>
      <c r="V81" s="90">
        <f>400000+250000</f>
        <v>650000</v>
      </c>
      <c r="W81" s="90">
        <v>1000000</v>
      </c>
      <c r="X81" s="90"/>
      <c r="Y81" s="90"/>
      <c r="Z81" s="90"/>
      <c r="AA81" s="90"/>
      <c r="AB81" s="99"/>
      <c r="AC81" s="115">
        <f t="shared" si="2"/>
        <v>2850000</v>
      </c>
    </row>
    <row r="82" spans="1:29" s="52" customFormat="1" ht="20.100000000000001" customHeight="1" x14ac:dyDescent="0.25">
      <c r="A82" s="56" t="s">
        <v>130</v>
      </c>
      <c r="B82" s="57" t="s">
        <v>132</v>
      </c>
      <c r="C82" s="58" t="str">
        <f>IF(SUMIFS(Vigilancia!$E:$E,Vigilancia!$F:$F,A82,Vigilancia!$J:$J,"Vigilancia")=AC82,"ü","û")</f>
        <v>ü</v>
      </c>
      <c r="D82" s="100"/>
      <c r="E82" s="106">
        <v>10500</v>
      </c>
      <c r="F82" s="43">
        <v>12000</v>
      </c>
      <c r="G82" s="43">
        <v>12000</v>
      </c>
      <c r="H82" s="43">
        <v>12000</v>
      </c>
      <c r="I82" s="43">
        <v>12000</v>
      </c>
      <c r="J82" s="43">
        <v>15000</v>
      </c>
      <c r="K82" s="43">
        <v>15000</v>
      </c>
      <c r="L82" s="43">
        <v>18000</v>
      </c>
      <c r="M82" s="43">
        <v>20000</v>
      </c>
      <c r="N82" s="43">
        <v>20000</v>
      </c>
      <c r="O82" s="43">
        <v>30000</v>
      </c>
      <c r="P82" s="100">
        <v>40000</v>
      </c>
      <c r="Q82" s="93">
        <v>40000</v>
      </c>
      <c r="R82" s="89">
        <v>80000</v>
      </c>
      <c r="S82" s="89">
        <v>120000</v>
      </c>
      <c r="T82" s="89">
        <v>140000</v>
      </c>
      <c r="U82" s="89">
        <v>200000</v>
      </c>
      <c r="V82" s="89">
        <v>400000</v>
      </c>
      <c r="W82" s="89">
        <v>1000000</v>
      </c>
      <c r="X82" s="89"/>
      <c r="Y82" s="89"/>
      <c r="Z82" s="89"/>
      <c r="AA82" s="89"/>
      <c r="AB82" s="100"/>
      <c r="AC82" s="114">
        <f t="shared" si="2"/>
        <v>2196500</v>
      </c>
    </row>
    <row r="83" spans="1:29" s="52" customFormat="1" ht="20.100000000000001" customHeight="1" x14ac:dyDescent="0.25">
      <c r="A83" s="53" t="s">
        <v>465</v>
      </c>
      <c r="B83" s="54" t="s">
        <v>467</v>
      </c>
      <c r="C83" s="59" t="str">
        <f>IF(SUMIFS(Vigilancia!$E:$E,Vigilancia!$F:$F,A83,Vigilancia!$J:$J,"Vigilancia")=AC83,"ü","û")</f>
        <v>ü</v>
      </c>
      <c r="D83" s="99"/>
      <c r="E83" s="105"/>
      <c r="F83" s="41"/>
      <c r="G83" s="41"/>
      <c r="H83" s="41"/>
      <c r="I83" s="41"/>
      <c r="J83" s="41"/>
      <c r="K83" s="41"/>
      <c r="L83" s="41"/>
      <c r="M83" s="41"/>
      <c r="N83" s="41"/>
      <c r="O83" s="41"/>
      <c r="P83" s="99"/>
      <c r="Q83" s="94"/>
      <c r="R83" s="90"/>
      <c r="S83" s="90"/>
      <c r="T83" s="90"/>
      <c r="U83" s="90"/>
      <c r="V83" s="90"/>
      <c r="W83" s="90"/>
      <c r="X83" s="90"/>
      <c r="Y83" s="90"/>
      <c r="Z83" s="90"/>
      <c r="AA83" s="90"/>
      <c r="AB83" s="99"/>
      <c r="AC83" s="115">
        <f t="shared" si="2"/>
        <v>0</v>
      </c>
    </row>
    <row r="84" spans="1:29" s="52" customFormat="1" ht="20.100000000000001" customHeight="1" x14ac:dyDescent="0.25">
      <c r="A84" s="53" t="s">
        <v>32</v>
      </c>
      <c r="B84" s="54" t="s">
        <v>34</v>
      </c>
      <c r="C84" s="59" t="str">
        <f>IF(SUMIFS(Vigilancia!$E:$E,Vigilancia!$F:$F,A84,Vigilancia!$J:$J,"Vigilancia")=AC84,"ü","û")</f>
        <v>ü</v>
      </c>
      <c r="D84" s="99"/>
      <c r="E84" s="105">
        <f>10500+6500</f>
        <v>17000</v>
      </c>
      <c r="F84" s="41">
        <f>13613+3387</f>
        <v>17000</v>
      </c>
      <c r="G84" s="41">
        <v>17000</v>
      </c>
      <c r="H84" s="41">
        <v>17000</v>
      </c>
      <c r="I84" s="41">
        <v>26000</v>
      </c>
      <c r="J84" s="41">
        <v>26000</v>
      </c>
      <c r="K84" s="41">
        <v>35000</v>
      </c>
      <c r="L84" s="41">
        <v>35000</v>
      </c>
      <c r="M84" s="160" t="s">
        <v>490</v>
      </c>
      <c r="N84" s="160" t="s">
        <v>490</v>
      </c>
      <c r="O84" s="160" t="s">
        <v>490</v>
      </c>
      <c r="P84" s="139" t="s">
        <v>490</v>
      </c>
      <c r="Q84" s="94">
        <v>75000</v>
      </c>
      <c r="R84" s="90">
        <v>75000</v>
      </c>
      <c r="S84" s="90">
        <v>100000</v>
      </c>
      <c r="T84" s="90">
        <v>100000</v>
      </c>
      <c r="U84" s="90">
        <v>100000</v>
      </c>
      <c r="V84" s="90">
        <v>600000</v>
      </c>
      <c r="W84" s="90">
        <v>600000</v>
      </c>
      <c r="X84" s="90"/>
      <c r="Y84" s="90"/>
      <c r="Z84" s="90"/>
      <c r="AA84" s="90"/>
      <c r="AB84" s="99"/>
      <c r="AC84" s="115">
        <f t="shared" si="2"/>
        <v>1840000</v>
      </c>
    </row>
    <row r="85" spans="1:29" s="52" customFormat="1" ht="20.100000000000001" customHeight="1" x14ac:dyDescent="0.25">
      <c r="A85" s="53" t="s">
        <v>296</v>
      </c>
      <c r="B85" s="54" t="s">
        <v>298</v>
      </c>
      <c r="C85" s="59" t="str">
        <f>IF(SUMIFS(Vigilancia!$E:$E,Vigilancia!$F:$F,A85,Vigilancia!$J:$J,"Vigilancia")=AC85,"ü","û")</f>
        <v>ü</v>
      </c>
      <c r="D85" s="100"/>
      <c r="E85" s="106">
        <v>10000</v>
      </c>
      <c r="F85" s="43">
        <v>10000</v>
      </c>
      <c r="G85" s="43">
        <v>10000</v>
      </c>
      <c r="H85" s="41">
        <v>17000</v>
      </c>
      <c r="I85" s="41">
        <v>26000</v>
      </c>
      <c r="J85" s="41">
        <v>26000</v>
      </c>
      <c r="K85" s="41">
        <v>35000</v>
      </c>
      <c r="L85" s="41">
        <v>35000</v>
      </c>
      <c r="M85" s="41">
        <v>35000</v>
      </c>
      <c r="N85" s="41">
        <v>35000</v>
      </c>
      <c r="O85" s="41">
        <v>50000</v>
      </c>
      <c r="P85" s="99">
        <v>50000</v>
      </c>
      <c r="Q85" s="94">
        <v>80000</v>
      </c>
      <c r="R85" s="90">
        <v>80000</v>
      </c>
      <c r="S85" s="90">
        <v>140000</v>
      </c>
      <c r="T85" s="90">
        <v>140000</v>
      </c>
      <c r="U85" s="90">
        <v>400000</v>
      </c>
      <c r="V85" s="90">
        <v>625000</v>
      </c>
      <c r="W85" s="90">
        <v>1000000</v>
      </c>
      <c r="X85" s="90"/>
      <c r="Y85" s="90"/>
      <c r="Z85" s="90"/>
      <c r="AA85" s="90"/>
      <c r="AB85" s="99"/>
      <c r="AC85" s="115">
        <f t="shared" si="2"/>
        <v>2804000</v>
      </c>
    </row>
    <row r="86" spans="1:29" s="52" customFormat="1" ht="20.100000000000001" customHeight="1" x14ac:dyDescent="0.25">
      <c r="A86" s="53" t="s">
        <v>423</v>
      </c>
      <c r="B86" s="54" t="s">
        <v>424</v>
      </c>
      <c r="C86" s="59" t="str">
        <f>IF(SUMIFS(Vigilancia!$E:$E,Vigilancia!$F:$F,A86,Vigilancia!$J:$J,"Vigilancia")=AC86,"ü","û")</f>
        <v>ü</v>
      </c>
      <c r="D86" s="99"/>
      <c r="E86" s="105">
        <f>10000+20000</f>
        <v>30000</v>
      </c>
      <c r="F86" s="41">
        <v>30000</v>
      </c>
      <c r="G86" s="41">
        <v>30000</v>
      </c>
      <c r="H86" s="41">
        <v>30000</v>
      </c>
      <c r="I86" s="41">
        <v>40000</v>
      </c>
      <c r="J86" s="41">
        <v>40000</v>
      </c>
      <c r="K86" s="41">
        <v>54000</v>
      </c>
      <c r="L86" s="41">
        <v>54000</v>
      </c>
      <c r="M86" s="41">
        <v>54000</v>
      </c>
      <c r="N86" s="41">
        <v>54000</v>
      </c>
      <c r="O86" s="41">
        <v>71000</v>
      </c>
      <c r="P86" s="99">
        <v>71000</v>
      </c>
      <c r="Q86" s="94">
        <v>113600</v>
      </c>
      <c r="R86" s="90">
        <v>113600</v>
      </c>
      <c r="S86" s="90">
        <v>200000</v>
      </c>
      <c r="T86" s="90">
        <v>200000</v>
      </c>
      <c r="U86" s="90">
        <v>580000</v>
      </c>
      <c r="V86" s="90">
        <v>905000</v>
      </c>
      <c r="W86" s="90">
        <v>1450000</v>
      </c>
      <c r="X86" s="90">
        <v>1740000</v>
      </c>
      <c r="Y86" s="90"/>
      <c r="Z86" s="90"/>
      <c r="AA86" s="90"/>
      <c r="AB86" s="99"/>
      <c r="AC86" s="115">
        <f t="shared" si="2"/>
        <v>5860200</v>
      </c>
    </row>
    <row r="87" spans="1:29" s="52" customFormat="1" ht="20.100000000000001" customHeight="1" x14ac:dyDescent="0.25">
      <c r="A87" s="56" t="s">
        <v>252</v>
      </c>
      <c r="B87" s="57" t="s">
        <v>254</v>
      </c>
      <c r="C87" s="58" t="str">
        <f>IF(SUMIFS(Vigilancia!$E:$E,Vigilancia!$F:$F,A87,Vigilancia!$J:$J,"Vigilancia")=AC87,"ü","û")</f>
        <v>ü</v>
      </c>
      <c r="D87" s="100"/>
      <c r="E87" s="106"/>
      <c r="F87" s="43">
        <v>6000</v>
      </c>
      <c r="G87" s="43"/>
      <c r="H87" s="43"/>
      <c r="I87" s="43">
        <v>10000</v>
      </c>
      <c r="J87" s="43">
        <v>25000</v>
      </c>
      <c r="K87" s="43">
        <v>25000</v>
      </c>
      <c r="L87" s="43">
        <v>25000</v>
      </c>
      <c r="M87" s="43">
        <v>25000</v>
      </c>
      <c r="N87" s="43">
        <v>40000</v>
      </c>
      <c r="O87" s="43">
        <v>40000</v>
      </c>
      <c r="P87" s="100">
        <v>40000</v>
      </c>
      <c r="Q87" s="93">
        <v>100000</v>
      </c>
      <c r="R87" s="89">
        <v>100000</v>
      </c>
      <c r="S87" s="89">
        <v>100000</v>
      </c>
      <c r="T87" s="89">
        <v>100000</v>
      </c>
      <c r="U87" s="89">
        <v>400000</v>
      </c>
      <c r="V87" s="89">
        <v>625000</v>
      </c>
      <c r="W87" s="89">
        <v>1000000</v>
      </c>
      <c r="X87" s="89">
        <f>400000+800000</f>
        <v>1200000</v>
      </c>
      <c r="Y87" s="89">
        <v>400000</v>
      </c>
      <c r="Z87" s="89"/>
      <c r="AA87" s="89"/>
      <c r="AB87" s="100"/>
      <c r="AC87" s="114">
        <f t="shared" si="2"/>
        <v>4261000</v>
      </c>
    </row>
    <row r="88" spans="1:29" s="52" customFormat="1" ht="20.100000000000001" customHeight="1" x14ac:dyDescent="0.25">
      <c r="A88" s="53" t="s">
        <v>259</v>
      </c>
      <c r="B88" s="54" t="s">
        <v>261</v>
      </c>
      <c r="C88" s="59" t="str">
        <f>IF(SUMIFS(Vigilancia!$E:$E,Vigilancia!$F:$F,A88,Vigilancia!$J:$J,"Vigilancia")=AC88,"ü","û")</f>
        <v>ü</v>
      </c>
      <c r="D88" s="99"/>
      <c r="E88" s="105">
        <v>17000</v>
      </c>
      <c r="F88" s="41">
        <v>17000</v>
      </c>
      <c r="G88" s="42">
        <v>16000</v>
      </c>
      <c r="H88" s="42">
        <v>16000</v>
      </c>
      <c r="I88" s="41">
        <v>26000</v>
      </c>
      <c r="J88" s="41">
        <v>26000</v>
      </c>
      <c r="K88" s="41">
        <v>35000</v>
      </c>
      <c r="L88" s="41">
        <v>35000</v>
      </c>
      <c r="M88" s="41">
        <f>2000+33000</f>
        <v>35000</v>
      </c>
      <c r="N88" s="41">
        <v>35000</v>
      </c>
      <c r="O88" s="41">
        <v>50000</v>
      </c>
      <c r="P88" s="99">
        <v>50000</v>
      </c>
      <c r="Q88" s="94">
        <v>80000</v>
      </c>
      <c r="R88" s="90">
        <v>80000</v>
      </c>
      <c r="S88" s="90">
        <v>140000</v>
      </c>
      <c r="T88" s="90">
        <v>140000</v>
      </c>
      <c r="U88" s="90">
        <v>400000</v>
      </c>
      <c r="V88" s="90">
        <v>625000</v>
      </c>
      <c r="W88" s="90">
        <f>850000+150000</f>
        <v>1000000</v>
      </c>
      <c r="X88" s="90">
        <v>1200000</v>
      </c>
      <c r="Y88" s="90"/>
      <c r="Z88" s="90"/>
      <c r="AA88" s="90"/>
      <c r="AB88" s="99"/>
      <c r="AC88" s="115">
        <f t="shared" si="2"/>
        <v>4023000</v>
      </c>
    </row>
    <row r="89" spans="1:29" s="52" customFormat="1" ht="20.100000000000001" customHeight="1" x14ac:dyDescent="0.25">
      <c r="A89" s="53" t="s">
        <v>215</v>
      </c>
      <c r="B89" s="54" t="s">
        <v>217</v>
      </c>
      <c r="C89" s="59" t="str">
        <f>IF(SUMIFS(Vigilancia!$E:$E,Vigilancia!$F:$F,A89,Vigilancia!$J:$J,"Vigilancia")=AC89,"ü","û")</f>
        <v>ü</v>
      </c>
      <c r="D89" s="99"/>
      <c r="E89" s="105">
        <v>17000</v>
      </c>
      <c r="F89" s="41">
        <v>17000</v>
      </c>
      <c r="G89" s="79"/>
      <c r="H89" s="79"/>
      <c r="I89" s="41">
        <v>26000</v>
      </c>
      <c r="J89" s="41">
        <v>26000</v>
      </c>
      <c r="K89" s="77">
        <v>26000</v>
      </c>
      <c r="L89" s="41"/>
      <c r="M89" s="41"/>
      <c r="N89" s="41"/>
      <c r="O89" s="41"/>
      <c r="P89" s="99"/>
      <c r="Q89" s="94"/>
      <c r="R89" s="90"/>
      <c r="S89" s="90"/>
      <c r="T89" s="90"/>
      <c r="U89" s="90"/>
      <c r="V89" s="90"/>
      <c r="W89" s="90"/>
      <c r="X89" s="90"/>
      <c r="Y89" s="90"/>
      <c r="Z89" s="90"/>
      <c r="AA89" s="90"/>
      <c r="AB89" s="99"/>
      <c r="AC89" s="115">
        <f t="shared" si="2"/>
        <v>112000</v>
      </c>
    </row>
    <row r="90" spans="1:29" s="52" customFormat="1" ht="20.100000000000001" customHeight="1" x14ac:dyDescent="0.25">
      <c r="A90" s="53" t="s">
        <v>863</v>
      </c>
      <c r="B90" s="54" t="s">
        <v>864</v>
      </c>
      <c r="C90" s="59" t="str">
        <f>IF(SUMIFS(Vigilancia!$E:$E,Vigilancia!$F:$F,A90,Vigilancia!$J:$J,"Vigilancia")=AC90,"ü","û")</f>
        <v>ü</v>
      </c>
      <c r="D90" s="99"/>
      <c r="E90" s="105"/>
      <c r="F90" s="41"/>
      <c r="G90" s="41"/>
      <c r="H90" s="41"/>
      <c r="I90" s="41"/>
      <c r="J90" s="41"/>
      <c r="K90" s="41"/>
      <c r="L90" s="41"/>
      <c r="M90" s="41"/>
      <c r="N90" s="41"/>
      <c r="O90" s="41"/>
      <c r="P90" s="99"/>
      <c r="Q90" s="94"/>
      <c r="R90" s="90"/>
      <c r="S90" s="90"/>
      <c r="T90" s="90"/>
      <c r="U90" s="90"/>
      <c r="V90" s="90"/>
      <c r="W90" s="90"/>
      <c r="X90" s="90"/>
      <c r="Y90" s="90"/>
      <c r="Z90" s="90"/>
      <c r="AA90" s="90"/>
      <c r="AB90" s="99"/>
      <c r="AC90" s="115">
        <f t="shared" si="2"/>
        <v>0</v>
      </c>
    </row>
    <row r="91" spans="1:29" s="52" customFormat="1" ht="20.100000000000001" customHeight="1" x14ac:dyDescent="0.25">
      <c r="A91" s="53" t="s">
        <v>211</v>
      </c>
      <c r="B91" s="54" t="s">
        <v>213</v>
      </c>
      <c r="C91" s="59" t="str">
        <f>IF(SUMIFS(Vigilancia!$E:$E,Vigilancia!$F:$F,A91,Vigilancia!$J:$J,"Vigilancia")=AC91,"ü","û")</f>
        <v>ü</v>
      </c>
      <c r="D91" s="99"/>
      <c r="E91" s="105">
        <v>17000</v>
      </c>
      <c r="F91" s="41">
        <v>17000</v>
      </c>
      <c r="G91" s="41">
        <v>17000</v>
      </c>
      <c r="H91" s="41">
        <v>17000</v>
      </c>
      <c r="I91" s="41">
        <v>26000</v>
      </c>
      <c r="J91" s="41">
        <v>26000</v>
      </c>
      <c r="K91" s="41">
        <v>35000</v>
      </c>
      <c r="L91" s="41">
        <v>35000</v>
      </c>
      <c r="M91" s="41">
        <v>35000</v>
      </c>
      <c r="N91" s="41">
        <v>35000</v>
      </c>
      <c r="O91" s="41">
        <v>50000</v>
      </c>
      <c r="P91" s="99">
        <v>50000</v>
      </c>
      <c r="Q91" s="94">
        <v>80000</v>
      </c>
      <c r="R91" s="90">
        <v>80000</v>
      </c>
      <c r="S91" s="90">
        <v>140000</v>
      </c>
      <c r="T91" s="90">
        <v>140000</v>
      </c>
      <c r="U91" s="90">
        <v>400000</v>
      </c>
      <c r="V91" s="90">
        <v>625000</v>
      </c>
      <c r="W91" s="350">
        <f>1075000-625000+550000</f>
        <v>1000000</v>
      </c>
      <c r="X91" s="90"/>
      <c r="Y91" s="90"/>
      <c r="Z91" s="90"/>
      <c r="AA91" s="90"/>
      <c r="AB91" s="99"/>
      <c r="AC91" s="115">
        <f t="shared" si="2"/>
        <v>2825000</v>
      </c>
    </row>
    <row r="92" spans="1:29" s="52" customFormat="1" ht="20.100000000000001" customHeight="1" x14ac:dyDescent="0.25">
      <c r="A92" s="53" t="s">
        <v>865</v>
      </c>
      <c r="B92" s="54" t="s">
        <v>866</v>
      </c>
      <c r="C92" s="59" t="str">
        <f>IF(SUMIFS(Vigilancia!$E:$E,Vigilancia!$F:$F,A92,Vigilancia!$J:$J,"Vigilancia")=AC92,"ü","û")</f>
        <v>ü</v>
      </c>
      <c r="D92" s="99"/>
      <c r="E92" s="105"/>
      <c r="F92" s="41"/>
      <c r="G92" s="41"/>
      <c r="H92" s="41"/>
      <c r="I92" s="41"/>
      <c r="J92" s="41"/>
      <c r="K92" s="41"/>
      <c r="L92" s="41"/>
      <c r="M92" s="41"/>
      <c r="N92" s="41"/>
      <c r="O92" s="41"/>
      <c r="P92" s="99"/>
      <c r="Q92" s="94"/>
      <c r="R92" s="90"/>
      <c r="S92" s="90"/>
      <c r="T92" s="90"/>
      <c r="U92" s="90"/>
      <c r="V92" s="90"/>
      <c r="W92" s="90"/>
      <c r="X92" s="90"/>
      <c r="Y92" s="90"/>
      <c r="Z92" s="90"/>
      <c r="AA92" s="90"/>
      <c r="AB92" s="99"/>
      <c r="AC92" s="115">
        <f t="shared" si="2"/>
        <v>0</v>
      </c>
    </row>
    <row r="93" spans="1:29" s="52" customFormat="1" ht="20.100000000000001" customHeight="1" x14ac:dyDescent="0.25">
      <c r="A93" s="56" t="s">
        <v>171</v>
      </c>
      <c r="B93" s="57" t="s">
        <v>172</v>
      </c>
      <c r="C93" s="58" t="str">
        <f>IF(SUMIFS(Vigilancia!$E:$E,Vigilancia!$F:$F,A93,Vigilancia!$J:$J,"Vigilancia")=AC93,"ü","û")</f>
        <v>ü</v>
      </c>
      <c r="D93" s="100"/>
      <c r="E93" s="106">
        <v>2000</v>
      </c>
      <c r="F93" s="43"/>
      <c r="G93" s="43"/>
      <c r="H93" s="43"/>
      <c r="I93" s="43"/>
      <c r="J93" s="43"/>
      <c r="K93" s="43"/>
      <c r="L93" s="43"/>
      <c r="M93" s="43"/>
      <c r="N93" s="43"/>
      <c r="O93" s="43"/>
      <c r="P93" s="100"/>
      <c r="Q93" s="93"/>
      <c r="R93" s="89"/>
      <c r="S93" s="89"/>
      <c r="T93" s="89"/>
      <c r="U93" s="89"/>
      <c r="V93" s="89"/>
      <c r="W93" s="89"/>
      <c r="X93" s="89"/>
      <c r="Y93" s="89"/>
      <c r="Z93" s="89"/>
      <c r="AA93" s="89"/>
      <c r="AB93" s="100"/>
      <c r="AC93" s="114">
        <f t="shared" si="2"/>
        <v>2000</v>
      </c>
    </row>
    <row r="94" spans="1:29" s="52" customFormat="1" ht="20.100000000000001" customHeight="1" x14ac:dyDescent="0.25">
      <c r="A94" s="53" t="s">
        <v>206</v>
      </c>
      <c r="B94" s="54" t="s">
        <v>208</v>
      </c>
      <c r="C94" s="59" t="str">
        <f>IF(SUMIFS(Vigilancia!$E:$E,Vigilancia!$F:$F,A94,Vigilancia!$J:$J,"Vigilancia")=AC94,"ü","û")</f>
        <v>ü</v>
      </c>
      <c r="D94" s="99"/>
      <c r="E94" s="105">
        <v>17000</v>
      </c>
      <c r="F94" s="41">
        <v>17000</v>
      </c>
      <c r="G94" s="41">
        <v>17000</v>
      </c>
      <c r="H94" s="41">
        <v>17000</v>
      </c>
      <c r="I94" s="41">
        <v>26000</v>
      </c>
      <c r="J94" s="41">
        <v>26000</v>
      </c>
      <c r="K94" s="41">
        <v>35000</v>
      </c>
      <c r="L94" s="41">
        <v>35000</v>
      </c>
      <c r="M94" s="41"/>
      <c r="N94" s="41"/>
      <c r="O94" s="41"/>
      <c r="P94" s="99"/>
      <c r="Q94" s="94">
        <v>80000</v>
      </c>
      <c r="R94" s="90">
        <v>80000</v>
      </c>
      <c r="S94" s="90">
        <v>140000</v>
      </c>
      <c r="T94" s="90">
        <v>140000</v>
      </c>
      <c r="U94" s="90">
        <v>400000</v>
      </c>
      <c r="V94" s="90"/>
      <c r="W94" s="90"/>
      <c r="X94" s="90"/>
      <c r="Y94" s="90"/>
      <c r="Z94" s="90"/>
      <c r="AA94" s="90"/>
      <c r="AB94" s="99"/>
      <c r="AC94" s="115">
        <f t="shared" si="2"/>
        <v>1030000</v>
      </c>
    </row>
    <row r="95" spans="1:29" s="52" customFormat="1" ht="20.100000000000001" customHeight="1" x14ac:dyDescent="0.25">
      <c r="A95" s="53" t="s">
        <v>122</v>
      </c>
      <c r="B95" s="54" t="s">
        <v>124</v>
      </c>
      <c r="C95" s="59" t="str">
        <f>IF(SUMIFS(Vigilancia!$E:$E,Vigilancia!$F:$F,A95,Vigilancia!$J:$J,"Vigilancia")=AC95,"ü","û")</f>
        <v>ü</v>
      </c>
      <c r="D95" s="99"/>
      <c r="E95" s="105">
        <v>17000</v>
      </c>
      <c r="F95" s="41">
        <v>17000</v>
      </c>
      <c r="G95" s="41">
        <v>17000</v>
      </c>
      <c r="H95" s="41">
        <v>17000</v>
      </c>
      <c r="I95" s="41">
        <v>26000</v>
      </c>
      <c r="J95" s="41">
        <v>26000</v>
      </c>
      <c r="K95" s="41">
        <f>26000+9000</f>
        <v>35000</v>
      </c>
      <c r="L95" s="41">
        <v>35000</v>
      </c>
      <c r="M95" s="41">
        <v>35000</v>
      </c>
      <c r="N95" s="41">
        <v>35000</v>
      </c>
      <c r="O95" s="41">
        <v>50000</v>
      </c>
      <c r="P95" s="99">
        <v>50000</v>
      </c>
      <c r="Q95" s="94">
        <v>80000</v>
      </c>
      <c r="R95" s="90">
        <v>80000</v>
      </c>
      <c r="S95" s="90">
        <v>140000</v>
      </c>
      <c r="T95" s="90">
        <v>140000</v>
      </c>
      <c r="U95" s="90">
        <v>400000</v>
      </c>
      <c r="V95" s="90">
        <v>625000</v>
      </c>
      <c r="W95" s="90">
        <v>1000000</v>
      </c>
      <c r="X95" s="90">
        <v>1200000</v>
      </c>
      <c r="Y95" s="90"/>
      <c r="Z95" s="90"/>
      <c r="AA95" s="90"/>
      <c r="AB95" s="99"/>
      <c r="AC95" s="115">
        <f t="shared" si="2"/>
        <v>4025000</v>
      </c>
    </row>
    <row r="96" spans="1:29" s="52" customFormat="1" ht="20.100000000000001" customHeight="1" x14ac:dyDescent="0.25">
      <c r="A96" s="53" t="s">
        <v>40</v>
      </c>
      <c r="B96" s="54" t="s">
        <v>42</v>
      </c>
      <c r="C96" s="59" t="str">
        <f>IF(SUMIFS(Vigilancia!$E:$E,Vigilancia!$F:$F,A96,Vigilancia!$J:$J,"Vigilancia")=AC96,"ü","û")</f>
        <v>ü</v>
      </c>
      <c r="D96" s="99"/>
      <c r="E96" s="107">
        <v>10500</v>
      </c>
      <c r="F96" s="41">
        <v>17000</v>
      </c>
      <c r="G96" s="41">
        <v>17000</v>
      </c>
      <c r="H96" s="41">
        <v>17000</v>
      </c>
      <c r="I96" s="41">
        <v>26000</v>
      </c>
      <c r="J96" s="41">
        <v>26000</v>
      </c>
      <c r="K96" s="77">
        <v>26000</v>
      </c>
      <c r="L96" s="41">
        <v>35000</v>
      </c>
      <c r="M96" s="41">
        <v>35000</v>
      </c>
      <c r="N96" s="41">
        <v>35000</v>
      </c>
      <c r="O96" s="41">
        <f>35000+15000</f>
        <v>50000</v>
      </c>
      <c r="P96" s="99">
        <v>50000</v>
      </c>
      <c r="Q96" s="94">
        <f>50000+30000</f>
        <v>80000</v>
      </c>
      <c r="R96" s="90">
        <v>80000</v>
      </c>
      <c r="S96" s="90">
        <v>140000</v>
      </c>
      <c r="T96" s="90">
        <v>140000</v>
      </c>
      <c r="U96" s="90">
        <v>400000</v>
      </c>
      <c r="V96" s="90">
        <f>400000+225000</f>
        <v>625000</v>
      </c>
      <c r="W96" s="90">
        <f>400000+600000</f>
        <v>1000000</v>
      </c>
      <c r="X96" s="90">
        <f>1000000+200000</f>
        <v>1200000</v>
      </c>
      <c r="Y96" s="134">
        <v>1200000</v>
      </c>
      <c r="Z96" s="90"/>
      <c r="AA96" s="90"/>
      <c r="AB96" s="99"/>
      <c r="AC96" s="115">
        <f t="shared" si="2"/>
        <v>5209500</v>
      </c>
    </row>
    <row r="97" spans="1:29" s="52" customFormat="1" ht="20.100000000000001" customHeight="1" x14ac:dyDescent="0.25">
      <c r="A97" s="163" t="s">
        <v>152</v>
      </c>
      <c r="B97" s="164" t="s">
        <v>154</v>
      </c>
      <c r="C97" s="59" t="str">
        <f>IF(SUMIFS(Vigilancia!$E:$E,Vigilancia!$F:$F,A97,Vigilancia!$J:$J,"Vigilancia")=AC97,"ü","û")</f>
        <v>ü</v>
      </c>
      <c r="D97" s="99"/>
      <c r="E97" s="105">
        <v>17000</v>
      </c>
      <c r="F97" s="41">
        <v>17000</v>
      </c>
      <c r="G97" s="41">
        <v>17000</v>
      </c>
      <c r="H97" s="41">
        <v>17000</v>
      </c>
      <c r="I97" s="41">
        <v>26000</v>
      </c>
      <c r="J97" s="41">
        <v>26000</v>
      </c>
      <c r="K97" s="41">
        <v>35000</v>
      </c>
      <c r="L97" s="41">
        <v>35000</v>
      </c>
      <c r="M97" s="41">
        <v>35000</v>
      </c>
      <c r="N97" s="41">
        <v>35000</v>
      </c>
      <c r="O97" s="41">
        <f>35600+14400</f>
        <v>50000</v>
      </c>
      <c r="P97" s="99">
        <f>34800+15200</f>
        <v>50000</v>
      </c>
      <c r="Q97" s="94">
        <v>80000</v>
      </c>
      <c r="R97" s="90">
        <v>80000</v>
      </c>
      <c r="S97" s="90">
        <v>140000</v>
      </c>
      <c r="T97" s="90">
        <v>140000</v>
      </c>
      <c r="U97" s="195"/>
      <c r="V97" s="195"/>
      <c r="W97" s="195"/>
      <c r="X97" s="195"/>
      <c r="Y97" s="195"/>
      <c r="Z97" s="195"/>
      <c r="AA97" s="195"/>
      <c r="AB97" s="196"/>
      <c r="AC97" s="197">
        <f t="shared" si="2"/>
        <v>800000</v>
      </c>
    </row>
    <row r="98" spans="1:29" s="52" customFormat="1" ht="20.100000000000001" customHeight="1" x14ac:dyDescent="0.25">
      <c r="A98" s="53" t="s">
        <v>714</v>
      </c>
      <c r="B98" s="54" t="s">
        <v>154</v>
      </c>
      <c r="C98" s="59" t="str">
        <f>IF(SUMIFS(Vigilancia!$E:$E,Vigilancia!$F:$F,A98,Vigilancia!$J:$J,"Vigilancia")=AC98,"ü","û")</f>
        <v>ü</v>
      </c>
      <c r="D98" s="182"/>
      <c r="E98" s="183"/>
      <c r="F98" s="184"/>
      <c r="G98" s="184"/>
      <c r="H98" s="184"/>
      <c r="I98" s="184"/>
      <c r="J98" s="184"/>
      <c r="K98" s="184"/>
      <c r="L98" s="184"/>
      <c r="M98" s="184"/>
      <c r="N98" s="184"/>
      <c r="O98" s="184"/>
      <c r="P98" s="182"/>
      <c r="Q98" s="185"/>
      <c r="R98" s="186"/>
      <c r="S98" s="186"/>
      <c r="T98" s="186"/>
      <c r="U98" s="90">
        <v>400000</v>
      </c>
      <c r="V98" s="90">
        <f>400000+225000</f>
        <v>625000</v>
      </c>
      <c r="W98" s="90">
        <f>850000+150000</f>
        <v>1000000</v>
      </c>
      <c r="X98" s="90">
        <v>1200000</v>
      </c>
      <c r="Y98" s="90"/>
      <c r="Z98" s="90"/>
      <c r="AA98" s="90"/>
      <c r="AB98" s="99"/>
      <c r="AC98" s="115">
        <f>SUM(D98:AB98)</f>
        <v>3225000</v>
      </c>
    </row>
    <row r="99" spans="1:29" s="52" customFormat="1" ht="20.100000000000001" customHeight="1" x14ac:dyDescent="0.25">
      <c r="A99" s="53" t="s">
        <v>185</v>
      </c>
      <c r="B99" s="54" t="s">
        <v>187</v>
      </c>
      <c r="C99" s="59" t="str">
        <f>IF(SUMIFS(Vigilancia!$E:$E,Vigilancia!$F:$F,A99,Vigilancia!$J:$J,"Vigilancia")=AC99,"ü","û")</f>
        <v>ü</v>
      </c>
      <c r="D99" s="99"/>
      <c r="E99" s="105">
        <v>17000</v>
      </c>
      <c r="F99" s="41">
        <v>17000</v>
      </c>
      <c r="G99" s="41">
        <v>17000</v>
      </c>
      <c r="H99" s="41">
        <v>17000</v>
      </c>
      <c r="I99" s="41">
        <v>26000</v>
      </c>
      <c r="J99" s="41">
        <f>13000+13000</f>
        <v>26000</v>
      </c>
      <c r="K99" s="41">
        <v>35000</v>
      </c>
      <c r="L99" s="41">
        <v>35000</v>
      </c>
      <c r="M99" s="41">
        <v>35000</v>
      </c>
      <c r="N99" s="41">
        <v>35000</v>
      </c>
      <c r="O99" s="41">
        <v>50000</v>
      </c>
      <c r="P99" s="99">
        <v>50000</v>
      </c>
      <c r="Q99" s="94">
        <v>80000</v>
      </c>
      <c r="R99" s="90">
        <v>80000</v>
      </c>
      <c r="S99" s="90">
        <v>140000</v>
      </c>
      <c r="T99" s="90">
        <v>140000</v>
      </c>
      <c r="U99" s="90">
        <v>400000</v>
      </c>
      <c r="V99" s="90">
        <v>625000</v>
      </c>
      <c r="W99" s="350">
        <f>375000+625000</f>
        <v>1000000</v>
      </c>
      <c r="X99" s="90">
        <v>1200000</v>
      </c>
      <c r="Y99" s="90"/>
      <c r="Z99" s="90"/>
      <c r="AA99" s="90"/>
      <c r="AB99" s="99"/>
      <c r="AC99" s="115">
        <f t="shared" si="2"/>
        <v>4025000</v>
      </c>
    </row>
    <row r="100" spans="1:29" s="52" customFormat="1" ht="20.100000000000001" customHeight="1" x14ac:dyDescent="0.25">
      <c r="A100" s="56" t="s">
        <v>291</v>
      </c>
      <c r="B100" s="57" t="s">
        <v>293</v>
      </c>
      <c r="C100" s="58" t="str">
        <f>IF(SUMIFS(Vigilancia!$E:$E,Vigilancia!$F:$F,A100,Vigilancia!$J:$J,"Vigilancia")=AC100,"ü","û")</f>
        <v>ü</v>
      </c>
      <c r="D100" s="100"/>
      <c r="E100" s="106">
        <v>1500</v>
      </c>
      <c r="F100" s="43">
        <v>1500</v>
      </c>
      <c r="G100" s="175" t="s">
        <v>17</v>
      </c>
      <c r="H100" s="175" t="s">
        <v>17</v>
      </c>
      <c r="I100" s="175" t="s">
        <v>17</v>
      </c>
      <c r="J100" s="175" t="s">
        <v>17</v>
      </c>
      <c r="K100" s="175" t="s">
        <v>17</v>
      </c>
      <c r="L100" s="175" t="s">
        <v>17</v>
      </c>
      <c r="M100" s="175" t="s">
        <v>17</v>
      </c>
      <c r="N100" s="175" t="s">
        <v>17</v>
      </c>
      <c r="O100" s="175" t="s">
        <v>17</v>
      </c>
      <c r="P100" s="177" t="s">
        <v>17</v>
      </c>
      <c r="Q100" s="187" t="s">
        <v>17</v>
      </c>
      <c r="R100" s="89">
        <v>80000</v>
      </c>
      <c r="S100" s="89">
        <v>140000</v>
      </c>
      <c r="T100" s="89">
        <v>140000</v>
      </c>
      <c r="U100" s="89">
        <f>400000-200000</f>
        <v>200000</v>
      </c>
      <c r="V100" s="89">
        <f>625000-200000</f>
        <v>425000</v>
      </c>
      <c r="W100" s="89">
        <v>1000000</v>
      </c>
      <c r="X100" s="89"/>
      <c r="Y100" s="89"/>
      <c r="Z100" s="89"/>
      <c r="AA100" s="89"/>
      <c r="AB100" s="100"/>
      <c r="AC100" s="114">
        <f t="shared" si="2"/>
        <v>1988000</v>
      </c>
    </row>
    <row r="101" spans="1:29" s="52" customFormat="1" ht="20.100000000000001" customHeight="1" x14ac:dyDescent="0.25">
      <c r="A101" s="53" t="s">
        <v>287</v>
      </c>
      <c r="B101" s="54" t="s">
        <v>289</v>
      </c>
      <c r="C101" s="59" t="str">
        <f>IF(SUMIFS(Vigilancia!$E:$E,Vigilancia!$F:$F,A101,Vigilancia!$J:$J,"Vigilancia")=AC101,"ü","û")</f>
        <v>ü</v>
      </c>
      <c r="D101" s="99"/>
      <c r="E101" s="105">
        <v>17000</v>
      </c>
      <c r="F101" s="41">
        <v>17000</v>
      </c>
      <c r="G101" s="41">
        <v>17000</v>
      </c>
      <c r="H101" s="41">
        <v>17000</v>
      </c>
      <c r="I101" s="41">
        <v>26000</v>
      </c>
      <c r="J101" s="41">
        <v>26000</v>
      </c>
      <c r="K101" s="41">
        <v>35000</v>
      </c>
      <c r="L101" s="41">
        <v>35000</v>
      </c>
      <c r="M101" s="41">
        <v>35000</v>
      </c>
      <c r="N101" s="41">
        <v>35000</v>
      </c>
      <c r="O101" s="41">
        <v>50000</v>
      </c>
      <c r="P101" s="99">
        <v>50000</v>
      </c>
      <c r="Q101" s="94">
        <f>50000+12450+17550</f>
        <v>80000</v>
      </c>
      <c r="R101" s="90">
        <v>80000</v>
      </c>
      <c r="S101" s="90">
        <f>100000-80000-17550+97550+40000</f>
        <v>140000</v>
      </c>
      <c r="T101" s="90">
        <v>140000</v>
      </c>
      <c r="U101" s="90">
        <v>400000</v>
      </c>
      <c r="V101" s="90">
        <v>625000</v>
      </c>
      <c r="W101" s="90">
        <v>1000000</v>
      </c>
      <c r="X101" s="90"/>
      <c r="Y101" s="90"/>
      <c r="Z101" s="90"/>
      <c r="AA101" s="90"/>
      <c r="AB101" s="99"/>
      <c r="AC101" s="115">
        <f t="shared" si="2"/>
        <v>2825000</v>
      </c>
    </row>
    <row r="102" spans="1:29" s="52" customFormat="1" ht="20.100000000000001" customHeight="1" x14ac:dyDescent="0.25">
      <c r="A102" s="53" t="s">
        <v>537</v>
      </c>
      <c r="B102" s="54" t="s">
        <v>539</v>
      </c>
      <c r="C102" s="59" t="str">
        <f>IF(SUMIFS(Vigilancia!$E:$E,Vigilancia!$F:$F,A102,Vigilancia!$J:$J,"Vigilancia")=AC102,"ü","û")</f>
        <v>ü</v>
      </c>
      <c r="D102" s="99"/>
      <c r="E102" s="105"/>
      <c r="F102" s="41"/>
      <c r="G102" s="41"/>
      <c r="H102" s="41"/>
      <c r="I102" s="41"/>
      <c r="J102" s="41"/>
      <c r="K102" s="41">
        <v>35000</v>
      </c>
      <c r="L102" s="41">
        <v>35000</v>
      </c>
      <c r="M102" s="41">
        <v>35000</v>
      </c>
      <c r="N102" s="41">
        <v>35000</v>
      </c>
      <c r="O102" s="41">
        <v>50000</v>
      </c>
      <c r="P102" s="99">
        <v>50000</v>
      </c>
      <c r="Q102" s="94">
        <v>80000</v>
      </c>
      <c r="R102" s="90">
        <v>80000</v>
      </c>
      <c r="S102" s="90">
        <v>140000</v>
      </c>
      <c r="T102" s="90">
        <v>140000</v>
      </c>
      <c r="U102" s="90">
        <v>400000</v>
      </c>
      <c r="V102" s="90">
        <v>625000</v>
      </c>
      <c r="W102" s="90">
        <f>800000-625000+825000</f>
        <v>1000000</v>
      </c>
      <c r="X102" s="134">
        <f>50000</f>
        <v>50000</v>
      </c>
      <c r="Y102" s="90"/>
      <c r="Z102" s="90"/>
      <c r="AA102" s="90"/>
      <c r="AB102" s="99"/>
      <c r="AC102" s="115">
        <f t="shared" si="2"/>
        <v>2755000</v>
      </c>
    </row>
    <row r="103" spans="1:29" s="52" customFormat="1" ht="20.100000000000001" customHeight="1" x14ac:dyDescent="0.25">
      <c r="A103" s="56" t="s">
        <v>402</v>
      </c>
      <c r="B103" s="57" t="s">
        <v>404</v>
      </c>
      <c r="C103" s="58" t="str">
        <f>IF(SUMIFS(Vigilancia!$E:$E,Vigilancia!$F:$F,A103,Vigilancia!$J:$J,"Vigilancia")=AC103,"ü","û")</f>
        <v>ü</v>
      </c>
      <c r="D103" s="100"/>
      <c r="E103" s="106"/>
      <c r="F103" s="43"/>
      <c r="G103" s="43"/>
      <c r="H103" s="43">
        <v>10000</v>
      </c>
      <c r="I103" s="43">
        <v>10000</v>
      </c>
      <c r="J103" s="43">
        <v>13000</v>
      </c>
      <c r="K103" s="43">
        <v>15000</v>
      </c>
      <c r="L103" s="43">
        <v>15000</v>
      </c>
      <c r="M103" s="43">
        <v>17000</v>
      </c>
      <c r="N103" s="43">
        <v>15000</v>
      </c>
      <c r="O103" s="43">
        <v>15000</v>
      </c>
      <c r="P103" s="100">
        <v>17000</v>
      </c>
      <c r="Q103" s="93">
        <v>40000</v>
      </c>
      <c r="R103" s="89">
        <v>40000</v>
      </c>
      <c r="S103" s="89">
        <v>80000</v>
      </c>
      <c r="T103" s="89">
        <v>80000</v>
      </c>
      <c r="U103" s="89">
        <v>200000</v>
      </c>
      <c r="V103" s="89">
        <f>200000+100000</f>
        <v>300000</v>
      </c>
      <c r="W103" s="89">
        <v>500000</v>
      </c>
      <c r="X103" s="89"/>
      <c r="Y103" s="89"/>
      <c r="Z103" s="89"/>
      <c r="AA103" s="89"/>
      <c r="AB103" s="100"/>
      <c r="AC103" s="114">
        <f t="shared" si="2"/>
        <v>1367000</v>
      </c>
    </row>
    <row r="104" spans="1:29" s="52" customFormat="1" ht="20.100000000000001" customHeight="1" x14ac:dyDescent="0.25">
      <c r="A104" s="53" t="s">
        <v>472</v>
      </c>
      <c r="B104" s="54" t="s">
        <v>473</v>
      </c>
      <c r="C104" s="59" t="str">
        <f>IF(SUMIFS(Vigilancia!$E:$E,Vigilancia!$F:$F,A104,Vigilancia!$J:$J,"Vigilancia")=AC104,"ü","û")</f>
        <v>ü</v>
      </c>
      <c r="D104" s="99"/>
      <c r="E104" s="105"/>
      <c r="F104" s="41"/>
      <c r="G104" s="41"/>
      <c r="H104" s="41"/>
      <c r="I104" s="41"/>
      <c r="J104" s="41"/>
      <c r="K104" s="41"/>
      <c r="L104" s="41"/>
      <c r="M104" s="41"/>
      <c r="N104" s="41"/>
      <c r="O104" s="41"/>
      <c r="P104" s="99"/>
      <c r="Q104" s="94"/>
      <c r="R104" s="90"/>
      <c r="S104" s="90"/>
      <c r="T104" s="90"/>
      <c r="U104" s="90"/>
      <c r="V104" s="90"/>
      <c r="W104" s="90"/>
      <c r="X104" s="90"/>
      <c r="Y104" s="90"/>
      <c r="Z104" s="90"/>
      <c r="AA104" s="90"/>
      <c r="AB104" s="99"/>
      <c r="AC104" s="115">
        <f t="shared" si="2"/>
        <v>0</v>
      </c>
    </row>
    <row r="105" spans="1:29" s="52" customFormat="1" ht="20.100000000000001" customHeight="1" x14ac:dyDescent="0.25">
      <c r="A105" s="56" t="s">
        <v>418</v>
      </c>
      <c r="B105" s="57" t="s">
        <v>420</v>
      </c>
      <c r="C105" s="58" t="str">
        <f>IF(SUMIFS(Vigilancia!$E:$E,Vigilancia!$F:$F,A105,Vigilancia!$J:$J,"Vigilancia")=AC105,"ü","û")</f>
        <v>ü</v>
      </c>
      <c r="D105" s="100"/>
      <c r="E105" s="106"/>
      <c r="F105" s="43"/>
      <c r="G105" s="43"/>
      <c r="H105" s="43">
        <v>5000</v>
      </c>
      <c r="I105" s="43"/>
      <c r="J105" s="43"/>
      <c r="K105" s="43"/>
      <c r="L105" s="43">
        <v>10000</v>
      </c>
      <c r="M105" s="43">
        <v>10000</v>
      </c>
      <c r="N105" s="43"/>
      <c r="O105" s="43"/>
      <c r="P105" s="100"/>
      <c r="Q105" s="93"/>
      <c r="R105" s="89"/>
      <c r="S105" s="89"/>
      <c r="T105" s="89"/>
      <c r="U105" s="89"/>
      <c r="V105" s="89"/>
      <c r="W105" s="89">
        <v>500000</v>
      </c>
      <c r="X105" s="89"/>
      <c r="Y105" s="89"/>
      <c r="Z105" s="89"/>
      <c r="AA105" s="89"/>
      <c r="AB105" s="100"/>
      <c r="AC105" s="114">
        <f t="shared" si="2"/>
        <v>525000</v>
      </c>
    </row>
    <row r="106" spans="1:29" s="52" customFormat="1" ht="20.100000000000001" customHeight="1" x14ac:dyDescent="0.25">
      <c r="A106" s="53" t="s">
        <v>408</v>
      </c>
      <c r="B106" s="54" t="s">
        <v>410</v>
      </c>
      <c r="C106" s="59" t="str">
        <f>IF(SUMIFS(Vigilancia!$E:$E,Vigilancia!$F:$F,A106,Vigilancia!$J:$J,"Vigilancia")=AC106,"ü","û")</f>
        <v>ü</v>
      </c>
      <c r="D106" s="99"/>
      <c r="E106" s="107">
        <v>12000</v>
      </c>
      <c r="F106" s="42">
        <v>12000</v>
      </c>
      <c r="G106" s="42">
        <v>12000</v>
      </c>
      <c r="H106" s="41">
        <v>17000</v>
      </c>
      <c r="I106" s="79"/>
      <c r="J106" s="41">
        <v>26000</v>
      </c>
      <c r="K106" s="41">
        <f>1000+34000</f>
        <v>35000</v>
      </c>
      <c r="L106" s="41">
        <f>1000+34000</f>
        <v>35000</v>
      </c>
      <c r="M106" s="41">
        <f>1000+34000</f>
        <v>35000</v>
      </c>
      <c r="N106" s="41">
        <f>1000+34000</f>
        <v>35000</v>
      </c>
      <c r="O106" s="41">
        <v>50000</v>
      </c>
      <c r="P106" s="99">
        <v>50000</v>
      </c>
      <c r="Q106" s="94">
        <f>50000+30000</f>
        <v>80000</v>
      </c>
      <c r="R106" s="90">
        <v>80000</v>
      </c>
      <c r="S106" s="90">
        <f>80000+60000</f>
        <v>140000</v>
      </c>
      <c r="T106" s="90">
        <f>80000+60000</f>
        <v>140000</v>
      </c>
      <c r="U106" s="90">
        <v>400000</v>
      </c>
      <c r="V106" s="90">
        <f>400000+225000</f>
        <v>625000</v>
      </c>
      <c r="W106" s="90">
        <v>1000000</v>
      </c>
      <c r="X106" s="90">
        <v>1200000</v>
      </c>
      <c r="Y106" s="90"/>
      <c r="Z106" s="90"/>
      <c r="AA106" s="90"/>
      <c r="AB106" s="99"/>
      <c r="AC106" s="115">
        <f t="shared" si="2"/>
        <v>3984000</v>
      </c>
    </row>
    <row r="107" spans="1:29" s="52" customFormat="1" ht="20.100000000000001" customHeight="1" x14ac:dyDescent="0.25">
      <c r="A107" s="53" t="s">
        <v>280</v>
      </c>
      <c r="B107" s="54" t="s">
        <v>282</v>
      </c>
      <c r="C107" s="59" t="str">
        <f>IF(SUMIFS(Vigilancia!$E:$E,Vigilancia!$F:$F,A107,Vigilancia!$J:$J,"Vigilancia")=AC107,"ü","û")</f>
        <v>ü</v>
      </c>
      <c r="D107" s="99"/>
      <c r="E107" s="105">
        <f>16000+1000</f>
        <v>17000</v>
      </c>
      <c r="F107" s="41">
        <v>17000</v>
      </c>
      <c r="G107" s="41">
        <v>17000</v>
      </c>
      <c r="H107" s="41">
        <v>17000</v>
      </c>
      <c r="I107" s="41">
        <v>26000</v>
      </c>
      <c r="J107" s="41">
        <v>26000</v>
      </c>
      <c r="K107" s="41">
        <v>35000</v>
      </c>
      <c r="L107" s="41">
        <v>35000</v>
      </c>
      <c r="M107" s="41">
        <v>35000</v>
      </c>
      <c r="N107" s="41">
        <v>35000</v>
      </c>
      <c r="O107" s="41">
        <f>35000+15000</f>
        <v>50000</v>
      </c>
      <c r="P107" s="99">
        <f>25000+25000</f>
        <v>50000</v>
      </c>
      <c r="Q107" s="94">
        <v>80000</v>
      </c>
      <c r="R107" s="90">
        <f>20000+60000</f>
        <v>80000</v>
      </c>
      <c r="S107" s="90">
        <f>80000+60000</f>
        <v>140000</v>
      </c>
      <c r="T107" s="90">
        <f>20000+120000</f>
        <v>140000</v>
      </c>
      <c r="U107" s="90">
        <v>400000</v>
      </c>
      <c r="V107" s="90">
        <f>400000+225000</f>
        <v>625000</v>
      </c>
      <c r="W107" s="90">
        <v>1000000</v>
      </c>
      <c r="X107" s="90">
        <v>1200000</v>
      </c>
      <c r="Y107" s="90"/>
      <c r="Z107" s="90"/>
      <c r="AA107" s="90"/>
      <c r="AB107" s="99"/>
      <c r="AC107" s="115">
        <f t="shared" si="2"/>
        <v>4025000</v>
      </c>
    </row>
    <row r="108" spans="1:29" s="52" customFormat="1" ht="20.100000000000001" customHeight="1" x14ac:dyDescent="0.25">
      <c r="A108" s="53" t="s">
        <v>558</v>
      </c>
      <c r="B108" s="54" t="s">
        <v>560</v>
      </c>
      <c r="C108" s="59" t="str">
        <f>IF(SUMIFS(Vigilancia!$E:$E,Vigilancia!$F:$F,A108,Vigilancia!$J:$J,"Vigilancia")=AC108,"ü","û")</f>
        <v>ü</v>
      </c>
      <c r="D108" s="99"/>
      <c r="E108" s="105"/>
      <c r="F108" s="41"/>
      <c r="G108" s="41"/>
      <c r="H108" s="41"/>
      <c r="I108" s="41"/>
      <c r="J108" s="41"/>
      <c r="K108" s="41"/>
      <c r="L108" s="41"/>
      <c r="M108" s="41"/>
      <c r="N108" s="41"/>
      <c r="O108" s="41">
        <v>50000</v>
      </c>
      <c r="P108" s="99">
        <v>50000</v>
      </c>
      <c r="Q108" s="94">
        <f>50000+30000</f>
        <v>80000</v>
      </c>
      <c r="R108" s="90">
        <v>80000</v>
      </c>
      <c r="S108" s="90">
        <v>140000</v>
      </c>
      <c r="T108" s="90">
        <f>20000+120000</f>
        <v>140000</v>
      </c>
      <c r="U108" s="90">
        <f>140000+260000</f>
        <v>400000</v>
      </c>
      <c r="V108" s="90">
        <f>400000+225000</f>
        <v>625000</v>
      </c>
      <c r="W108" s="90">
        <f>850000+150000</f>
        <v>1000000</v>
      </c>
      <c r="X108" s="90"/>
      <c r="Y108" s="90"/>
      <c r="Z108" s="90"/>
      <c r="AA108" s="90"/>
      <c r="AB108" s="99"/>
      <c r="AC108" s="115">
        <f t="shared" si="2"/>
        <v>2565000</v>
      </c>
    </row>
    <row r="109" spans="1:29" s="52" customFormat="1" ht="20.100000000000001" customHeight="1" x14ac:dyDescent="0.25">
      <c r="A109" s="53" t="s">
        <v>36</v>
      </c>
      <c r="B109" s="54" t="s">
        <v>38</v>
      </c>
      <c r="C109" s="59" t="str">
        <f>IF(SUMIFS(Vigilancia!$E:$E,Vigilancia!$F:$F,A109,Vigilancia!$J:$J,"Vigilancia")=AC109,"ü","û")</f>
        <v>ü</v>
      </c>
      <c r="D109" s="99"/>
      <c r="E109" s="105">
        <f>10500+6500</f>
        <v>17000</v>
      </c>
      <c r="F109" s="41">
        <f>7488+9512</f>
        <v>17000</v>
      </c>
      <c r="G109" s="41">
        <v>17000</v>
      </c>
      <c r="H109" s="41">
        <v>17000</v>
      </c>
      <c r="I109" s="41">
        <v>26000</v>
      </c>
      <c r="J109" s="41">
        <v>26000</v>
      </c>
      <c r="K109" s="41">
        <f>25000+10000</f>
        <v>35000</v>
      </c>
      <c r="L109" s="41">
        <f>30000+5000</f>
        <v>35000</v>
      </c>
      <c r="M109" s="41">
        <v>35000</v>
      </c>
      <c r="N109" s="41">
        <v>35000</v>
      </c>
      <c r="O109" s="41">
        <v>50000</v>
      </c>
      <c r="P109" s="99">
        <v>50000</v>
      </c>
      <c r="Q109" s="94">
        <v>80000</v>
      </c>
      <c r="R109" s="90">
        <v>80000</v>
      </c>
      <c r="S109" s="90">
        <v>140000</v>
      </c>
      <c r="T109" s="90">
        <f>20000+120000</f>
        <v>140000</v>
      </c>
      <c r="U109" s="90">
        <v>400000</v>
      </c>
      <c r="V109" s="90">
        <f>400000+225000</f>
        <v>625000</v>
      </c>
      <c r="W109" s="90">
        <v>1000000</v>
      </c>
      <c r="X109" s="90">
        <v>1200000</v>
      </c>
      <c r="Y109" s="90"/>
      <c r="Z109" s="90"/>
      <c r="AA109" s="90"/>
      <c r="AB109" s="99"/>
      <c r="AC109" s="115">
        <f t="shared" si="2"/>
        <v>4025000</v>
      </c>
    </row>
    <row r="110" spans="1:29" s="52" customFormat="1" ht="20.100000000000001" customHeight="1" x14ac:dyDescent="0.25">
      <c r="A110" s="53" t="s">
        <v>867</v>
      </c>
      <c r="B110" s="54" t="s">
        <v>868</v>
      </c>
      <c r="C110" s="59" t="str">
        <f>IF(SUMIFS(Vigilancia!$E:$E,Vigilancia!$F:$F,A110,Vigilancia!$J:$J,"Vigilancia")=AC110,"ü","û")</f>
        <v>ü</v>
      </c>
      <c r="D110" s="99"/>
      <c r="E110" s="105"/>
      <c r="F110" s="41"/>
      <c r="G110" s="41"/>
      <c r="H110" s="41"/>
      <c r="I110" s="41"/>
      <c r="J110" s="41"/>
      <c r="K110" s="41"/>
      <c r="L110" s="41"/>
      <c r="M110" s="41"/>
      <c r="N110" s="41"/>
      <c r="O110" s="41"/>
      <c r="P110" s="99"/>
      <c r="Q110" s="94"/>
      <c r="R110" s="90"/>
      <c r="S110" s="90"/>
      <c r="T110" s="90"/>
      <c r="U110" s="90"/>
      <c r="V110" s="90"/>
      <c r="W110" s="90"/>
      <c r="X110" s="90"/>
      <c r="Y110" s="90"/>
      <c r="Z110" s="90"/>
      <c r="AA110" s="90"/>
      <c r="AB110" s="99"/>
      <c r="AC110" s="115">
        <f t="shared" si="2"/>
        <v>0</v>
      </c>
    </row>
    <row r="111" spans="1:29" s="52" customFormat="1" ht="20.100000000000001" customHeight="1" x14ac:dyDescent="0.25">
      <c r="A111" s="53" t="s">
        <v>484</v>
      </c>
      <c r="B111" s="54" t="s">
        <v>486</v>
      </c>
      <c r="C111" s="59" t="str">
        <f>IF(SUMIFS(Vigilancia!$E:$E,Vigilancia!$F:$F,A111,Vigilancia!$J:$J,"Vigilancia")=AC111,"ü","û")</f>
        <v>ü</v>
      </c>
      <c r="D111" s="99"/>
      <c r="E111" s="107"/>
      <c r="F111" s="42"/>
      <c r="G111" s="42"/>
      <c r="H111" s="42"/>
      <c r="I111" s="42"/>
      <c r="J111" s="41">
        <v>26000</v>
      </c>
      <c r="K111" s="41">
        <v>35000</v>
      </c>
      <c r="L111" s="41">
        <v>35000</v>
      </c>
      <c r="M111" s="41">
        <v>35000</v>
      </c>
      <c r="N111" s="41">
        <v>35000</v>
      </c>
      <c r="O111" s="41">
        <v>50000</v>
      </c>
      <c r="P111" s="99">
        <v>50000</v>
      </c>
      <c r="Q111" s="94">
        <v>80000</v>
      </c>
      <c r="R111" s="90">
        <v>80000</v>
      </c>
      <c r="S111" s="90">
        <f>80000+60000</f>
        <v>140000</v>
      </c>
      <c r="T111" s="90">
        <v>140000</v>
      </c>
      <c r="U111" s="90">
        <v>400000</v>
      </c>
      <c r="V111" s="90">
        <f>400000+225000</f>
        <v>625000</v>
      </c>
      <c r="W111" s="90">
        <f>850000+150000</f>
        <v>1000000</v>
      </c>
      <c r="X111" s="90">
        <v>1200000</v>
      </c>
      <c r="Y111" s="137">
        <f>1300000</f>
        <v>1300000</v>
      </c>
      <c r="Z111" s="90"/>
      <c r="AA111" s="90"/>
      <c r="AB111" s="99"/>
      <c r="AC111" s="115">
        <f t="shared" si="2"/>
        <v>5231000</v>
      </c>
    </row>
    <row r="112" spans="1:29" s="52" customFormat="1" ht="20.100000000000001" customHeight="1" x14ac:dyDescent="0.25">
      <c r="A112" s="53" t="s">
        <v>372</v>
      </c>
      <c r="B112" s="54" t="s">
        <v>374</v>
      </c>
      <c r="C112" s="59" t="str">
        <f>IF(SUMIFS(Vigilancia!$E:$E,Vigilancia!$F:$F,A112,Vigilancia!$J:$J,"Vigilancia")=AC112,"ü","û")</f>
        <v>ü</v>
      </c>
      <c r="D112" s="99"/>
      <c r="E112" s="105">
        <v>17000</v>
      </c>
      <c r="F112" s="41">
        <v>17000</v>
      </c>
      <c r="G112" s="41"/>
      <c r="H112" s="41"/>
      <c r="I112" s="41"/>
      <c r="J112" s="41"/>
      <c r="K112" s="41"/>
      <c r="L112" s="41"/>
      <c r="M112" s="41"/>
      <c r="N112" s="41"/>
      <c r="O112" s="41"/>
      <c r="P112" s="99"/>
      <c r="Q112" s="170" t="s">
        <v>17</v>
      </c>
      <c r="R112" s="171" t="s">
        <v>17</v>
      </c>
      <c r="S112" s="171" t="s">
        <v>17</v>
      </c>
      <c r="T112" s="171" t="s">
        <v>17</v>
      </c>
      <c r="U112" s="171" t="s">
        <v>17</v>
      </c>
      <c r="V112" s="171" t="s">
        <v>17</v>
      </c>
      <c r="W112" s="171" t="s">
        <v>17</v>
      </c>
      <c r="X112" s="171" t="s">
        <v>17</v>
      </c>
      <c r="Y112" s="171" t="s">
        <v>17</v>
      </c>
      <c r="Z112" s="171" t="s">
        <v>17</v>
      </c>
      <c r="AA112" s="171" t="s">
        <v>17</v>
      </c>
      <c r="AB112" s="172" t="s">
        <v>17</v>
      </c>
      <c r="AC112" s="115">
        <f t="shared" si="2"/>
        <v>34000</v>
      </c>
    </row>
    <row r="113" spans="1:29" s="52" customFormat="1" ht="20.100000000000001" customHeight="1" x14ac:dyDescent="0.25">
      <c r="A113" s="56" t="s">
        <v>413</v>
      </c>
      <c r="B113" s="57" t="s">
        <v>415</v>
      </c>
      <c r="C113" s="58" t="str">
        <f>IF(SUMIFS(Vigilancia!$E:$E,Vigilancia!$F:$F,A113,Vigilancia!$J:$J,"Vigilancia")=AC113,"ü","û")</f>
        <v>ü</v>
      </c>
      <c r="D113" s="100"/>
      <c r="E113" s="106">
        <v>10000</v>
      </c>
      <c r="F113" s="43">
        <v>10000</v>
      </c>
      <c r="G113" s="43">
        <v>10000</v>
      </c>
      <c r="H113" s="43">
        <v>15000</v>
      </c>
      <c r="I113" s="43">
        <v>15000</v>
      </c>
      <c r="J113" s="43">
        <v>15000</v>
      </c>
      <c r="K113" s="43">
        <v>15000</v>
      </c>
      <c r="L113" s="43">
        <v>15000</v>
      </c>
      <c r="M113" s="43">
        <v>15000</v>
      </c>
      <c r="N113" s="43">
        <v>20000</v>
      </c>
      <c r="O113" s="43">
        <v>20000</v>
      </c>
      <c r="P113" s="100">
        <v>20000</v>
      </c>
      <c r="Q113" s="93">
        <v>50000</v>
      </c>
      <c r="R113" s="89">
        <v>50000</v>
      </c>
      <c r="S113" s="89">
        <v>100000</v>
      </c>
      <c r="T113" s="89">
        <v>100000</v>
      </c>
      <c r="U113" s="89">
        <v>200000</v>
      </c>
      <c r="V113" s="89">
        <v>400000</v>
      </c>
      <c r="W113" s="89">
        <v>500000</v>
      </c>
      <c r="X113" s="89"/>
      <c r="Y113" s="89"/>
      <c r="Z113" s="89"/>
      <c r="AA113" s="89"/>
      <c r="AB113" s="100"/>
      <c r="AC113" s="114">
        <f t="shared" si="2"/>
        <v>1580000</v>
      </c>
    </row>
    <row r="114" spans="1:29" s="52" customFormat="1" ht="20.100000000000001" customHeight="1" x14ac:dyDescent="0.25">
      <c r="A114" s="53" t="s">
        <v>869</v>
      </c>
      <c r="B114" s="54" t="s">
        <v>870</v>
      </c>
      <c r="C114" s="59" t="str">
        <f>IF(SUMIFS(Vigilancia!$E:$E,Vigilancia!$F:$F,A114,Vigilancia!$J:$J,"Vigilancia")=AC114,"ü","û")</f>
        <v>ü</v>
      </c>
      <c r="D114" s="99"/>
      <c r="E114" s="105"/>
      <c r="F114" s="41"/>
      <c r="G114" s="41"/>
      <c r="H114" s="41"/>
      <c r="I114" s="41"/>
      <c r="J114" s="41"/>
      <c r="K114" s="41"/>
      <c r="L114" s="41"/>
      <c r="M114" s="41"/>
      <c r="N114" s="41"/>
      <c r="O114" s="41"/>
      <c r="P114" s="99"/>
      <c r="Q114" s="94"/>
      <c r="R114" s="90"/>
      <c r="S114" s="90"/>
      <c r="T114" s="90"/>
      <c r="U114" s="90"/>
      <c r="V114" s="90"/>
      <c r="W114" s="90"/>
      <c r="X114" s="90"/>
      <c r="Y114" s="90"/>
      <c r="Z114" s="90"/>
      <c r="AA114" s="90"/>
      <c r="AB114" s="99"/>
      <c r="AC114" s="115">
        <f t="shared" si="2"/>
        <v>0</v>
      </c>
    </row>
    <row r="115" spans="1:29" s="52" customFormat="1" ht="20.100000000000001" customHeight="1" x14ac:dyDescent="0.25">
      <c r="A115" s="53" t="s">
        <v>219</v>
      </c>
      <c r="B115" s="54" t="s">
        <v>221</v>
      </c>
      <c r="C115" s="59" t="str">
        <f>IF(SUMIFS(Vigilancia!$E:$E,Vigilancia!$F:$F,A115,Vigilancia!$J:$J,"Vigilancia")=AC115,"ü","û")</f>
        <v>ü</v>
      </c>
      <c r="D115" s="99"/>
      <c r="E115" s="105">
        <v>17000</v>
      </c>
      <c r="F115" s="41">
        <v>17000</v>
      </c>
      <c r="G115" s="41">
        <v>17000</v>
      </c>
      <c r="H115" s="41">
        <v>17000</v>
      </c>
      <c r="I115" s="41">
        <v>26000</v>
      </c>
      <c r="J115" s="41">
        <f>17000+9000</f>
        <v>26000</v>
      </c>
      <c r="K115" s="41">
        <v>35000</v>
      </c>
      <c r="L115" s="41">
        <v>35000</v>
      </c>
      <c r="M115" s="41">
        <v>35000</v>
      </c>
      <c r="N115" s="41">
        <v>35000</v>
      </c>
      <c r="O115" s="41">
        <v>50000</v>
      </c>
      <c r="P115" s="99">
        <v>50000</v>
      </c>
      <c r="Q115" s="94">
        <v>80000</v>
      </c>
      <c r="R115" s="90">
        <v>80000</v>
      </c>
      <c r="S115" s="90">
        <v>140000</v>
      </c>
      <c r="T115" s="90">
        <v>140000</v>
      </c>
      <c r="U115" s="90">
        <v>400000</v>
      </c>
      <c r="V115" s="90">
        <v>625000</v>
      </c>
      <c r="W115" s="90">
        <v>1000000</v>
      </c>
      <c r="X115" s="90">
        <v>1200000</v>
      </c>
      <c r="Y115" s="90"/>
      <c r="Z115" s="90"/>
      <c r="AA115" s="90"/>
      <c r="AB115" s="99"/>
      <c r="AC115" s="115">
        <f t="shared" si="2"/>
        <v>4025000</v>
      </c>
    </row>
    <row r="116" spans="1:29" s="52" customFormat="1" ht="20.100000000000001" customHeight="1" x14ac:dyDescent="0.25">
      <c r="A116" s="56" t="s">
        <v>181</v>
      </c>
      <c r="B116" s="57" t="s">
        <v>183</v>
      </c>
      <c r="C116" s="58" t="str">
        <f>IF(SUMIFS(Vigilancia!$E:$E,Vigilancia!$F:$F,A116,Vigilancia!$J:$J,"Vigilancia")=AC116,"ü","û")</f>
        <v>ü</v>
      </c>
      <c r="D116" s="100"/>
      <c r="E116" s="106">
        <v>10000</v>
      </c>
      <c r="F116" s="43">
        <v>10000</v>
      </c>
      <c r="G116" s="43">
        <v>10000</v>
      </c>
      <c r="H116" s="43">
        <v>10000</v>
      </c>
      <c r="I116" s="43">
        <v>15000</v>
      </c>
      <c r="J116" s="43">
        <v>15000</v>
      </c>
      <c r="K116" s="43">
        <v>20000</v>
      </c>
      <c r="L116" s="43">
        <v>20000</v>
      </c>
      <c r="M116" s="43">
        <v>20000</v>
      </c>
      <c r="N116" s="43">
        <v>20000</v>
      </c>
      <c r="O116" s="43">
        <v>40000</v>
      </c>
      <c r="P116" s="100">
        <v>40000</v>
      </c>
      <c r="Q116" s="94">
        <v>80000</v>
      </c>
      <c r="R116" s="90">
        <v>80000</v>
      </c>
      <c r="S116" s="90">
        <v>140000</v>
      </c>
      <c r="T116" s="90">
        <v>140000</v>
      </c>
      <c r="U116" s="90">
        <v>400000</v>
      </c>
      <c r="V116" s="90">
        <f>400000+225000</f>
        <v>625000</v>
      </c>
      <c r="W116" s="90">
        <v>1000000</v>
      </c>
      <c r="X116" s="90">
        <v>1200000</v>
      </c>
      <c r="Y116" s="90"/>
      <c r="Z116" s="90"/>
      <c r="AA116" s="90"/>
      <c r="AB116" s="99"/>
      <c r="AC116" s="115">
        <f t="shared" si="2"/>
        <v>3895000</v>
      </c>
    </row>
    <row r="117" spans="1:29" s="52" customFormat="1" ht="20.100000000000001" customHeight="1" x14ac:dyDescent="0.25">
      <c r="A117" s="53" t="s">
        <v>80</v>
      </c>
      <c r="B117" s="54" t="s">
        <v>82</v>
      </c>
      <c r="C117" s="59" t="str">
        <f>IF(SUMIFS(Vigilancia!$E:$E,Vigilancia!$F:$F,A117,Vigilancia!$J:$J,"Vigilancia")=AC117,"ü","û")</f>
        <v>ü</v>
      </c>
      <c r="D117" s="99"/>
      <c r="E117" s="105">
        <v>17000</v>
      </c>
      <c r="F117" s="41">
        <v>17000</v>
      </c>
      <c r="G117" s="41">
        <v>17000</v>
      </c>
      <c r="H117" s="41">
        <v>17000</v>
      </c>
      <c r="I117" s="41">
        <v>26000</v>
      </c>
      <c r="J117" s="41">
        <v>26000</v>
      </c>
      <c r="K117" s="41">
        <f>26000+9000</f>
        <v>35000</v>
      </c>
      <c r="L117" s="41">
        <v>35000</v>
      </c>
      <c r="M117" s="41">
        <v>35000</v>
      </c>
      <c r="N117" s="41">
        <v>35000</v>
      </c>
      <c r="O117" s="41">
        <f>35000+15000</f>
        <v>50000</v>
      </c>
      <c r="P117" s="99">
        <v>50000</v>
      </c>
      <c r="Q117" s="94">
        <f>50000+30000</f>
        <v>80000</v>
      </c>
      <c r="R117" s="90">
        <v>80000</v>
      </c>
      <c r="S117" s="90">
        <v>140000</v>
      </c>
      <c r="T117" s="90">
        <v>140000</v>
      </c>
      <c r="U117" s="90">
        <v>400000</v>
      </c>
      <c r="V117" s="90">
        <f>400000+225000</f>
        <v>625000</v>
      </c>
      <c r="W117" s="90">
        <f>850000+150000</f>
        <v>1000000</v>
      </c>
      <c r="X117" s="90">
        <v>1200000</v>
      </c>
      <c r="Y117" s="90"/>
      <c r="Z117" s="90"/>
      <c r="AA117" s="90"/>
      <c r="AB117" s="99"/>
      <c r="AC117" s="115">
        <f t="shared" si="2"/>
        <v>4025000</v>
      </c>
    </row>
    <row r="118" spans="1:29" s="52" customFormat="1" ht="20.100000000000001" customHeight="1" x14ac:dyDescent="0.25">
      <c r="A118" s="201" t="s">
        <v>871</v>
      </c>
      <c r="B118" s="202" t="s">
        <v>720</v>
      </c>
      <c r="C118" s="59" t="str">
        <f>IF(SUMIFS(Vigilancia!$E:$E,Vigilancia!$F:$F,A118,Vigilancia!$J:$J,"Vigilancia")=AC118,"ü","û")</f>
        <v>ü</v>
      </c>
      <c r="D118" s="99"/>
      <c r="E118" s="105"/>
      <c r="F118" s="41"/>
      <c r="G118" s="41"/>
      <c r="H118" s="41"/>
      <c r="I118" s="41"/>
      <c r="J118" s="41"/>
      <c r="K118" s="41"/>
      <c r="L118" s="41"/>
      <c r="M118" s="41"/>
      <c r="N118" s="41"/>
      <c r="O118" s="41"/>
      <c r="P118" s="99"/>
      <c r="Q118" s="94"/>
      <c r="R118" s="90"/>
      <c r="S118" s="90"/>
      <c r="T118" s="245" t="s">
        <v>847</v>
      </c>
      <c r="U118" s="198"/>
      <c r="V118" s="198"/>
      <c r="W118" s="198"/>
      <c r="X118" s="198"/>
      <c r="Y118" s="198"/>
      <c r="Z118" s="198"/>
      <c r="AA118" s="198"/>
      <c r="AB118" s="199"/>
      <c r="AC118" s="200">
        <f>SUM(D118:AB118)</f>
        <v>0</v>
      </c>
    </row>
    <row r="119" spans="1:29" s="52" customFormat="1" ht="20.100000000000001" customHeight="1" x14ac:dyDescent="0.25">
      <c r="A119" s="201" t="s">
        <v>718</v>
      </c>
      <c r="B119" s="202" t="s">
        <v>720</v>
      </c>
      <c r="C119" s="59" t="str">
        <f>IF(SUMIFS(Vigilancia!$E:$E,Vigilancia!$F:$F,A119,Vigilancia!$J:$J,"Vigilancia")=AC119,"ü","û")</f>
        <v>ü</v>
      </c>
      <c r="D119" s="179"/>
      <c r="E119" s="259"/>
      <c r="F119" s="180"/>
      <c r="G119" s="180"/>
      <c r="H119" s="180"/>
      <c r="I119" s="180"/>
      <c r="J119" s="180"/>
      <c r="K119" s="180"/>
      <c r="L119" s="180"/>
      <c r="M119" s="180"/>
      <c r="N119" s="180"/>
      <c r="O119" s="180"/>
      <c r="P119" s="179"/>
      <c r="Q119" s="260"/>
      <c r="R119" s="261"/>
      <c r="S119" s="261"/>
      <c r="T119" s="90">
        <f>20000+120000</f>
        <v>140000</v>
      </c>
      <c r="U119" s="90">
        <f>140000+260000</f>
        <v>400000</v>
      </c>
      <c r="V119" s="134">
        <f>400000</f>
        <v>400000</v>
      </c>
      <c r="W119" s="245" t="s">
        <v>872</v>
      </c>
      <c r="X119" s="198"/>
      <c r="Y119" s="198"/>
      <c r="Z119" s="198"/>
      <c r="AA119" s="198"/>
      <c r="AB119" s="199"/>
      <c r="AC119" s="200">
        <f>SUM(D119:AB119)</f>
        <v>940000</v>
      </c>
    </row>
    <row r="120" spans="1:29" s="52" customFormat="1" ht="20.100000000000001" customHeight="1" x14ac:dyDescent="0.25">
      <c r="A120" s="53" t="s">
        <v>786</v>
      </c>
      <c r="B120" s="54" t="s">
        <v>720</v>
      </c>
      <c r="C120" s="59" t="str">
        <f>IF(SUMIFS(Vigilancia!$E:$E,Vigilancia!$F:$F,A120,Vigilancia!$J:$J,"Vigilancia")=AC120,"ü","û")</f>
        <v>ü</v>
      </c>
      <c r="D120" s="179"/>
      <c r="E120" s="259"/>
      <c r="F120" s="180"/>
      <c r="G120" s="180"/>
      <c r="H120" s="180"/>
      <c r="I120" s="180"/>
      <c r="J120" s="180"/>
      <c r="K120" s="180"/>
      <c r="L120" s="180"/>
      <c r="M120" s="180"/>
      <c r="N120" s="180"/>
      <c r="O120" s="180"/>
      <c r="P120" s="179"/>
      <c r="Q120" s="260"/>
      <c r="R120" s="261"/>
      <c r="S120" s="261"/>
      <c r="T120" s="261"/>
      <c r="U120" s="261"/>
      <c r="V120" s="261">
        <f>225000</f>
        <v>225000</v>
      </c>
      <c r="W120" s="90">
        <v>1000000</v>
      </c>
      <c r="X120" s="90"/>
      <c r="Y120" s="90"/>
      <c r="Z120" s="90"/>
      <c r="AA120" s="90"/>
      <c r="AB120" s="99"/>
      <c r="AC120" s="115">
        <f t="shared" si="2"/>
        <v>1225000</v>
      </c>
    </row>
    <row r="121" spans="1:29" s="52" customFormat="1" ht="20.100000000000001" customHeight="1" x14ac:dyDescent="0.25">
      <c r="A121" s="201" t="s">
        <v>74</v>
      </c>
      <c r="B121" s="202" t="s">
        <v>75</v>
      </c>
      <c r="C121" s="59" t="str">
        <f>IF(SUMIFS(Vigilancia!$E:$E,Vigilancia!$F:$F,A121,Vigilancia!$J:$J,"Vigilancia")=AC121,"ü","û")</f>
        <v>ü</v>
      </c>
      <c r="D121" s="100"/>
      <c r="E121" s="106">
        <v>4500</v>
      </c>
      <c r="F121" s="43">
        <v>4500</v>
      </c>
      <c r="G121" s="43">
        <v>5000</v>
      </c>
      <c r="H121" s="43">
        <v>5000</v>
      </c>
      <c r="I121" s="43">
        <v>5000</v>
      </c>
      <c r="J121" s="203" t="s">
        <v>847</v>
      </c>
      <c r="K121" s="205"/>
      <c r="L121" s="205"/>
      <c r="M121" s="205"/>
      <c r="N121" s="205"/>
      <c r="O121" s="205"/>
      <c r="P121" s="196"/>
      <c r="Q121" s="204"/>
      <c r="R121" s="195"/>
      <c r="S121" s="195"/>
      <c r="T121" s="195"/>
      <c r="U121" s="195"/>
      <c r="V121" s="195"/>
      <c r="W121" s="195"/>
      <c r="X121" s="195"/>
      <c r="Y121" s="195"/>
      <c r="Z121" s="195"/>
      <c r="AA121" s="195"/>
      <c r="AB121" s="196"/>
      <c r="AC121" s="197">
        <f t="shared" si="2"/>
        <v>24000</v>
      </c>
    </row>
    <row r="122" spans="1:29" s="52" customFormat="1" ht="20.100000000000001" customHeight="1" x14ac:dyDescent="0.25">
      <c r="A122" s="53" t="s">
        <v>444</v>
      </c>
      <c r="B122" s="54" t="s">
        <v>75</v>
      </c>
      <c r="C122" s="59" t="str">
        <f>IF(SUMIFS(Vigilancia!$E:$E,Vigilancia!$F:$F,A122,Vigilancia!$J:$J,"Vigilancia")=AC122,"ü","û")</f>
        <v>ü</v>
      </c>
      <c r="D122" s="179"/>
      <c r="E122" s="259"/>
      <c r="F122" s="180"/>
      <c r="G122" s="180"/>
      <c r="H122" s="180"/>
      <c r="I122" s="180"/>
      <c r="J122" s="41">
        <v>26000</v>
      </c>
      <c r="K122" s="77">
        <v>26000</v>
      </c>
      <c r="L122" s="41">
        <v>35000</v>
      </c>
      <c r="M122" s="41">
        <v>35000</v>
      </c>
      <c r="N122" s="41">
        <v>35000</v>
      </c>
      <c r="O122" s="41">
        <v>50000</v>
      </c>
      <c r="P122" s="99">
        <v>50000</v>
      </c>
      <c r="Q122" s="94">
        <v>80000</v>
      </c>
      <c r="R122" s="90">
        <v>80000</v>
      </c>
      <c r="S122" s="90">
        <v>140000</v>
      </c>
      <c r="T122" s="90">
        <v>140000</v>
      </c>
      <c r="U122" s="90">
        <v>400000</v>
      </c>
      <c r="V122" s="90">
        <f>400000+225000</f>
        <v>625000</v>
      </c>
      <c r="W122" s="90">
        <f>1030000-225000+195000</f>
        <v>1000000</v>
      </c>
      <c r="X122" s="90">
        <v>1200000</v>
      </c>
      <c r="Y122" s="90"/>
      <c r="Z122" s="90"/>
      <c r="AA122" s="90"/>
      <c r="AB122" s="99"/>
      <c r="AC122" s="115">
        <f t="shared" si="2"/>
        <v>3922000</v>
      </c>
    </row>
    <row r="123" spans="1:29" s="52" customFormat="1" ht="20.100000000000001" customHeight="1" x14ac:dyDescent="0.25">
      <c r="A123" s="53" t="s">
        <v>162</v>
      </c>
      <c r="B123" s="54" t="s">
        <v>164</v>
      </c>
      <c r="C123" s="59" t="str">
        <f>IF(SUMIFS(Vigilancia!$E:$E,Vigilancia!$F:$F,A123,Vigilancia!$J:$J,"Vigilancia")=AC123,"ü","û")</f>
        <v>ü</v>
      </c>
      <c r="D123" s="99"/>
      <c r="E123" s="105">
        <v>17000</v>
      </c>
      <c r="F123" s="42">
        <v>12000</v>
      </c>
      <c r="G123" s="42"/>
      <c r="H123" s="42"/>
      <c r="I123" s="41">
        <v>26000</v>
      </c>
      <c r="J123" s="41">
        <v>26000</v>
      </c>
      <c r="K123" s="41">
        <v>35000</v>
      </c>
      <c r="L123" s="41">
        <v>35000</v>
      </c>
      <c r="M123" s="41">
        <v>35000</v>
      </c>
      <c r="N123" s="41">
        <v>35000</v>
      </c>
      <c r="O123" s="41">
        <v>50000</v>
      </c>
      <c r="P123" s="99">
        <v>50000</v>
      </c>
      <c r="Q123" s="94">
        <v>80000</v>
      </c>
      <c r="R123" s="90">
        <v>80000</v>
      </c>
      <c r="S123" s="41">
        <f>50000+90000</f>
        <v>140000</v>
      </c>
      <c r="T123" s="90">
        <v>140000</v>
      </c>
      <c r="U123" s="90">
        <f>20000+380000</f>
        <v>400000</v>
      </c>
      <c r="V123" s="90">
        <f>400000+225000</f>
        <v>625000</v>
      </c>
      <c r="W123" s="350">
        <f>400000+450000+150000</f>
        <v>1000000</v>
      </c>
      <c r="X123" s="350">
        <f>400000+800000</f>
        <v>1200000</v>
      </c>
      <c r="Y123" s="137">
        <v>400000</v>
      </c>
      <c r="Z123" s="137">
        <v>20000</v>
      </c>
      <c r="AA123" s="90"/>
      <c r="AB123" s="99"/>
      <c r="AC123" s="115">
        <f t="shared" si="2"/>
        <v>4406000</v>
      </c>
    </row>
    <row r="124" spans="1:29" s="52" customFormat="1" ht="20.100000000000001" customHeight="1" x14ac:dyDescent="0.25">
      <c r="A124" s="53" t="s">
        <v>134</v>
      </c>
      <c r="B124" s="54" t="s">
        <v>136</v>
      </c>
      <c r="C124" s="59" t="str">
        <f>IF(SUMIFS(Vigilancia!$E:$E,Vigilancia!$F:$F,A124,Vigilancia!$J:$J,"Vigilancia")=AC124,"ü","û")</f>
        <v>ü</v>
      </c>
      <c r="D124" s="99"/>
      <c r="E124" s="105">
        <v>17000</v>
      </c>
      <c r="F124" s="41">
        <v>17000</v>
      </c>
      <c r="G124" s="41">
        <v>17000</v>
      </c>
      <c r="H124" s="41">
        <v>17000</v>
      </c>
      <c r="I124" s="41">
        <v>26000</v>
      </c>
      <c r="J124" s="41">
        <f>1000+25000</f>
        <v>26000</v>
      </c>
      <c r="K124" s="41">
        <v>35000</v>
      </c>
      <c r="L124" s="41">
        <v>35000</v>
      </c>
      <c r="M124" s="41">
        <v>35000</v>
      </c>
      <c r="N124" s="41">
        <v>35000</v>
      </c>
      <c r="O124" s="41">
        <v>50000</v>
      </c>
      <c r="P124" s="99">
        <v>50000</v>
      </c>
      <c r="Q124" s="94">
        <v>80000</v>
      </c>
      <c r="R124" s="90">
        <v>80000</v>
      </c>
      <c r="S124" s="90">
        <v>140000</v>
      </c>
      <c r="T124" s="90">
        <v>140000</v>
      </c>
      <c r="U124" s="90">
        <v>400000</v>
      </c>
      <c r="V124" s="90">
        <f>400000+225000</f>
        <v>625000</v>
      </c>
      <c r="W124" s="90">
        <v>1000000</v>
      </c>
      <c r="X124" s="90">
        <v>1200000</v>
      </c>
      <c r="Y124" s="90"/>
      <c r="Z124" s="90"/>
      <c r="AA124" s="90"/>
      <c r="AB124" s="99"/>
      <c r="AC124" s="115">
        <f t="shared" si="2"/>
        <v>4025000</v>
      </c>
    </row>
    <row r="125" spans="1:29" s="52" customFormat="1" ht="20.100000000000001" customHeight="1" x14ac:dyDescent="0.25">
      <c r="A125" s="53" t="s">
        <v>114</v>
      </c>
      <c r="B125" s="54" t="s">
        <v>116</v>
      </c>
      <c r="C125" s="59" t="str">
        <f>IF(SUMIFS(Vigilancia!$E:$E,Vigilancia!$F:$F,A125,Vigilancia!$J:$J,"Vigilancia")=AC125,"ü","û")</f>
        <v>ü</v>
      </c>
      <c r="D125" s="99"/>
      <c r="E125" s="105">
        <v>17000</v>
      </c>
      <c r="F125" s="41">
        <v>17000</v>
      </c>
      <c r="G125" s="41">
        <v>17000</v>
      </c>
      <c r="H125" s="41">
        <v>17000</v>
      </c>
      <c r="I125" s="41">
        <v>26000</v>
      </c>
      <c r="J125" s="41">
        <v>26000</v>
      </c>
      <c r="K125" s="41">
        <f>26000+9000</f>
        <v>35000</v>
      </c>
      <c r="L125" s="41">
        <v>35000</v>
      </c>
      <c r="M125" s="41">
        <v>35000</v>
      </c>
      <c r="N125" s="41">
        <v>35000</v>
      </c>
      <c r="O125" s="41">
        <v>50000</v>
      </c>
      <c r="P125" s="99">
        <v>50000</v>
      </c>
      <c r="Q125" s="94">
        <v>80000</v>
      </c>
      <c r="R125" s="90">
        <v>80000</v>
      </c>
      <c r="S125" s="90">
        <v>140000</v>
      </c>
      <c r="T125" s="90">
        <v>150000</v>
      </c>
      <c r="U125" s="90">
        <v>400000</v>
      </c>
      <c r="V125" s="90">
        <f>400000+225000</f>
        <v>625000</v>
      </c>
      <c r="W125" s="90">
        <f>850000+150000</f>
        <v>1000000</v>
      </c>
      <c r="X125" s="134">
        <f>850000+75000</f>
        <v>925000</v>
      </c>
      <c r="Y125" s="90"/>
      <c r="Z125" s="90"/>
      <c r="AA125" s="90"/>
      <c r="AB125" s="99"/>
      <c r="AC125" s="115">
        <f t="shared" si="2"/>
        <v>3760000</v>
      </c>
    </row>
    <row r="126" spans="1:29" s="52" customFormat="1" ht="20.100000000000001" customHeight="1" x14ac:dyDescent="0.25">
      <c r="A126" s="53" t="s">
        <v>138</v>
      </c>
      <c r="B126" s="54" t="s">
        <v>140</v>
      </c>
      <c r="C126" s="59" t="str">
        <f>IF(SUMIFS(Vigilancia!$E:$E,Vigilancia!$F:$F,A126,Vigilancia!$J:$J,"Vigilancia")=AC126,"ü","û")</f>
        <v>ü</v>
      </c>
      <c r="D126" s="99"/>
      <c r="E126" s="105">
        <v>17000</v>
      </c>
      <c r="F126" s="41">
        <v>17000</v>
      </c>
      <c r="G126" s="41">
        <v>17000</v>
      </c>
      <c r="H126" s="41">
        <v>17000</v>
      </c>
      <c r="I126" s="41">
        <v>26000</v>
      </c>
      <c r="J126" s="41">
        <v>26000</v>
      </c>
      <c r="K126" s="41">
        <v>35000</v>
      </c>
      <c r="L126" s="41">
        <v>35000</v>
      </c>
      <c r="M126" s="41">
        <v>35000</v>
      </c>
      <c r="N126" s="41">
        <v>35000</v>
      </c>
      <c r="O126" s="41">
        <v>50000</v>
      </c>
      <c r="P126" s="99">
        <v>50000</v>
      </c>
      <c r="Q126" s="94">
        <v>80000</v>
      </c>
      <c r="R126" s="90">
        <v>80000</v>
      </c>
      <c r="S126" s="90">
        <v>140000</v>
      </c>
      <c r="T126" s="90">
        <v>140000</v>
      </c>
      <c r="U126" s="90">
        <v>400000</v>
      </c>
      <c r="V126" s="90">
        <f>400000+225000</f>
        <v>625000</v>
      </c>
      <c r="W126" s="90">
        <v>1000000</v>
      </c>
      <c r="X126" s="134">
        <v>1000000</v>
      </c>
      <c r="Y126" s="90"/>
      <c r="Z126" s="90"/>
      <c r="AA126" s="90"/>
      <c r="AB126" s="99"/>
      <c r="AC126" s="115">
        <f t="shared" si="2"/>
        <v>3825000</v>
      </c>
    </row>
    <row r="127" spans="1:29" s="52" customFormat="1" ht="20.100000000000001" customHeight="1" x14ac:dyDescent="0.25">
      <c r="A127" s="53" t="s">
        <v>578</v>
      </c>
      <c r="B127" s="54" t="s">
        <v>580</v>
      </c>
      <c r="C127" s="59" t="str">
        <f>IF(SUMIFS(Vigilancia!$E:$E,Vigilancia!$F:$F,A127,Vigilancia!$J:$J,"Vigilancia")=AC127,"ü","û")</f>
        <v>ü</v>
      </c>
      <c r="D127" s="99"/>
      <c r="E127" s="105"/>
      <c r="F127" s="41"/>
      <c r="G127" s="41"/>
      <c r="H127" s="41"/>
      <c r="I127" s="41"/>
      <c r="J127" s="41"/>
      <c r="K127" s="41"/>
      <c r="L127" s="41"/>
      <c r="M127" s="41"/>
      <c r="N127" s="41"/>
      <c r="O127" s="41">
        <v>30000</v>
      </c>
      <c r="P127" s="172" t="s">
        <v>17</v>
      </c>
      <c r="Q127" s="170" t="s">
        <v>17</v>
      </c>
      <c r="R127" s="171" t="s">
        <v>17</v>
      </c>
      <c r="S127" s="171" t="s">
        <v>17</v>
      </c>
      <c r="T127" s="171" t="s">
        <v>17</v>
      </c>
      <c r="U127" s="171" t="s">
        <v>17</v>
      </c>
      <c r="V127" s="171" t="s">
        <v>17</v>
      </c>
      <c r="W127" s="171" t="s">
        <v>17</v>
      </c>
      <c r="X127" s="171" t="s">
        <v>17</v>
      </c>
      <c r="Y127" s="171" t="s">
        <v>17</v>
      </c>
      <c r="Z127" s="171" t="s">
        <v>17</v>
      </c>
      <c r="AA127" s="171" t="s">
        <v>17</v>
      </c>
      <c r="AB127" s="172" t="s">
        <v>17</v>
      </c>
      <c r="AC127" s="115">
        <f t="shared" si="2"/>
        <v>30000</v>
      </c>
    </row>
    <row r="128" spans="1:29" s="52" customFormat="1" ht="20.100000000000001" customHeight="1" x14ac:dyDescent="0.25">
      <c r="A128" s="53" t="s">
        <v>167</v>
      </c>
      <c r="B128" s="54" t="s">
        <v>169</v>
      </c>
      <c r="C128" s="59" t="str">
        <f>IF(SUMIFS(Vigilancia!$E:$E,Vigilancia!$F:$F,A128,Vigilancia!$J:$J,"Vigilancia")=AC128,"ü","û")</f>
        <v>ü</v>
      </c>
      <c r="D128" s="99"/>
      <c r="E128" s="105">
        <v>17000</v>
      </c>
      <c r="F128" s="41">
        <v>17000</v>
      </c>
      <c r="G128" s="41">
        <v>17000</v>
      </c>
      <c r="H128" s="41">
        <v>17000</v>
      </c>
      <c r="I128" s="41">
        <f>17000+9000</f>
        <v>26000</v>
      </c>
      <c r="J128" s="41">
        <v>26000</v>
      </c>
      <c r="K128" s="77">
        <v>18000</v>
      </c>
      <c r="L128" s="41">
        <v>15000</v>
      </c>
      <c r="M128" s="41">
        <v>15000</v>
      </c>
      <c r="N128" s="41">
        <v>25000</v>
      </c>
      <c r="O128" s="138" t="s">
        <v>490</v>
      </c>
      <c r="P128" s="139" t="s">
        <v>490</v>
      </c>
      <c r="Q128" s="94">
        <v>40000</v>
      </c>
      <c r="R128" s="90">
        <v>40000</v>
      </c>
      <c r="S128" s="90">
        <v>50000</v>
      </c>
      <c r="T128" s="90">
        <v>50000</v>
      </c>
      <c r="U128" s="90">
        <v>100000</v>
      </c>
      <c r="V128" s="90">
        <v>100000</v>
      </c>
      <c r="W128" s="90"/>
      <c r="X128" s="90"/>
      <c r="Y128" s="90"/>
      <c r="Z128" s="90"/>
      <c r="AA128" s="90"/>
      <c r="AB128" s="99"/>
      <c r="AC128" s="115">
        <f t="shared" si="2"/>
        <v>573000</v>
      </c>
    </row>
    <row r="129" spans="1:30" s="52" customFormat="1" ht="20.100000000000001" customHeight="1" x14ac:dyDescent="0.25">
      <c r="A129" s="53" t="s">
        <v>873</v>
      </c>
      <c r="B129" s="54" t="s">
        <v>874</v>
      </c>
      <c r="C129" s="59" t="str">
        <f>IF(SUMIFS(Vigilancia!$E:$E,Vigilancia!$F:$F,A129,Vigilancia!$J:$J,"Vigilancia")=AC129,"ü","û")</f>
        <v>ü</v>
      </c>
      <c r="D129" s="99"/>
      <c r="E129" s="105"/>
      <c r="F129" s="41"/>
      <c r="G129" s="41"/>
      <c r="H129" s="41"/>
      <c r="I129" s="41"/>
      <c r="J129" s="41"/>
      <c r="K129" s="41"/>
      <c r="L129" s="41"/>
      <c r="M129" s="41"/>
      <c r="N129" s="41"/>
      <c r="O129" s="41"/>
      <c r="P129" s="99"/>
      <c r="Q129" s="94"/>
      <c r="R129" s="90"/>
      <c r="S129" s="90"/>
      <c r="T129" s="90"/>
      <c r="U129" s="90"/>
      <c r="V129" s="90"/>
      <c r="W129" s="90"/>
      <c r="X129" s="90"/>
      <c r="Y129" s="90"/>
      <c r="Z129" s="90"/>
      <c r="AA129" s="90"/>
      <c r="AB129" s="99"/>
      <c r="AC129" s="115">
        <f t="shared" si="2"/>
        <v>0</v>
      </c>
    </row>
    <row r="130" spans="1:30" s="52" customFormat="1" ht="20.100000000000001" customHeight="1" x14ac:dyDescent="0.25">
      <c r="A130" s="63" t="s">
        <v>875</v>
      </c>
      <c r="B130" s="64" t="s">
        <v>874</v>
      </c>
      <c r="C130" s="65" t="str">
        <f>IF(SUMIFS(Vigilancia!$E:$E,Vigilancia!$F:$F,A130,Vigilancia!$J:$J,"Vigilancia")=AC130,"ü","û")</f>
        <v>ü</v>
      </c>
      <c r="D130" s="102"/>
      <c r="E130" s="109"/>
      <c r="F130" s="45"/>
      <c r="G130" s="45"/>
      <c r="H130" s="45"/>
      <c r="I130" s="45"/>
      <c r="J130" s="45"/>
      <c r="K130" s="45"/>
      <c r="L130" s="45"/>
      <c r="M130" s="45"/>
      <c r="N130" s="45"/>
      <c r="O130" s="45"/>
      <c r="P130" s="102"/>
      <c r="Q130" s="96"/>
      <c r="R130" s="91"/>
      <c r="S130" s="91"/>
      <c r="T130" s="91"/>
      <c r="U130" s="91"/>
      <c r="V130" s="91"/>
      <c r="W130" s="91"/>
      <c r="X130" s="91"/>
      <c r="Y130" s="91"/>
      <c r="Z130" s="91"/>
      <c r="AA130" s="91"/>
      <c r="AB130" s="102"/>
      <c r="AC130" s="117">
        <f t="shared" si="2"/>
        <v>0</v>
      </c>
    </row>
    <row r="131" spans="1:30" ht="13.5" thickBot="1" x14ac:dyDescent="0.25">
      <c r="A131" s="367"/>
      <c r="B131" s="368" t="s">
        <v>808</v>
      </c>
      <c r="C131" s="369" t="str">
        <f>C1</f>
        <v>ü</v>
      </c>
      <c r="D131" s="370">
        <f>SUM(D2:D130)</f>
        <v>10000</v>
      </c>
      <c r="E131" s="371">
        <f>SUM(E2:E130)</f>
        <v>1025500</v>
      </c>
      <c r="F131" s="372">
        <f t="shared" ref="F131:AB131" si="3">SUM(F2:F130)</f>
        <v>1062000</v>
      </c>
      <c r="G131" s="372">
        <f t="shared" si="3"/>
        <v>1008500</v>
      </c>
      <c r="H131" s="372">
        <f t="shared" si="3"/>
        <v>1047600</v>
      </c>
      <c r="I131" s="372">
        <f t="shared" si="3"/>
        <v>1508000</v>
      </c>
      <c r="J131" s="372">
        <f t="shared" si="3"/>
        <v>1565000</v>
      </c>
      <c r="K131" s="372">
        <f t="shared" si="3"/>
        <v>2091000</v>
      </c>
      <c r="L131" s="372">
        <f t="shared" si="3"/>
        <v>2110500</v>
      </c>
      <c r="M131" s="372">
        <f t="shared" si="3"/>
        <v>2076900</v>
      </c>
      <c r="N131" s="372">
        <f t="shared" si="3"/>
        <v>2142000</v>
      </c>
      <c r="O131" s="372">
        <f t="shared" si="3"/>
        <v>3040000</v>
      </c>
      <c r="P131" s="370">
        <f t="shared" si="3"/>
        <v>3077000</v>
      </c>
      <c r="Q131" s="371">
        <f t="shared" si="3"/>
        <v>5400000</v>
      </c>
      <c r="R131" s="372">
        <f t="shared" si="3"/>
        <v>5700000</v>
      </c>
      <c r="S131" s="372">
        <f t="shared" si="3"/>
        <v>9820000</v>
      </c>
      <c r="T131" s="372">
        <f t="shared" si="3"/>
        <v>10315000</v>
      </c>
      <c r="U131" s="372">
        <f t="shared" si="3"/>
        <v>28010000</v>
      </c>
      <c r="V131" s="372">
        <f t="shared" si="3"/>
        <v>44810000</v>
      </c>
      <c r="W131" s="372">
        <f t="shared" si="3"/>
        <v>73625000</v>
      </c>
      <c r="X131" s="372">
        <f t="shared" si="3"/>
        <v>55720000</v>
      </c>
      <c r="Y131" s="372">
        <f t="shared" si="3"/>
        <v>3836000</v>
      </c>
      <c r="Z131" s="372">
        <f t="shared" si="3"/>
        <v>20000</v>
      </c>
      <c r="AA131" s="372">
        <f t="shared" si="3"/>
        <v>0</v>
      </c>
      <c r="AB131" s="370">
        <f t="shared" si="3"/>
        <v>0</v>
      </c>
      <c r="AC131" s="373">
        <f t="shared" si="2"/>
        <v>259020000</v>
      </c>
    </row>
    <row r="132" spans="1:30" x14ac:dyDescent="0.2">
      <c r="A132" s="374"/>
      <c r="B132" s="375" t="s">
        <v>876</v>
      </c>
      <c r="C132" s="376"/>
      <c r="D132" s="377">
        <f>COUNT(D2:D130)</f>
        <v>2</v>
      </c>
      <c r="E132" s="378">
        <f t="shared" ref="E132:AB132" si="4">COUNT(E2:E130)</f>
        <v>75</v>
      </c>
      <c r="F132" s="379">
        <f t="shared" si="4"/>
        <v>75</v>
      </c>
      <c r="G132" s="379">
        <f t="shared" si="4"/>
        <v>69</v>
      </c>
      <c r="H132" s="379">
        <f t="shared" si="4"/>
        <v>70</v>
      </c>
      <c r="I132" s="379">
        <f t="shared" si="4"/>
        <v>69</v>
      </c>
      <c r="J132" s="379">
        <f t="shared" si="4"/>
        <v>68</v>
      </c>
      <c r="K132" s="379">
        <f t="shared" si="4"/>
        <v>71</v>
      </c>
      <c r="L132" s="379">
        <f t="shared" si="4"/>
        <v>71</v>
      </c>
      <c r="M132" s="379">
        <f t="shared" si="4"/>
        <v>68</v>
      </c>
      <c r="N132" s="379">
        <f t="shared" si="4"/>
        <v>68</v>
      </c>
      <c r="O132" s="379">
        <f t="shared" si="4"/>
        <v>68</v>
      </c>
      <c r="P132" s="377">
        <f t="shared" si="4"/>
        <v>68</v>
      </c>
      <c r="Q132" s="378">
        <f t="shared" si="4"/>
        <v>74</v>
      </c>
      <c r="R132" s="379">
        <f t="shared" si="4"/>
        <v>76</v>
      </c>
      <c r="S132" s="379">
        <f t="shared" si="4"/>
        <v>76</v>
      </c>
      <c r="T132" s="379">
        <f t="shared" si="4"/>
        <v>77</v>
      </c>
      <c r="U132" s="379">
        <f>COUNT(U2:U130)</f>
        <v>78</v>
      </c>
      <c r="V132" s="379">
        <f t="shared" si="4"/>
        <v>78</v>
      </c>
      <c r="W132" s="379">
        <f t="shared" si="4"/>
        <v>77</v>
      </c>
      <c r="X132" s="379">
        <f t="shared" si="4"/>
        <v>50</v>
      </c>
      <c r="Y132" s="379">
        <f t="shared" si="4"/>
        <v>7</v>
      </c>
      <c r="Z132" s="379">
        <f t="shared" si="4"/>
        <v>1</v>
      </c>
      <c r="AA132" s="379">
        <f t="shared" si="4"/>
        <v>0</v>
      </c>
      <c r="AB132" s="377">
        <f t="shared" si="4"/>
        <v>0</v>
      </c>
      <c r="AC132" s="380">
        <f t="shared" si="2"/>
        <v>1436</v>
      </c>
    </row>
    <row r="133" spans="1:30" x14ac:dyDescent="0.2">
      <c r="A133" s="227"/>
      <c r="B133" s="228" t="s">
        <v>877</v>
      </c>
      <c r="C133" s="229"/>
      <c r="D133" s="230">
        <f>COUNTIF(D2:D130,"&gt;="&amp;D135)</f>
        <v>0</v>
      </c>
      <c r="E133" s="231">
        <f t="shared" ref="E133:AB133" si="5">COUNTIF(E2:E130,"&gt;="&amp;E135)</f>
        <v>46</v>
      </c>
      <c r="F133" s="232">
        <f t="shared" si="5"/>
        <v>50</v>
      </c>
      <c r="G133" s="232">
        <f t="shared" si="5"/>
        <v>46</v>
      </c>
      <c r="H133" s="232">
        <f t="shared" si="5"/>
        <v>52</v>
      </c>
      <c r="I133" s="232">
        <f t="shared" si="5"/>
        <v>48</v>
      </c>
      <c r="J133" s="232">
        <f t="shared" si="5"/>
        <v>51</v>
      </c>
      <c r="K133" s="232">
        <f t="shared" si="5"/>
        <v>47</v>
      </c>
      <c r="L133" s="232">
        <f t="shared" si="5"/>
        <v>50</v>
      </c>
      <c r="M133" s="232">
        <f t="shared" si="5"/>
        <v>50</v>
      </c>
      <c r="N133" s="232">
        <f t="shared" si="5"/>
        <v>52</v>
      </c>
      <c r="O133" s="232">
        <f t="shared" si="5"/>
        <v>52</v>
      </c>
      <c r="P133" s="230">
        <f t="shared" si="5"/>
        <v>52</v>
      </c>
      <c r="Q133" s="231">
        <f t="shared" si="5"/>
        <v>59</v>
      </c>
      <c r="R133" s="232">
        <f t="shared" si="5"/>
        <v>63</v>
      </c>
      <c r="S133" s="232">
        <f t="shared" si="5"/>
        <v>61</v>
      </c>
      <c r="T133" s="232">
        <f t="shared" si="5"/>
        <v>64</v>
      </c>
      <c r="U133" s="232">
        <f t="shared" si="5"/>
        <v>64</v>
      </c>
      <c r="V133" s="232">
        <f t="shared" si="5"/>
        <v>62</v>
      </c>
      <c r="W133" s="232">
        <f t="shared" si="5"/>
        <v>69</v>
      </c>
      <c r="X133" s="232">
        <f t="shared" si="5"/>
        <v>41</v>
      </c>
      <c r="Y133" s="232">
        <f t="shared" si="5"/>
        <v>0</v>
      </c>
      <c r="Z133" s="232">
        <f t="shared" si="5"/>
        <v>0</v>
      </c>
      <c r="AA133" s="232">
        <f t="shared" si="5"/>
        <v>0</v>
      </c>
      <c r="AB133" s="230">
        <f t="shared" si="5"/>
        <v>0</v>
      </c>
      <c r="AC133" s="118">
        <f t="shared" si="2"/>
        <v>1079</v>
      </c>
      <c r="AD133" s="233">
        <f>AC133/AC132</f>
        <v>0.75139275766016711</v>
      </c>
    </row>
    <row r="134" spans="1:30" ht="13.5" thickBot="1" x14ac:dyDescent="0.25">
      <c r="A134" s="353"/>
      <c r="B134" s="354" t="s">
        <v>878</v>
      </c>
      <c r="C134" s="355"/>
      <c r="D134" s="356"/>
      <c r="E134" s="381">
        <f t="shared" ref="E134:V134" si="6">IFERROR(E131/E135,"")</f>
        <v>60.323529411764703</v>
      </c>
      <c r="F134" s="382">
        <f t="shared" si="6"/>
        <v>62.470588235294116</v>
      </c>
      <c r="G134" s="382">
        <f t="shared" si="6"/>
        <v>59.323529411764703</v>
      </c>
      <c r="H134" s="382">
        <f t="shared" si="6"/>
        <v>61.623529411764707</v>
      </c>
      <c r="I134" s="382">
        <f t="shared" si="6"/>
        <v>58</v>
      </c>
      <c r="J134" s="382">
        <f t="shared" si="6"/>
        <v>60.192307692307693</v>
      </c>
      <c r="K134" s="382">
        <f t="shared" si="6"/>
        <v>59.74285714285714</v>
      </c>
      <c r="L134" s="382">
        <f t="shared" si="6"/>
        <v>60.3</v>
      </c>
      <c r="M134" s="382">
        <f t="shared" si="6"/>
        <v>59.34</v>
      </c>
      <c r="N134" s="382">
        <f t="shared" si="6"/>
        <v>61.2</v>
      </c>
      <c r="O134" s="382">
        <f t="shared" si="6"/>
        <v>60.8</v>
      </c>
      <c r="P134" s="384">
        <f t="shared" si="6"/>
        <v>61.54</v>
      </c>
      <c r="Q134" s="385">
        <f t="shared" si="6"/>
        <v>67.5</v>
      </c>
      <c r="R134" s="382">
        <f t="shared" si="6"/>
        <v>71.25</v>
      </c>
      <c r="S134" s="382">
        <f t="shared" si="6"/>
        <v>70.142857142857139</v>
      </c>
      <c r="T134" s="382">
        <f t="shared" si="6"/>
        <v>73.678571428571431</v>
      </c>
      <c r="U134" s="382">
        <f t="shared" si="6"/>
        <v>70.025000000000006</v>
      </c>
      <c r="V134" s="382">
        <f t="shared" si="6"/>
        <v>71.695999999999998</v>
      </c>
      <c r="W134" s="382">
        <f>IFERROR(W131/W135,"")</f>
        <v>73.625</v>
      </c>
      <c r="X134" s="382">
        <f t="shared" ref="X134:AB134" si="7">IFERROR(X131/X135,"")</f>
        <v>46.43333333333333</v>
      </c>
      <c r="Y134" s="382" t="str">
        <f t="shared" si="7"/>
        <v/>
      </c>
      <c r="Z134" s="382" t="str">
        <f t="shared" si="7"/>
        <v/>
      </c>
      <c r="AA134" s="382" t="str">
        <f t="shared" si="7"/>
        <v/>
      </c>
      <c r="AB134" s="383" t="str">
        <f t="shared" si="7"/>
        <v/>
      </c>
      <c r="AC134" s="357">
        <f t="shared" si="2"/>
        <v>1269.207103210515</v>
      </c>
      <c r="AD134" s="233"/>
    </row>
    <row r="135" spans="1:30" x14ac:dyDescent="0.2">
      <c r="A135" s="358" t="s">
        <v>879</v>
      </c>
      <c r="B135" s="359"/>
      <c r="C135" s="360"/>
      <c r="D135" s="361"/>
      <c r="E135" s="362">
        <v>17000</v>
      </c>
      <c r="F135" s="363">
        <v>17000</v>
      </c>
      <c r="G135" s="363">
        <v>17000</v>
      </c>
      <c r="H135" s="363">
        <v>17000</v>
      </c>
      <c r="I135" s="363">
        <v>26000</v>
      </c>
      <c r="J135" s="363">
        <v>26000</v>
      </c>
      <c r="K135" s="363">
        <v>35000</v>
      </c>
      <c r="L135" s="363">
        <v>35000</v>
      </c>
      <c r="M135" s="363">
        <v>35000</v>
      </c>
      <c r="N135" s="363">
        <v>35000</v>
      </c>
      <c r="O135" s="363">
        <v>50000</v>
      </c>
      <c r="P135" s="386">
        <v>50000</v>
      </c>
      <c r="Q135" s="387">
        <v>80000</v>
      </c>
      <c r="R135" s="365">
        <v>80000</v>
      </c>
      <c r="S135" s="365">
        <v>140000</v>
      </c>
      <c r="T135" s="365">
        <v>140000</v>
      </c>
      <c r="U135" s="365">
        <v>400000</v>
      </c>
      <c r="V135" s="365">
        <v>625000</v>
      </c>
      <c r="W135" s="365">
        <v>1000000</v>
      </c>
      <c r="X135" s="365">
        <v>1200000</v>
      </c>
      <c r="Y135" s="365"/>
      <c r="Z135" s="365"/>
      <c r="AA135" s="365"/>
      <c r="AB135" s="364"/>
      <c r="AC135" s="366"/>
    </row>
    <row r="136" spans="1:30" x14ac:dyDescent="0.2">
      <c r="A136" s="249" t="s">
        <v>880</v>
      </c>
      <c r="B136" s="250"/>
      <c r="C136" s="251"/>
      <c r="D136" s="98"/>
      <c r="E136" s="252">
        <v>12000</v>
      </c>
      <c r="F136" s="83">
        <v>20000</v>
      </c>
      <c r="G136" s="83">
        <v>20000</v>
      </c>
      <c r="H136" s="83">
        <v>20000</v>
      </c>
      <c r="I136" s="83">
        <v>30000</v>
      </c>
      <c r="J136" s="83">
        <v>30000</v>
      </c>
      <c r="K136" s="83">
        <v>40000</v>
      </c>
      <c r="L136" s="83">
        <v>40000</v>
      </c>
      <c r="M136" s="83">
        <v>40000</v>
      </c>
      <c r="N136" s="83">
        <v>40000</v>
      </c>
      <c r="O136" s="83">
        <v>54000</v>
      </c>
      <c r="P136" s="388">
        <v>54000</v>
      </c>
      <c r="Q136" s="389">
        <v>86400</v>
      </c>
      <c r="R136" s="83">
        <v>86400</v>
      </c>
      <c r="S136" s="83">
        <v>155000</v>
      </c>
      <c r="T136" s="83">
        <v>155000</v>
      </c>
      <c r="U136" s="83">
        <f>IF(ISBLANK(U135),"",ROUNDUP(U135*110%*2,-4)/2)</f>
        <v>440000</v>
      </c>
      <c r="V136" s="83">
        <f t="shared" ref="V136:AB136" si="8">IF(ISBLANK(V135),"",ROUNDUP(V135*110%*2,-4)/2)</f>
        <v>690000</v>
      </c>
      <c r="W136" s="83">
        <f t="shared" si="8"/>
        <v>1100000</v>
      </c>
      <c r="X136" s="83">
        <f t="shared" si="8"/>
        <v>1320000</v>
      </c>
      <c r="Y136" s="83" t="str">
        <f t="shared" si="8"/>
        <v/>
      </c>
      <c r="Z136" s="83" t="str">
        <f t="shared" si="8"/>
        <v/>
      </c>
      <c r="AA136" s="83" t="str">
        <f t="shared" si="8"/>
        <v/>
      </c>
      <c r="AB136" s="98" t="str">
        <f t="shared" si="8"/>
        <v/>
      </c>
      <c r="AC136" s="253"/>
    </row>
    <row r="137" spans="1:30" x14ac:dyDescent="0.2">
      <c r="A137" s="249" t="s">
        <v>881</v>
      </c>
      <c r="B137" s="250"/>
      <c r="C137" s="251"/>
      <c r="D137" s="98"/>
      <c r="E137" s="252">
        <v>30000</v>
      </c>
      <c r="F137" s="83">
        <v>30000</v>
      </c>
      <c r="G137" s="83">
        <v>30000</v>
      </c>
      <c r="H137" s="83">
        <v>30000</v>
      </c>
      <c r="I137" s="83">
        <v>40000</v>
      </c>
      <c r="J137" s="83">
        <v>40000</v>
      </c>
      <c r="K137" s="83">
        <v>54000</v>
      </c>
      <c r="L137" s="83">
        <v>54000</v>
      </c>
      <c r="M137" s="83">
        <v>54000</v>
      </c>
      <c r="N137" s="83">
        <v>54000</v>
      </c>
      <c r="O137" s="83">
        <v>71000</v>
      </c>
      <c r="P137" s="388">
        <v>71000</v>
      </c>
      <c r="Q137" s="389">
        <v>113600</v>
      </c>
      <c r="R137" s="83">
        <v>113600</v>
      </c>
      <c r="S137" s="83">
        <v>200000</v>
      </c>
      <c r="T137" s="83">
        <v>200000</v>
      </c>
      <c r="U137" s="83">
        <f>IF(ISBLANK(U135),"",ROUND(U135*145%*2,-4)/2)</f>
        <v>580000</v>
      </c>
      <c r="V137" s="83">
        <f t="shared" ref="V137:AB137" si="9">IF(ISBLANK(V135),"",ROUND(V135*145%*2,-4)/2)</f>
        <v>905000</v>
      </c>
      <c r="W137" s="83">
        <f t="shared" si="9"/>
        <v>1450000</v>
      </c>
      <c r="X137" s="83">
        <f t="shared" si="9"/>
        <v>1740000</v>
      </c>
      <c r="Y137" s="83" t="str">
        <f t="shared" si="9"/>
        <v/>
      </c>
      <c r="Z137" s="83" t="str">
        <f t="shared" si="9"/>
        <v/>
      </c>
      <c r="AA137" s="83" t="str">
        <f t="shared" si="9"/>
        <v/>
      </c>
      <c r="AB137" s="98" t="str">
        <f t="shared" si="9"/>
        <v/>
      </c>
      <c r="AC137" s="253"/>
    </row>
  </sheetData>
  <conditionalFormatting sqref="C1:C45 C99:C117 C120:C131 C47:C97">
    <cfRule type="cellIs" dxfId="27" priority="7" operator="equal">
      <formula>"û"</formula>
    </cfRule>
  </conditionalFormatting>
  <conditionalFormatting sqref="C98">
    <cfRule type="cellIs" dxfId="26" priority="3" operator="equal">
      <formula>"û"</formula>
    </cfRule>
  </conditionalFormatting>
  <conditionalFormatting sqref="C118:C119">
    <cfRule type="cellIs" dxfId="25" priority="2" operator="equal">
      <formula>"û"</formula>
    </cfRule>
  </conditionalFormatting>
  <conditionalFormatting sqref="C46">
    <cfRule type="cellIs" dxfId="24"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4"/>
  <sheetViews>
    <sheetView workbookViewId="0">
      <selection activeCell="A22" sqref="A22"/>
    </sheetView>
  </sheetViews>
  <sheetFormatPr baseColWidth="10" defaultColWidth="11.42578125" defaultRowHeight="15" x14ac:dyDescent="0.25"/>
  <cols>
    <col min="2" max="4" width="11.7109375" customWidth="1"/>
  </cols>
  <sheetData>
    <row r="1" spans="1:4" ht="45" x14ac:dyDescent="0.25">
      <c r="A1" s="399" t="s">
        <v>3</v>
      </c>
      <c r="B1" s="400" t="s">
        <v>882</v>
      </c>
      <c r="C1" s="400" t="s">
        <v>880</v>
      </c>
      <c r="D1" s="400" t="s">
        <v>881</v>
      </c>
    </row>
    <row r="2" spans="1:4" x14ac:dyDescent="0.25">
      <c r="A2" s="140">
        <v>42736</v>
      </c>
      <c r="B2" s="401">
        <v>17000</v>
      </c>
      <c r="C2" s="402">
        <v>12000</v>
      </c>
      <c r="D2" s="402">
        <v>30000</v>
      </c>
    </row>
    <row r="3" spans="1:4" x14ac:dyDescent="0.25">
      <c r="A3" s="141">
        <f t="shared" ref="A3:A21" si="0">EDATE(A2,1)</f>
        <v>42767</v>
      </c>
      <c r="B3" s="401">
        <v>17000</v>
      </c>
      <c r="C3" s="402">
        <v>20000</v>
      </c>
      <c r="D3" s="402">
        <v>30000</v>
      </c>
    </row>
    <row r="4" spans="1:4" x14ac:dyDescent="0.25">
      <c r="A4" s="141">
        <f t="shared" si="0"/>
        <v>42795</v>
      </c>
      <c r="B4" s="401">
        <v>17000</v>
      </c>
      <c r="C4" s="402">
        <v>20000</v>
      </c>
      <c r="D4" s="402">
        <v>30000</v>
      </c>
    </row>
    <row r="5" spans="1:4" x14ac:dyDescent="0.25">
      <c r="A5" s="141">
        <f t="shared" si="0"/>
        <v>42826</v>
      </c>
      <c r="B5" s="401">
        <v>17000</v>
      </c>
      <c r="C5" s="402">
        <v>20000</v>
      </c>
      <c r="D5" s="402">
        <v>30000</v>
      </c>
    </row>
    <row r="6" spans="1:4" x14ac:dyDescent="0.25">
      <c r="A6" s="141">
        <f t="shared" si="0"/>
        <v>42856</v>
      </c>
      <c r="B6" s="401">
        <v>26000</v>
      </c>
      <c r="C6" s="402">
        <v>30000</v>
      </c>
      <c r="D6" s="402">
        <v>40000</v>
      </c>
    </row>
    <row r="7" spans="1:4" x14ac:dyDescent="0.25">
      <c r="A7" s="141">
        <f t="shared" si="0"/>
        <v>42887</v>
      </c>
      <c r="B7" s="401">
        <v>26000</v>
      </c>
      <c r="C7" s="402">
        <v>30000</v>
      </c>
      <c r="D7" s="402">
        <v>40000</v>
      </c>
    </row>
    <row r="8" spans="1:4" x14ac:dyDescent="0.25">
      <c r="A8" s="141">
        <f t="shared" si="0"/>
        <v>42917</v>
      </c>
      <c r="B8" s="401">
        <v>35000</v>
      </c>
      <c r="C8" s="402">
        <v>40000</v>
      </c>
      <c r="D8" s="402">
        <v>54000</v>
      </c>
    </row>
    <row r="9" spans="1:4" x14ac:dyDescent="0.25">
      <c r="A9" s="141">
        <f t="shared" si="0"/>
        <v>42948</v>
      </c>
      <c r="B9" s="401">
        <v>35000</v>
      </c>
      <c r="C9" s="402">
        <v>40000</v>
      </c>
      <c r="D9" s="402">
        <v>54000</v>
      </c>
    </row>
    <row r="10" spans="1:4" x14ac:dyDescent="0.25">
      <c r="A10" s="141">
        <f t="shared" si="0"/>
        <v>42979</v>
      </c>
      <c r="B10" s="401">
        <v>35000</v>
      </c>
      <c r="C10" s="402">
        <v>40000</v>
      </c>
      <c r="D10" s="402">
        <v>54000</v>
      </c>
    </row>
    <row r="11" spans="1:4" x14ac:dyDescent="0.25">
      <c r="A11" s="141">
        <f t="shared" si="0"/>
        <v>43009</v>
      </c>
      <c r="B11" s="401">
        <v>35000</v>
      </c>
      <c r="C11" s="402">
        <v>40000</v>
      </c>
      <c r="D11" s="402">
        <v>54000</v>
      </c>
    </row>
    <row r="12" spans="1:4" x14ac:dyDescent="0.25">
      <c r="A12" s="141">
        <f t="shared" si="0"/>
        <v>43040</v>
      </c>
      <c r="B12" s="401">
        <v>50000</v>
      </c>
      <c r="C12" s="402">
        <v>54000</v>
      </c>
      <c r="D12" s="402">
        <v>71000</v>
      </c>
    </row>
    <row r="13" spans="1:4" x14ac:dyDescent="0.25">
      <c r="A13" s="141">
        <f t="shared" si="0"/>
        <v>43070</v>
      </c>
      <c r="B13" s="401">
        <v>50000</v>
      </c>
      <c r="C13" s="402">
        <v>54000</v>
      </c>
      <c r="D13" s="402">
        <v>71000</v>
      </c>
    </row>
    <row r="14" spans="1:4" x14ac:dyDescent="0.25">
      <c r="A14" s="140">
        <f t="shared" si="0"/>
        <v>43101</v>
      </c>
      <c r="B14" s="401">
        <v>80000</v>
      </c>
      <c r="C14" s="402">
        <v>86400</v>
      </c>
      <c r="D14" s="402">
        <v>113600</v>
      </c>
    </row>
    <row r="15" spans="1:4" x14ac:dyDescent="0.25">
      <c r="A15" s="141">
        <f t="shared" si="0"/>
        <v>43132</v>
      </c>
      <c r="B15" s="401">
        <v>80000</v>
      </c>
      <c r="C15" s="402">
        <v>86400</v>
      </c>
      <c r="D15" s="402">
        <v>113600</v>
      </c>
    </row>
    <row r="16" spans="1:4" x14ac:dyDescent="0.25">
      <c r="A16" s="141">
        <f t="shared" si="0"/>
        <v>43160</v>
      </c>
      <c r="B16" s="401">
        <v>140000</v>
      </c>
      <c r="C16" s="402">
        <v>155000</v>
      </c>
      <c r="D16" s="402">
        <v>200000</v>
      </c>
    </row>
    <row r="17" spans="1:4" x14ac:dyDescent="0.25">
      <c r="A17" s="141">
        <f t="shared" si="0"/>
        <v>43191</v>
      </c>
      <c r="B17" s="401">
        <v>140000</v>
      </c>
      <c r="C17" s="402">
        <v>155000</v>
      </c>
      <c r="D17" s="402">
        <v>200000</v>
      </c>
    </row>
    <row r="18" spans="1:4" x14ac:dyDescent="0.25">
      <c r="A18" s="141">
        <f t="shared" si="0"/>
        <v>43221</v>
      </c>
      <c r="B18" s="401">
        <v>400000</v>
      </c>
      <c r="C18" s="402">
        <f>IF(ISBLANK(B18),"",ROUNDUP(B18*110%*2,-4)/2)</f>
        <v>440000</v>
      </c>
      <c r="D18" s="402">
        <f>IF(ISBLANK(B18),"",ROUND(B18*145%*2,-4)/2)</f>
        <v>580000</v>
      </c>
    </row>
    <row r="19" spans="1:4" x14ac:dyDescent="0.25">
      <c r="A19" s="141">
        <f t="shared" si="0"/>
        <v>43252</v>
      </c>
      <c r="B19" s="401">
        <v>625000</v>
      </c>
      <c r="C19" s="402">
        <f>IF(ISBLANK(B19),"",ROUNDUP(B19*110%*2,-4)/2)</f>
        <v>690000</v>
      </c>
      <c r="D19" s="402">
        <f>IF(ISBLANK(B19),"",ROUND(B19*145%*2,-4)/2)</f>
        <v>905000</v>
      </c>
    </row>
    <row r="20" spans="1:4" x14ac:dyDescent="0.25">
      <c r="A20" s="141">
        <f t="shared" si="0"/>
        <v>43282</v>
      </c>
      <c r="B20" s="401">
        <v>1000000</v>
      </c>
      <c r="C20" s="402">
        <f>IF(ISBLANK(B20),"",ROUNDUP(B20*110%*2,-4)/2)</f>
        <v>1100000</v>
      </c>
      <c r="D20" s="402">
        <f>IF(ISBLANK(B20),"",ROUND(B20*145%*2,-4)/2)</f>
        <v>1450000</v>
      </c>
    </row>
    <row r="21" spans="1:4" x14ac:dyDescent="0.25">
      <c r="A21" s="141">
        <f t="shared" si="0"/>
        <v>43313</v>
      </c>
      <c r="B21" s="401">
        <v>1200000</v>
      </c>
      <c r="C21" s="402">
        <f>IF(ISBLANK(B21),"",ROUNDUP(B21*110%*2,-4)/2)</f>
        <v>1320000</v>
      </c>
      <c r="D21" s="402">
        <f>IF(ISBLANK(B21),"",ROUND(B21*145%*2,-4)/2)</f>
        <v>1740000</v>
      </c>
    </row>
    <row r="22" spans="1:4" x14ac:dyDescent="0.25">
      <c r="B22" s="327"/>
      <c r="C22" s="327"/>
      <c r="D22" s="327"/>
    </row>
    <row r="23" spans="1:4" x14ac:dyDescent="0.25">
      <c r="B23" s="327"/>
      <c r="C23" s="327"/>
      <c r="D23" s="327"/>
    </row>
    <row r="24" spans="1:4" x14ac:dyDescent="0.25">
      <c r="B24" s="327"/>
      <c r="C24" s="327"/>
      <c r="D24" s="32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AW30"/>
  <sheetViews>
    <sheetView showGridLines="0" workbookViewId="0">
      <pane ySplit="3" topLeftCell="A4" activePane="bottomLeft" state="frozen"/>
      <selection activeCell="C44" sqref="C44"/>
      <selection pane="bottomLeft" activeCell="A15" sqref="A15"/>
    </sheetView>
  </sheetViews>
  <sheetFormatPr baseColWidth="10" defaultColWidth="10.7109375" defaultRowHeight="15" x14ac:dyDescent="0.25"/>
  <cols>
    <col min="1" max="1" width="25.28515625" bestFit="1" customWidth="1"/>
    <col min="2" max="2" width="24.5703125" bestFit="1" customWidth="1"/>
    <col min="3" max="3" width="32.140625" hidden="1" customWidth="1"/>
    <col min="4" max="4" width="12.85546875" customWidth="1"/>
    <col min="6" max="6" width="11.42578125" style="2"/>
    <col min="7" max="7" width="38.28515625" bestFit="1" customWidth="1"/>
    <col min="8" max="9" width="11.42578125" style="34"/>
    <col min="10" max="10" width="10.7109375" style="395"/>
    <col min="11" max="11" width="10.7109375" style="2"/>
    <col min="12" max="12" width="38.28515625" bestFit="1" customWidth="1"/>
    <col min="13" max="14" width="10.7109375" style="34"/>
    <col min="16" max="16" width="10.7109375" style="2"/>
    <col min="17" max="17" width="38.28515625" bestFit="1" customWidth="1"/>
    <col min="21" max="21" width="10.7109375" style="2"/>
    <col min="22" max="22" width="38.28515625" bestFit="1" customWidth="1"/>
    <col min="26" max="26" width="10.7109375" style="2"/>
    <col min="27" max="27" width="38.28515625" bestFit="1" customWidth="1"/>
    <col min="31" max="31" width="10.7109375" style="2"/>
    <col min="32" max="32" width="38.28515625" bestFit="1" customWidth="1"/>
    <col min="36" max="36" width="10.7109375" style="2"/>
    <col min="37" max="37" width="38.28515625" bestFit="1" customWidth="1"/>
    <col min="41" max="41" width="10.7109375" style="2"/>
    <col min="42" max="42" width="38.28515625" bestFit="1" customWidth="1"/>
    <col min="46" max="46" width="10.7109375" style="2"/>
    <col min="47" max="47" width="38.28515625" bestFit="1" customWidth="1"/>
  </cols>
  <sheetData>
    <row r="1" spans="1:49" ht="18.75" x14ac:dyDescent="0.3">
      <c r="A1" s="219" t="s">
        <v>883</v>
      </c>
      <c r="D1" s="242">
        <f>MAX(LOOKUP(100000000000000000000,1/(F:F&lt;&gt;""),F:F),LOOKUP(100000000000000000000,1/(K:K&lt;&gt;""),K:K),LOOKUP(100000000000000000000,1/(P:P&lt;&gt;""),P:P),LOOKUP(100000000000000000000,1/(U:U&lt;&gt;""),U:U),LOOKUP(100000000000000000000,1/(Z:Z&lt;&gt;""),Z:Z),LOOKUP(100000000000000000000,1/(AE:AE&lt;&gt;""),AE:AE),LOOKUP(100000000000000000000,1/(AJ:AJ&lt;&gt;""),AJ:AJ),LOOKUP(100000000000000000000,1/(AT:AT&lt;&gt;""),AT:AT))</f>
        <v>43324</v>
      </c>
      <c r="F1" s="29" t="s">
        <v>884</v>
      </c>
      <c r="K1" s="29" t="s">
        <v>885</v>
      </c>
      <c r="P1" s="80" t="s">
        <v>886</v>
      </c>
      <c r="R1" s="34"/>
      <c r="S1" s="34"/>
      <c r="U1" s="80" t="s">
        <v>887</v>
      </c>
      <c r="W1" s="34"/>
      <c r="X1" s="34"/>
      <c r="Z1" s="80" t="s">
        <v>888</v>
      </c>
      <c r="AB1" s="34"/>
      <c r="AC1" s="34"/>
      <c r="AE1" s="80" t="s">
        <v>889</v>
      </c>
      <c r="AG1" s="34"/>
      <c r="AH1" s="34"/>
      <c r="AJ1" s="80" t="s">
        <v>890</v>
      </c>
      <c r="AL1" s="34"/>
      <c r="AM1" s="34"/>
      <c r="AO1" s="80" t="s">
        <v>891</v>
      </c>
      <c r="AQ1" s="34"/>
      <c r="AR1" s="34"/>
      <c r="AT1" s="80" t="s">
        <v>892</v>
      </c>
      <c r="AV1" s="34"/>
      <c r="AW1" s="34"/>
    </row>
    <row r="2" spans="1:49" x14ac:dyDescent="0.25">
      <c r="R2" s="34"/>
      <c r="S2" s="34"/>
      <c r="W2" s="34"/>
      <c r="X2" s="34"/>
      <c r="AB2" s="34"/>
      <c r="AC2" s="34"/>
      <c r="AG2" s="34"/>
      <c r="AH2" s="34"/>
      <c r="AL2" s="34"/>
      <c r="AM2" s="34"/>
      <c r="AQ2" s="34"/>
      <c r="AR2" s="34"/>
      <c r="AV2" s="34"/>
      <c r="AW2" s="34"/>
    </row>
    <row r="3" spans="1:49" x14ac:dyDescent="0.25">
      <c r="A3" s="30" t="s">
        <v>5</v>
      </c>
      <c r="B3" s="35" t="s">
        <v>7</v>
      </c>
      <c r="C3" s="35" t="s">
        <v>6</v>
      </c>
      <c r="D3" s="35" t="s">
        <v>893</v>
      </c>
      <c r="F3" s="4" t="s">
        <v>3</v>
      </c>
      <c r="G3" s="30" t="s">
        <v>8</v>
      </c>
      <c r="H3" s="35" t="s">
        <v>4</v>
      </c>
      <c r="I3" s="35" t="s">
        <v>893</v>
      </c>
      <c r="K3" s="4" t="s">
        <v>3</v>
      </c>
      <c r="L3" s="30" t="s">
        <v>8</v>
      </c>
      <c r="M3" s="35" t="s">
        <v>4</v>
      </c>
      <c r="N3" s="35" t="s">
        <v>893</v>
      </c>
      <c r="P3" s="4" t="s">
        <v>3</v>
      </c>
      <c r="Q3" s="30" t="s">
        <v>8</v>
      </c>
      <c r="R3" s="35" t="s">
        <v>4</v>
      </c>
      <c r="S3" s="35" t="s">
        <v>893</v>
      </c>
      <c r="U3" s="4" t="s">
        <v>3</v>
      </c>
      <c r="V3" s="30" t="s">
        <v>8</v>
      </c>
      <c r="W3" s="35" t="s">
        <v>4</v>
      </c>
      <c r="X3" s="35" t="s">
        <v>893</v>
      </c>
      <c r="Z3" s="4" t="s">
        <v>3</v>
      </c>
      <c r="AA3" s="30" t="s">
        <v>8</v>
      </c>
      <c r="AB3" s="35" t="s">
        <v>4</v>
      </c>
      <c r="AC3" s="35" t="s">
        <v>893</v>
      </c>
      <c r="AE3" s="4" t="s">
        <v>3</v>
      </c>
      <c r="AF3" s="30" t="s">
        <v>8</v>
      </c>
      <c r="AG3" s="35" t="s">
        <v>4</v>
      </c>
      <c r="AH3" s="35" t="s">
        <v>893</v>
      </c>
      <c r="AJ3" s="4" t="s">
        <v>3</v>
      </c>
      <c r="AK3" s="30" t="s">
        <v>8</v>
      </c>
      <c r="AL3" s="35" t="s">
        <v>4</v>
      </c>
      <c r="AM3" s="35" t="s">
        <v>893</v>
      </c>
      <c r="AO3" s="4" t="s">
        <v>3</v>
      </c>
      <c r="AP3" s="30" t="s">
        <v>8</v>
      </c>
      <c r="AQ3" s="35" t="s">
        <v>4</v>
      </c>
      <c r="AR3" s="35" t="s">
        <v>893</v>
      </c>
      <c r="AT3" s="4" t="s">
        <v>3</v>
      </c>
      <c r="AU3" s="30" t="s">
        <v>8</v>
      </c>
      <c r="AV3" s="35" t="s">
        <v>4</v>
      </c>
      <c r="AW3" s="35" t="s">
        <v>893</v>
      </c>
    </row>
    <row r="4" spans="1:49" x14ac:dyDescent="0.25">
      <c r="A4" s="10" t="s">
        <v>439</v>
      </c>
      <c r="B4" t="s">
        <v>441</v>
      </c>
      <c r="C4" t="s">
        <v>440</v>
      </c>
      <c r="D4" s="28">
        <f>LOOKUP(100000000000000000000,1/(N:N&lt;&gt;""),N:N)</f>
        <v>7200000</v>
      </c>
      <c r="F4" s="2">
        <v>42782</v>
      </c>
      <c r="G4" s="10" t="s">
        <v>226</v>
      </c>
      <c r="H4" s="34">
        <v>170000</v>
      </c>
      <c r="I4" s="34">
        <f>H4</f>
        <v>170000</v>
      </c>
      <c r="K4" s="2">
        <v>42887</v>
      </c>
      <c r="L4" s="10" t="s">
        <v>894</v>
      </c>
      <c r="M4" s="34">
        <v>338000</v>
      </c>
      <c r="N4" s="34">
        <f>M4</f>
        <v>338000</v>
      </c>
      <c r="P4" s="2">
        <v>43281</v>
      </c>
      <c r="R4" s="34">
        <v>975000</v>
      </c>
      <c r="S4" s="34">
        <f>R4</f>
        <v>975000</v>
      </c>
      <c r="U4" s="2">
        <v>43293</v>
      </c>
      <c r="V4" t="s">
        <v>895</v>
      </c>
      <c r="W4" s="34">
        <v>4000000</v>
      </c>
      <c r="X4" s="34">
        <f>W4</f>
        <v>4000000</v>
      </c>
      <c r="Z4" s="2">
        <v>43161</v>
      </c>
      <c r="AA4" t="s">
        <v>895</v>
      </c>
      <c r="AB4" s="34">
        <v>573000</v>
      </c>
      <c r="AC4" s="34">
        <f>AB4</f>
        <v>573000</v>
      </c>
      <c r="AE4" s="2">
        <v>43220</v>
      </c>
      <c r="AF4" t="s">
        <v>896</v>
      </c>
      <c r="AG4" s="34">
        <v>250000</v>
      </c>
      <c r="AH4" s="34">
        <f>AG4</f>
        <v>250000</v>
      </c>
      <c r="AJ4" s="2">
        <v>43189</v>
      </c>
      <c r="AK4" t="s">
        <v>895</v>
      </c>
      <c r="AL4" s="34">
        <v>840000</v>
      </c>
      <c r="AM4" s="34">
        <f>AL4</f>
        <v>840000</v>
      </c>
      <c r="AO4" s="2">
        <v>43304</v>
      </c>
      <c r="AP4" t="s">
        <v>897</v>
      </c>
      <c r="AQ4" s="34">
        <v>3000000</v>
      </c>
      <c r="AR4" s="34">
        <f>AQ4</f>
        <v>3000000</v>
      </c>
      <c r="AT4" s="2">
        <v>42919</v>
      </c>
      <c r="AU4" t="s">
        <v>898</v>
      </c>
      <c r="AV4" s="34">
        <v>126000</v>
      </c>
      <c r="AW4" s="34">
        <f>AV4</f>
        <v>126000</v>
      </c>
    </row>
    <row r="5" spans="1:49" x14ac:dyDescent="0.25">
      <c r="A5" s="10" t="s">
        <v>18</v>
      </c>
      <c r="B5" t="s">
        <v>20</v>
      </c>
      <c r="C5" t="s">
        <v>19</v>
      </c>
      <c r="D5" s="28">
        <f>LOOKUP(100000000000000000000,1/(I:I&lt;&gt;""),I:I)</f>
        <v>2295000</v>
      </c>
      <c r="F5" s="2">
        <v>42831</v>
      </c>
      <c r="G5" s="10" t="s">
        <v>899</v>
      </c>
      <c r="H5" s="34">
        <v>-17000</v>
      </c>
      <c r="I5" s="34">
        <f t="shared" ref="I5:I30" si="0">IF(ISBLANK(H5),"",I4+H5)</f>
        <v>153000</v>
      </c>
      <c r="K5" s="2">
        <v>42887</v>
      </c>
      <c r="L5" s="10" t="s">
        <v>900</v>
      </c>
      <c r="M5" s="34">
        <f>-2*31000</f>
        <v>-62000</v>
      </c>
      <c r="N5" s="34">
        <f t="shared" ref="N5:N30" si="1">IF(ISBLANK(M5),"",N4+M5)</f>
        <v>276000</v>
      </c>
      <c r="P5" s="2">
        <v>43293</v>
      </c>
      <c r="Q5" t="s">
        <v>897</v>
      </c>
      <c r="R5" s="34">
        <v>3500000</v>
      </c>
      <c r="S5" s="34">
        <f t="shared" ref="S5:S9" si="2">IF(ISBLANK(R5),"",S4+R5)</f>
        <v>4475000</v>
      </c>
      <c r="U5" s="2">
        <v>43293</v>
      </c>
      <c r="V5" t="s">
        <v>901</v>
      </c>
      <c r="W5" s="34">
        <v>-1000000</v>
      </c>
      <c r="X5" s="34">
        <f t="shared" ref="X5:X9" si="3">IF(ISBLANK(W5),"",X4+W5)</f>
        <v>3000000</v>
      </c>
      <c r="Z5" s="2">
        <v>43161</v>
      </c>
      <c r="AA5" s="10" t="s">
        <v>902</v>
      </c>
      <c r="AB5" s="34">
        <f>-60000-120000</f>
        <v>-180000</v>
      </c>
      <c r="AC5" s="34">
        <f t="shared" ref="AC5:AC30" si="4">IF(ISBLANK(AB5),"",AC4+AB5)</f>
        <v>393000</v>
      </c>
      <c r="AE5" s="2">
        <v>43220</v>
      </c>
      <c r="AF5" t="s">
        <v>903</v>
      </c>
      <c r="AG5" s="34">
        <v>510000</v>
      </c>
      <c r="AH5" s="34">
        <f>IF(ISBLANK(AG5),"",AH4+AG5)</f>
        <v>760000</v>
      </c>
      <c r="AJ5" s="2">
        <v>43189</v>
      </c>
      <c r="AK5" s="10" t="s">
        <v>904</v>
      </c>
      <c r="AL5" s="34">
        <v>-140000</v>
      </c>
      <c r="AM5" s="34">
        <f t="shared" ref="AM5:AM30" si="5">IF(ISBLANK(AL5),"",AM4+AL5)</f>
        <v>700000</v>
      </c>
      <c r="AO5" s="2">
        <v>43304</v>
      </c>
      <c r="AP5" t="s">
        <v>905</v>
      </c>
      <c r="AQ5" s="34">
        <v>-225000</v>
      </c>
      <c r="AR5" s="34">
        <f>AR4+AQ5</f>
        <v>2775000</v>
      </c>
      <c r="AT5" s="2">
        <v>42919</v>
      </c>
      <c r="AU5" t="s">
        <v>906</v>
      </c>
      <c r="AV5" s="34">
        <f>-3387-17000-17000-26000-26000</f>
        <v>-89387</v>
      </c>
      <c r="AW5" s="34">
        <f>AW4+AV5</f>
        <v>36613</v>
      </c>
    </row>
    <row r="6" spans="1:49" x14ac:dyDescent="0.25">
      <c r="A6" s="10" t="s">
        <v>773</v>
      </c>
      <c r="B6" t="s">
        <v>775</v>
      </c>
      <c r="C6" t="s">
        <v>774</v>
      </c>
      <c r="D6" s="28">
        <f>LOOKUP(100000000000000000000,1/(X:X&lt;&gt;""),X:X)</f>
        <v>580000</v>
      </c>
      <c r="F6" s="2">
        <v>42840</v>
      </c>
      <c r="G6" s="10" t="s">
        <v>897</v>
      </c>
      <c r="H6" s="34">
        <v>87500</v>
      </c>
      <c r="I6" s="34">
        <f t="shared" si="0"/>
        <v>240500</v>
      </c>
      <c r="K6" s="2">
        <v>42887</v>
      </c>
      <c r="L6" s="10" t="s">
        <v>907</v>
      </c>
      <c r="M6" s="34">
        <f>-(4*17000+2*26000)</f>
        <v>-120000</v>
      </c>
      <c r="N6" s="34">
        <f t="shared" si="1"/>
        <v>156000</v>
      </c>
      <c r="P6" s="2">
        <v>43293</v>
      </c>
      <c r="Q6" s="10" t="s">
        <v>745</v>
      </c>
      <c r="R6" s="34">
        <v>-1220000</v>
      </c>
      <c r="S6" s="34">
        <f t="shared" si="2"/>
        <v>3255000</v>
      </c>
      <c r="U6" s="2">
        <v>43293</v>
      </c>
      <c r="V6" s="10" t="s">
        <v>745</v>
      </c>
      <c r="W6" s="34">
        <v>-1220000</v>
      </c>
      <c r="X6" s="34">
        <f t="shared" si="3"/>
        <v>1780000</v>
      </c>
      <c r="Z6" s="2">
        <v>43175</v>
      </c>
      <c r="AA6" t="s">
        <v>897</v>
      </c>
      <c r="AB6" s="34">
        <v>200000</v>
      </c>
      <c r="AC6" s="34">
        <f t="shared" si="4"/>
        <v>593000</v>
      </c>
      <c r="AE6" s="2">
        <v>43223</v>
      </c>
      <c r="AF6" t="s">
        <v>908</v>
      </c>
      <c r="AG6" s="34">
        <v>-400000</v>
      </c>
      <c r="AH6" s="34">
        <f>IF(ISBLANK(AG6),"",AH5+AG6)</f>
        <v>360000</v>
      </c>
      <c r="AJ6" s="2">
        <v>43195</v>
      </c>
      <c r="AK6" t="s">
        <v>909</v>
      </c>
      <c r="AL6" s="34">
        <v>-140000</v>
      </c>
      <c r="AM6" s="34">
        <f t="shared" si="5"/>
        <v>560000</v>
      </c>
      <c r="AO6" s="2">
        <v>43304</v>
      </c>
      <c r="AP6" t="s">
        <v>910</v>
      </c>
      <c r="AQ6" s="34">
        <v>-600000</v>
      </c>
      <c r="AR6" s="34">
        <f t="shared" ref="AR6:AR30" si="6">IF(ISBLANK(AQ6),"",AR5+AQ6)</f>
        <v>2175000</v>
      </c>
      <c r="AT6" s="2">
        <v>42951</v>
      </c>
      <c r="AU6" t="s">
        <v>911</v>
      </c>
      <c r="AV6" s="34">
        <v>-35000</v>
      </c>
      <c r="AW6" s="34">
        <f t="shared" ref="AW6:AW30" si="7">IF(ISBLANK(AV6),"",AW5+AV6)</f>
        <v>1613</v>
      </c>
    </row>
    <row r="7" spans="1:49" x14ac:dyDescent="0.25">
      <c r="A7" s="10" t="s">
        <v>612</v>
      </c>
      <c r="B7" t="s">
        <v>614</v>
      </c>
      <c r="C7" t="s">
        <v>613</v>
      </c>
      <c r="D7" s="28">
        <f>LOOKUP(100000000000000000000,1/(S:S&lt;&gt;""),S:S)</f>
        <v>2055000</v>
      </c>
      <c r="F7" s="2">
        <v>42840</v>
      </c>
      <c r="G7" t="s">
        <v>912</v>
      </c>
      <c r="H7" s="34">
        <v>-23500</v>
      </c>
      <c r="I7" s="34">
        <f t="shared" si="0"/>
        <v>217000</v>
      </c>
      <c r="K7" s="2">
        <v>42917</v>
      </c>
      <c r="L7" s="10" t="s">
        <v>913</v>
      </c>
      <c r="M7" s="34">
        <v>-26000</v>
      </c>
      <c r="N7" s="34">
        <f t="shared" si="1"/>
        <v>130000</v>
      </c>
      <c r="P7" s="2">
        <v>43313</v>
      </c>
      <c r="Q7" t="s">
        <v>914</v>
      </c>
      <c r="R7" s="34">
        <v>-1200000</v>
      </c>
      <c r="S7" s="34">
        <f t="shared" si="2"/>
        <v>2055000</v>
      </c>
      <c r="U7" s="2">
        <v>43313</v>
      </c>
      <c r="V7" t="s">
        <v>914</v>
      </c>
      <c r="W7" s="34">
        <v>-1200000</v>
      </c>
      <c r="X7" s="34">
        <f t="shared" si="3"/>
        <v>580000</v>
      </c>
      <c r="Z7" s="2">
        <v>43192</v>
      </c>
      <c r="AA7" t="s">
        <v>897</v>
      </c>
      <c r="AB7" s="34">
        <v>250000</v>
      </c>
      <c r="AC7" s="34">
        <f t="shared" si="4"/>
        <v>843000</v>
      </c>
      <c r="AE7" s="2">
        <v>43224</v>
      </c>
      <c r="AF7" t="s">
        <v>915</v>
      </c>
      <c r="AG7" s="34">
        <v>60000</v>
      </c>
      <c r="AH7" s="34">
        <f t="shared" ref="AH7:AH30" si="8">IF(ISBLANK(AG7),"",AH6+AG7)</f>
        <v>420000</v>
      </c>
      <c r="AJ7" s="2">
        <v>43223</v>
      </c>
      <c r="AK7" t="s">
        <v>908</v>
      </c>
      <c r="AL7" s="34">
        <v>-400000</v>
      </c>
      <c r="AM7" s="34">
        <f t="shared" si="5"/>
        <v>160000</v>
      </c>
      <c r="AO7" s="2">
        <v>43304</v>
      </c>
      <c r="AP7" s="10" t="s">
        <v>745</v>
      </c>
      <c r="AQ7" s="34">
        <v>-1220000</v>
      </c>
      <c r="AR7" s="34">
        <f t="shared" si="6"/>
        <v>955000</v>
      </c>
      <c r="AW7" s="34" t="str">
        <f t="shared" si="7"/>
        <v/>
      </c>
    </row>
    <row r="8" spans="1:49" x14ac:dyDescent="0.25">
      <c r="A8" s="10" t="s">
        <v>32</v>
      </c>
      <c r="B8" t="s">
        <v>34</v>
      </c>
      <c r="C8" t="s">
        <v>33</v>
      </c>
      <c r="D8" s="28">
        <f>LOOKUP(100000000000000000000,1/(AW:AW&lt;&gt;""),AW:AW)</f>
        <v>1613</v>
      </c>
      <c r="F8" s="2">
        <v>42863</v>
      </c>
      <c r="G8" s="10" t="s">
        <v>916</v>
      </c>
      <c r="H8" s="34">
        <v>-26000</v>
      </c>
      <c r="I8" s="34">
        <f t="shared" si="0"/>
        <v>191000</v>
      </c>
      <c r="K8" s="2">
        <v>42934</v>
      </c>
      <c r="L8" t="s">
        <v>917</v>
      </c>
      <c r="M8" s="34">
        <v>-9000</v>
      </c>
      <c r="N8" s="34">
        <f t="shared" si="1"/>
        <v>121000</v>
      </c>
      <c r="R8" s="34"/>
      <c r="S8" s="34" t="str">
        <f t="shared" si="2"/>
        <v/>
      </c>
      <c r="W8" s="34"/>
      <c r="X8" s="34" t="str">
        <f t="shared" si="3"/>
        <v/>
      </c>
      <c r="Z8" s="2">
        <v>43222</v>
      </c>
      <c r="AA8" t="s">
        <v>897</v>
      </c>
      <c r="AB8" s="34">
        <v>950000</v>
      </c>
      <c r="AC8" s="34">
        <f t="shared" si="4"/>
        <v>1793000</v>
      </c>
      <c r="AE8" s="2">
        <v>43241</v>
      </c>
      <c r="AF8" t="s">
        <v>918</v>
      </c>
      <c r="AG8" s="34">
        <v>420000</v>
      </c>
      <c r="AH8" s="34">
        <f t="shared" si="8"/>
        <v>840000</v>
      </c>
      <c r="AJ8" s="2">
        <v>43284</v>
      </c>
      <c r="AK8" t="s">
        <v>895</v>
      </c>
      <c r="AL8" s="34">
        <v>5000000</v>
      </c>
      <c r="AM8" s="34">
        <f t="shared" si="5"/>
        <v>5160000</v>
      </c>
      <c r="AO8" s="2">
        <v>43319</v>
      </c>
      <c r="AP8" t="s">
        <v>919</v>
      </c>
      <c r="AQ8" s="34">
        <v>10000000</v>
      </c>
      <c r="AR8" s="34">
        <f t="shared" si="6"/>
        <v>10955000</v>
      </c>
      <c r="AW8" s="34" t="str">
        <f t="shared" si="7"/>
        <v/>
      </c>
    </row>
    <row r="9" spans="1:49" x14ac:dyDescent="0.25">
      <c r="A9" s="10" t="s">
        <v>252</v>
      </c>
      <c r="B9" t="s">
        <v>254</v>
      </c>
      <c r="C9" t="s">
        <v>253</v>
      </c>
      <c r="D9" s="28">
        <f>LOOKUP(100000000000000000000,1/(AR:AR&lt;&gt;""),AR:AR)</f>
        <v>10155000</v>
      </c>
      <c r="F9" s="2">
        <v>42887</v>
      </c>
      <c r="G9" s="10" t="s">
        <v>920</v>
      </c>
      <c r="H9" s="34">
        <v>-26000</v>
      </c>
      <c r="I9" s="34">
        <f t="shared" si="0"/>
        <v>165000</v>
      </c>
      <c r="K9" s="2">
        <v>42945</v>
      </c>
      <c r="L9" s="10" t="s">
        <v>452</v>
      </c>
      <c r="M9" s="34">
        <v>-7000</v>
      </c>
      <c r="N9" s="34">
        <f t="shared" si="1"/>
        <v>114000</v>
      </c>
      <c r="R9" s="34"/>
      <c r="S9" s="34" t="str">
        <f t="shared" si="2"/>
        <v/>
      </c>
      <c r="W9" s="34"/>
      <c r="X9" s="34" t="str">
        <f t="shared" si="3"/>
        <v/>
      </c>
      <c r="Z9" s="2">
        <v>43223</v>
      </c>
      <c r="AA9" t="s">
        <v>908</v>
      </c>
      <c r="AB9" s="34">
        <v>-400000</v>
      </c>
      <c r="AC9" s="34">
        <f t="shared" si="4"/>
        <v>1393000</v>
      </c>
      <c r="AE9" s="2">
        <v>43242</v>
      </c>
      <c r="AF9" t="s">
        <v>672</v>
      </c>
      <c r="AG9" s="34">
        <v>-350000</v>
      </c>
      <c r="AH9" s="34">
        <f t="shared" si="8"/>
        <v>490000</v>
      </c>
      <c r="AJ9" s="2">
        <v>43284</v>
      </c>
      <c r="AK9" t="s">
        <v>921</v>
      </c>
      <c r="AL9" s="34">
        <v>-625000</v>
      </c>
      <c r="AM9" s="34">
        <f t="shared" si="5"/>
        <v>4535000</v>
      </c>
      <c r="AO9" s="2">
        <v>43319</v>
      </c>
      <c r="AP9" t="s">
        <v>922</v>
      </c>
      <c r="AQ9" s="34">
        <v>-800000</v>
      </c>
      <c r="AR9" s="34">
        <f t="shared" si="6"/>
        <v>10155000</v>
      </c>
      <c r="AW9" s="34" t="str">
        <f t="shared" si="7"/>
        <v/>
      </c>
    </row>
    <row r="10" spans="1:49" x14ac:dyDescent="0.25">
      <c r="A10" s="10" t="s">
        <v>280</v>
      </c>
      <c r="B10" t="s">
        <v>282</v>
      </c>
      <c r="C10" t="s">
        <v>58</v>
      </c>
      <c r="D10" s="28">
        <f>LOOKUP(100000000000000000000,1/(AC:AC&lt;&gt;""),AC:AC)</f>
        <v>3598000</v>
      </c>
      <c r="F10" s="2">
        <v>42917</v>
      </c>
      <c r="G10" s="10" t="s">
        <v>913</v>
      </c>
      <c r="H10" s="34">
        <v>-26000</v>
      </c>
      <c r="I10" s="34">
        <f t="shared" si="0"/>
        <v>139000</v>
      </c>
      <c r="K10" s="2">
        <v>42953</v>
      </c>
      <c r="L10" s="10" t="s">
        <v>911</v>
      </c>
      <c r="M10" s="34">
        <v>-35000</v>
      </c>
      <c r="N10" s="34">
        <f t="shared" si="1"/>
        <v>79000</v>
      </c>
      <c r="R10" s="34"/>
      <c r="S10" s="34" t="str">
        <f>IF(ISBLANK(R10),"",S9+R10)</f>
        <v/>
      </c>
      <c r="W10" s="34"/>
      <c r="X10" s="34" t="str">
        <f>IF(ISBLANK(W10),"",X9+W10)</f>
        <v/>
      </c>
      <c r="Z10" s="2">
        <v>43237</v>
      </c>
      <c r="AA10" t="s">
        <v>897</v>
      </c>
      <c r="AB10" s="34">
        <v>450000</v>
      </c>
      <c r="AC10" s="34">
        <f>IF(ISBLANK(AB10),"",AC9+AB10)</f>
        <v>1843000</v>
      </c>
      <c r="AE10" s="2">
        <v>43250</v>
      </c>
      <c r="AF10" t="s">
        <v>923</v>
      </c>
      <c r="AG10" s="34">
        <v>570000</v>
      </c>
      <c r="AH10" s="34">
        <f t="shared" si="8"/>
        <v>1060000</v>
      </c>
      <c r="AJ10" s="2">
        <v>43284</v>
      </c>
      <c r="AK10" t="s">
        <v>901</v>
      </c>
      <c r="AL10" s="34">
        <v>-1000000</v>
      </c>
      <c r="AM10" s="34">
        <f t="shared" si="5"/>
        <v>3535000</v>
      </c>
      <c r="AR10" s="34" t="str">
        <f t="shared" si="6"/>
        <v/>
      </c>
      <c r="AW10" s="34" t="str">
        <f t="shared" si="7"/>
        <v/>
      </c>
    </row>
    <row r="11" spans="1:49" x14ac:dyDescent="0.25">
      <c r="A11" t="s">
        <v>36</v>
      </c>
      <c r="B11" t="s">
        <v>38</v>
      </c>
      <c r="C11" t="s">
        <v>37</v>
      </c>
      <c r="D11" s="28">
        <f>LOOKUP(100000000000000000000,1/(AH:AH&lt;&gt;""),AH:AH)</f>
        <v>1160000</v>
      </c>
      <c r="F11" s="2">
        <v>42934</v>
      </c>
      <c r="G11" t="s">
        <v>917</v>
      </c>
      <c r="H11" s="34">
        <v>-9000</v>
      </c>
      <c r="I11" s="34">
        <f t="shared" si="0"/>
        <v>130000</v>
      </c>
      <c r="K11" s="2">
        <v>42979</v>
      </c>
      <c r="L11" s="10" t="s">
        <v>924</v>
      </c>
      <c r="M11" s="34">
        <v>-35000</v>
      </c>
      <c r="N11" s="34">
        <f t="shared" si="1"/>
        <v>44000</v>
      </c>
      <c r="R11" s="34"/>
      <c r="S11" s="34" t="str">
        <f t="shared" ref="S11:S30" si="9">IF(ISBLANK(R11),"",S10+R11)</f>
        <v/>
      </c>
      <c r="W11" s="34"/>
      <c r="X11" s="34" t="str">
        <f t="shared" ref="X11:X30" si="10">IF(ISBLANK(W11),"",X10+W11)</f>
        <v/>
      </c>
      <c r="Z11" s="2">
        <v>43242</v>
      </c>
      <c r="AA11" t="s">
        <v>672</v>
      </c>
      <c r="AB11" s="34">
        <v>-350000</v>
      </c>
      <c r="AC11" s="34">
        <f t="shared" si="4"/>
        <v>1493000</v>
      </c>
      <c r="AE11" s="2">
        <v>43257</v>
      </c>
      <c r="AF11" t="s">
        <v>921</v>
      </c>
      <c r="AG11" s="34">
        <v>-400000</v>
      </c>
      <c r="AH11" s="34">
        <f t="shared" si="8"/>
        <v>660000</v>
      </c>
      <c r="AJ11" s="2">
        <v>43291</v>
      </c>
      <c r="AK11" s="10" t="s">
        <v>745</v>
      </c>
      <c r="AL11" s="34">
        <v>-1220000</v>
      </c>
      <c r="AM11" s="34">
        <f t="shared" si="5"/>
        <v>2315000</v>
      </c>
      <c r="AR11" s="34" t="str">
        <f t="shared" si="6"/>
        <v/>
      </c>
      <c r="AW11" s="34" t="str">
        <f t="shared" si="7"/>
        <v/>
      </c>
    </row>
    <row r="12" spans="1:49" x14ac:dyDescent="0.25">
      <c r="A12" s="10" t="s">
        <v>219</v>
      </c>
      <c r="B12" t="s">
        <v>221</v>
      </c>
      <c r="C12" t="s">
        <v>220</v>
      </c>
      <c r="D12" s="28">
        <f>LOOKUP(100000000000000000000,1/(AM:AM&lt;&gt;""),AM:AM)</f>
        <v>1115000</v>
      </c>
      <c r="F12" s="2">
        <v>42953</v>
      </c>
      <c r="G12" s="10" t="s">
        <v>911</v>
      </c>
      <c r="H12" s="34">
        <v>-35000</v>
      </c>
      <c r="I12" s="34">
        <f t="shared" si="0"/>
        <v>95000</v>
      </c>
      <c r="K12" s="2">
        <v>43013</v>
      </c>
      <c r="L12" s="10" t="s">
        <v>925</v>
      </c>
      <c r="M12" s="34">
        <v>-35000</v>
      </c>
      <c r="N12" s="34">
        <f t="shared" si="1"/>
        <v>9000</v>
      </c>
      <c r="R12" s="34"/>
      <c r="S12" s="34" t="str">
        <f t="shared" si="9"/>
        <v/>
      </c>
      <c r="W12" s="34"/>
      <c r="X12" s="34" t="str">
        <f t="shared" si="10"/>
        <v/>
      </c>
      <c r="Z12" s="2">
        <v>43245</v>
      </c>
      <c r="AA12" t="s">
        <v>897</v>
      </c>
      <c r="AB12" s="34">
        <v>500000</v>
      </c>
      <c r="AC12" s="34">
        <f t="shared" si="4"/>
        <v>1993000</v>
      </c>
      <c r="AE12" s="2">
        <v>43279</v>
      </c>
      <c r="AF12" t="s">
        <v>905</v>
      </c>
      <c r="AG12" s="34">
        <v>-225000</v>
      </c>
      <c r="AH12" s="34">
        <f t="shared" si="8"/>
        <v>435000</v>
      </c>
      <c r="AJ12" s="2">
        <v>43313</v>
      </c>
      <c r="AK12" t="s">
        <v>914</v>
      </c>
      <c r="AL12" s="34">
        <v>-1200000</v>
      </c>
      <c r="AM12" s="34">
        <f t="shared" si="5"/>
        <v>1115000</v>
      </c>
      <c r="AR12" s="34" t="str">
        <f t="shared" si="6"/>
        <v/>
      </c>
      <c r="AW12" s="34" t="str">
        <f t="shared" si="7"/>
        <v/>
      </c>
    </row>
    <row r="13" spans="1:49" x14ac:dyDescent="0.25">
      <c r="F13" s="2">
        <v>42979</v>
      </c>
      <c r="G13" s="10" t="s">
        <v>924</v>
      </c>
      <c r="H13" s="34">
        <v>-35000</v>
      </c>
      <c r="I13" s="34">
        <f t="shared" si="0"/>
        <v>60000</v>
      </c>
      <c r="K13" s="2">
        <v>43017</v>
      </c>
      <c r="L13" t="s">
        <v>897</v>
      </c>
      <c r="M13" s="34">
        <v>156000</v>
      </c>
      <c r="N13" s="34">
        <f t="shared" si="1"/>
        <v>165000</v>
      </c>
      <c r="R13" s="34"/>
      <c r="S13" s="34" t="str">
        <f t="shared" si="9"/>
        <v/>
      </c>
      <c r="W13" s="34"/>
      <c r="X13" s="34" t="str">
        <f t="shared" si="10"/>
        <v/>
      </c>
      <c r="Z13" s="2">
        <v>43257</v>
      </c>
      <c r="AA13" t="s">
        <v>921</v>
      </c>
      <c r="AB13" s="34">
        <v>-400000</v>
      </c>
      <c r="AC13" s="34">
        <f t="shared" si="4"/>
        <v>1593000</v>
      </c>
      <c r="AE13" s="2">
        <v>43284</v>
      </c>
      <c r="AF13" t="s">
        <v>926</v>
      </c>
      <c r="AG13" s="34">
        <v>400000</v>
      </c>
      <c r="AH13" s="34">
        <f t="shared" si="8"/>
        <v>835000</v>
      </c>
      <c r="AM13" s="34" t="str">
        <f t="shared" si="5"/>
        <v/>
      </c>
      <c r="AR13" s="34" t="str">
        <f t="shared" si="6"/>
        <v/>
      </c>
      <c r="AW13" s="34" t="str">
        <f t="shared" si="7"/>
        <v/>
      </c>
    </row>
    <row r="14" spans="1:49" x14ac:dyDescent="0.25">
      <c r="F14" s="2">
        <v>42999</v>
      </c>
      <c r="G14" t="s">
        <v>897</v>
      </c>
      <c r="H14" s="34">
        <v>45000</v>
      </c>
      <c r="I14" s="34">
        <f t="shared" si="0"/>
        <v>105000</v>
      </c>
      <c r="K14" s="2">
        <v>43046</v>
      </c>
      <c r="L14" s="10" t="s">
        <v>927</v>
      </c>
      <c r="M14" s="34">
        <v>-50000</v>
      </c>
      <c r="N14" s="34">
        <f t="shared" si="1"/>
        <v>115000</v>
      </c>
      <c r="R14" s="34"/>
      <c r="S14" s="34" t="str">
        <f t="shared" si="9"/>
        <v/>
      </c>
      <c r="W14" s="34"/>
      <c r="X14" s="34" t="str">
        <f t="shared" si="10"/>
        <v/>
      </c>
      <c r="Z14" s="2">
        <v>43279</v>
      </c>
      <c r="AA14" t="s">
        <v>905</v>
      </c>
      <c r="AB14" s="34">
        <v>-225000</v>
      </c>
      <c r="AC14" s="34">
        <f t="shared" si="4"/>
        <v>1368000</v>
      </c>
      <c r="AE14" s="2">
        <v>43291</v>
      </c>
      <c r="AF14" t="s">
        <v>928</v>
      </c>
      <c r="AG14" s="34">
        <v>-835000</v>
      </c>
      <c r="AH14" s="302">
        <f t="shared" si="8"/>
        <v>0</v>
      </c>
      <c r="AM14" s="34" t="str">
        <f t="shared" si="5"/>
        <v/>
      </c>
      <c r="AR14" s="34" t="str">
        <f t="shared" si="6"/>
        <v/>
      </c>
      <c r="AW14" s="34" t="str">
        <f t="shared" si="7"/>
        <v/>
      </c>
    </row>
    <row r="15" spans="1:49" x14ac:dyDescent="0.25">
      <c r="F15" s="2">
        <v>43013</v>
      </c>
      <c r="G15" s="10" t="s">
        <v>925</v>
      </c>
      <c r="H15" s="34">
        <v>-35000</v>
      </c>
      <c r="I15" s="34">
        <f t="shared" si="0"/>
        <v>70000</v>
      </c>
      <c r="K15" s="2">
        <v>43074</v>
      </c>
      <c r="L15" s="10" t="s">
        <v>929</v>
      </c>
      <c r="M15" s="34">
        <v>-50000</v>
      </c>
      <c r="N15" s="34">
        <f t="shared" si="1"/>
        <v>65000</v>
      </c>
      <c r="R15" s="34"/>
      <c r="S15" s="34" t="str">
        <f t="shared" si="9"/>
        <v/>
      </c>
      <c r="W15" s="34"/>
      <c r="X15" s="34" t="str">
        <f t="shared" si="10"/>
        <v/>
      </c>
      <c r="Z15" s="2">
        <v>43280</v>
      </c>
      <c r="AA15" t="s">
        <v>897</v>
      </c>
      <c r="AB15" s="34">
        <v>1150000</v>
      </c>
      <c r="AC15" s="34">
        <f t="shared" si="4"/>
        <v>2518000</v>
      </c>
      <c r="AE15" s="2">
        <v>43302</v>
      </c>
      <c r="AF15" t="s">
        <v>930</v>
      </c>
      <c r="AG15" s="34">
        <v>960000</v>
      </c>
      <c r="AH15" s="34">
        <f t="shared" si="8"/>
        <v>960000</v>
      </c>
      <c r="AM15" s="34" t="str">
        <f t="shared" si="5"/>
        <v/>
      </c>
      <c r="AR15" s="34" t="str">
        <f t="shared" si="6"/>
        <v/>
      </c>
      <c r="AW15" s="34" t="str">
        <f t="shared" si="7"/>
        <v/>
      </c>
    </row>
    <row r="16" spans="1:49" x14ac:dyDescent="0.25">
      <c r="F16" s="2">
        <v>43046</v>
      </c>
      <c r="G16" s="10" t="s">
        <v>927</v>
      </c>
      <c r="H16" s="34">
        <v>-50000</v>
      </c>
      <c r="I16" s="34">
        <f t="shared" si="0"/>
        <v>20000</v>
      </c>
      <c r="K16" s="2">
        <v>43118</v>
      </c>
      <c r="L16" t="s">
        <v>897</v>
      </c>
      <c r="M16" s="34">
        <v>960000</v>
      </c>
      <c r="N16" s="34">
        <f t="shared" si="1"/>
        <v>1025000</v>
      </c>
      <c r="R16" s="34"/>
      <c r="S16" s="34" t="str">
        <f t="shared" si="9"/>
        <v/>
      </c>
      <c r="W16" s="34"/>
      <c r="X16" s="34" t="str">
        <f t="shared" si="10"/>
        <v/>
      </c>
      <c r="Z16" s="2">
        <v>43285</v>
      </c>
      <c r="AA16" t="s">
        <v>901</v>
      </c>
      <c r="AB16" s="34">
        <v>-1000000</v>
      </c>
      <c r="AC16" s="34">
        <f t="shared" si="4"/>
        <v>1518000</v>
      </c>
      <c r="AE16" s="2">
        <v>43319</v>
      </c>
      <c r="AF16" t="s">
        <v>931</v>
      </c>
      <c r="AG16" s="34">
        <v>1400000</v>
      </c>
      <c r="AH16" s="34">
        <f t="shared" si="8"/>
        <v>2360000</v>
      </c>
      <c r="AM16" s="34" t="str">
        <f t="shared" si="5"/>
        <v/>
      </c>
      <c r="AR16" s="34" t="str">
        <f t="shared" si="6"/>
        <v/>
      </c>
      <c r="AW16" s="34" t="str">
        <f t="shared" si="7"/>
        <v/>
      </c>
    </row>
    <row r="17" spans="6:49" x14ac:dyDescent="0.25">
      <c r="F17" s="2">
        <v>43074</v>
      </c>
      <c r="G17" t="s">
        <v>897</v>
      </c>
      <c r="H17" s="34">
        <v>80000</v>
      </c>
      <c r="I17" s="34">
        <f t="shared" si="0"/>
        <v>100000</v>
      </c>
      <c r="K17" s="2">
        <v>43118</v>
      </c>
      <c r="L17" s="10" t="s">
        <v>932</v>
      </c>
      <c r="M17" s="34">
        <v>-80000</v>
      </c>
      <c r="N17" s="34">
        <f t="shared" si="1"/>
        <v>945000</v>
      </c>
      <c r="R17" s="34"/>
      <c r="S17" s="34" t="str">
        <f t="shared" si="9"/>
        <v/>
      </c>
      <c r="W17" s="34"/>
      <c r="X17" s="34" t="str">
        <f t="shared" si="10"/>
        <v/>
      </c>
      <c r="Z17" s="2">
        <v>43288</v>
      </c>
      <c r="AA17" t="s">
        <v>897</v>
      </c>
      <c r="AB17" s="34">
        <v>2000000</v>
      </c>
      <c r="AC17" s="34">
        <f t="shared" si="4"/>
        <v>3518000</v>
      </c>
      <c r="AE17" s="2">
        <v>43324</v>
      </c>
      <c r="AF17" t="s">
        <v>914</v>
      </c>
      <c r="AG17" s="34">
        <v>-1200000</v>
      </c>
      <c r="AH17" s="34">
        <f t="shared" si="8"/>
        <v>1160000</v>
      </c>
      <c r="AM17" s="34" t="str">
        <f t="shared" si="5"/>
        <v/>
      </c>
      <c r="AR17" s="34" t="str">
        <f t="shared" si="6"/>
        <v/>
      </c>
      <c r="AW17" s="34" t="str">
        <f t="shared" si="7"/>
        <v/>
      </c>
    </row>
    <row r="18" spans="6:49" x14ac:dyDescent="0.25">
      <c r="F18" s="2">
        <v>43074</v>
      </c>
      <c r="G18" t="s">
        <v>897</v>
      </c>
      <c r="H18" s="34">
        <v>550000</v>
      </c>
      <c r="I18" s="34">
        <f t="shared" si="0"/>
        <v>650000</v>
      </c>
      <c r="K18" s="2">
        <v>43136</v>
      </c>
      <c r="L18" t="s">
        <v>933</v>
      </c>
      <c r="M18" s="34">
        <v>-80000</v>
      </c>
      <c r="N18" s="34">
        <f t="shared" si="1"/>
        <v>865000</v>
      </c>
      <c r="Q18" s="10"/>
      <c r="R18" s="34"/>
      <c r="S18" s="34" t="str">
        <f t="shared" si="9"/>
        <v/>
      </c>
      <c r="V18" s="10"/>
      <c r="W18" s="34"/>
      <c r="X18" s="34" t="str">
        <f t="shared" si="10"/>
        <v/>
      </c>
      <c r="Z18" s="2">
        <v>43290</v>
      </c>
      <c r="AA18" s="10" t="s">
        <v>745</v>
      </c>
      <c r="AB18" s="34">
        <v>-1220000</v>
      </c>
      <c r="AC18" s="34">
        <f t="shared" si="4"/>
        <v>2298000</v>
      </c>
      <c r="AH18" s="34" t="str">
        <f t="shared" si="8"/>
        <v/>
      </c>
      <c r="AM18" s="34" t="str">
        <f t="shared" si="5"/>
        <v/>
      </c>
      <c r="AR18" s="34" t="str">
        <f t="shared" si="6"/>
        <v/>
      </c>
      <c r="AW18" s="34" t="str">
        <f t="shared" si="7"/>
        <v/>
      </c>
    </row>
    <row r="19" spans="6:49" x14ac:dyDescent="0.25">
      <c r="F19" s="2">
        <v>43074</v>
      </c>
      <c r="G19" s="10" t="s">
        <v>929</v>
      </c>
      <c r="H19" s="34">
        <v>-50000</v>
      </c>
      <c r="I19" s="34">
        <f t="shared" si="0"/>
        <v>600000</v>
      </c>
      <c r="K19" s="2">
        <v>43168</v>
      </c>
      <c r="L19" t="s">
        <v>904</v>
      </c>
      <c r="M19" s="34">
        <v>-140000</v>
      </c>
      <c r="N19" s="34">
        <f t="shared" si="1"/>
        <v>725000</v>
      </c>
      <c r="S19" s="34" t="str">
        <f t="shared" si="9"/>
        <v/>
      </c>
      <c r="X19" s="34" t="str">
        <f t="shared" si="10"/>
        <v/>
      </c>
      <c r="Z19" s="2">
        <v>43313</v>
      </c>
      <c r="AA19" t="s">
        <v>897</v>
      </c>
      <c r="AB19" s="34">
        <v>2500000</v>
      </c>
      <c r="AC19" s="34">
        <f t="shared" si="4"/>
        <v>4798000</v>
      </c>
      <c r="AH19" s="34" t="str">
        <f t="shared" si="8"/>
        <v/>
      </c>
      <c r="AM19" s="34" t="str">
        <f t="shared" si="5"/>
        <v/>
      </c>
      <c r="AR19" s="34" t="str">
        <f t="shared" si="6"/>
        <v/>
      </c>
      <c r="AW19" s="34" t="str">
        <f t="shared" si="7"/>
        <v/>
      </c>
    </row>
    <row r="20" spans="6:49" x14ac:dyDescent="0.25">
      <c r="F20" s="2">
        <v>43103</v>
      </c>
      <c r="G20" t="s">
        <v>897</v>
      </c>
      <c r="H20" s="34">
        <v>360000</v>
      </c>
      <c r="I20" s="34">
        <f t="shared" si="0"/>
        <v>960000</v>
      </c>
      <c r="K20" s="2">
        <v>43195</v>
      </c>
      <c r="L20" t="s">
        <v>909</v>
      </c>
      <c r="M20" s="34">
        <v>-140000</v>
      </c>
      <c r="N20" s="34">
        <f t="shared" si="1"/>
        <v>585000</v>
      </c>
      <c r="S20" s="34" t="str">
        <f t="shared" si="9"/>
        <v/>
      </c>
      <c r="X20" s="34" t="str">
        <f t="shared" si="10"/>
        <v/>
      </c>
      <c r="Z20" s="2">
        <v>43313</v>
      </c>
      <c r="AA20" t="s">
        <v>914</v>
      </c>
      <c r="AB20" s="34">
        <v>-1200000</v>
      </c>
      <c r="AC20" s="34">
        <f t="shared" si="4"/>
        <v>3598000</v>
      </c>
      <c r="AH20" s="34" t="str">
        <f t="shared" si="8"/>
        <v/>
      </c>
      <c r="AM20" s="34" t="str">
        <f t="shared" si="5"/>
        <v/>
      </c>
      <c r="AR20" s="34" t="str">
        <f t="shared" si="6"/>
        <v/>
      </c>
      <c r="AW20" s="34" t="str">
        <f t="shared" si="7"/>
        <v/>
      </c>
    </row>
    <row r="21" spans="6:49" x14ac:dyDescent="0.25">
      <c r="F21" s="2">
        <v>43110</v>
      </c>
      <c r="G21" t="s">
        <v>932</v>
      </c>
      <c r="H21" s="34">
        <v>-80000</v>
      </c>
      <c r="I21" s="34">
        <f t="shared" si="0"/>
        <v>880000</v>
      </c>
      <c r="K21" s="2">
        <v>43223</v>
      </c>
      <c r="L21" t="s">
        <v>908</v>
      </c>
      <c r="M21" s="34">
        <v>-400000</v>
      </c>
      <c r="N21" s="34">
        <f t="shared" si="1"/>
        <v>185000</v>
      </c>
      <c r="S21" s="34" t="str">
        <f t="shared" si="9"/>
        <v/>
      </c>
      <c r="X21" s="34" t="str">
        <f t="shared" si="10"/>
        <v/>
      </c>
      <c r="AC21" s="34" t="str">
        <f t="shared" si="4"/>
        <v/>
      </c>
      <c r="AH21" s="34" t="str">
        <f t="shared" si="8"/>
        <v/>
      </c>
      <c r="AM21" s="34" t="str">
        <f t="shared" si="5"/>
        <v/>
      </c>
      <c r="AR21" s="34" t="str">
        <f t="shared" si="6"/>
        <v/>
      </c>
      <c r="AW21" s="34" t="str">
        <f t="shared" si="7"/>
        <v/>
      </c>
    </row>
    <row r="22" spans="6:49" x14ac:dyDescent="0.25">
      <c r="F22" s="2">
        <v>43136</v>
      </c>
      <c r="G22" t="s">
        <v>933</v>
      </c>
      <c r="H22" s="34">
        <v>-80000</v>
      </c>
      <c r="I22" s="34">
        <f t="shared" si="0"/>
        <v>800000</v>
      </c>
      <c r="K22" s="2">
        <v>43245</v>
      </c>
      <c r="L22" t="s">
        <v>897</v>
      </c>
      <c r="M22" s="34">
        <v>4000000</v>
      </c>
      <c r="N22" s="34">
        <f t="shared" si="1"/>
        <v>4185000</v>
      </c>
      <c r="S22" s="34" t="str">
        <f t="shared" si="9"/>
        <v/>
      </c>
      <c r="X22" s="34" t="str">
        <f t="shared" si="10"/>
        <v/>
      </c>
      <c r="AC22" s="34" t="str">
        <f t="shared" si="4"/>
        <v/>
      </c>
      <c r="AH22" s="34" t="str">
        <f t="shared" si="8"/>
        <v/>
      </c>
      <c r="AM22" s="34" t="str">
        <f t="shared" si="5"/>
        <v/>
      </c>
      <c r="AR22" s="34" t="str">
        <f t="shared" si="6"/>
        <v/>
      </c>
      <c r="AW22" s="34" t="str">
        <f t="shared" si="7"/>
        <v/>
      </c>
    </row>
    <row r="23" spans="6:49" x14ac:dyDescent="0.25">
      <c r="F23" s="2">
        <v>43161</v>
      </c>
      <c r="G23" t="s">
        <v>904</v>
      </c>
      <c r="H23" s="34">
        <v>-140000</v>
      </c>
      <c r="I23" s="34">
        <f t="shared" si="0"/>
        <v>660000</v>
      </c>
      <c r="K23" s="2">
        <v>43253</v>
      </c>
      <c r="L23" s="10" t="s">
        <v>672</v>
      </c>
      <c r="M23" s="34">
        <v>-350000</v>
      </c>
      <c r="N23" s="34">
        <f t="shared" si="1"/>
        <v>3835000</v>
      </c>
      <c r="S23" s="34" t="str">
        <f t="shared" si="9"/>
        <v/>
      </c>
      <c r="X23" s="34" t="str">
        <f t="shared" si="10"/>
        <v/>
      </c>
      <c r="AC23" s="34" t="str">
        <f t="shared" si="4"/>
        <v/>
      </c>
      <c r="AH23" s="34" t="str">
        <f t="shared" si="8"/>
        <v/>
      </c>
      <c r="AM23" s="34" t="str">
        <f t="shared" si="5"/>
        <v/>
      </c>
      <c r="AR23" s="34" t="str">
        <f t="shared" si="6"/>
        <v/>
      </c>
      <c r="AW23" s="34" t="str">
        <f t="shared" si="7"/>
        <v/>
      </c>
    </row>
    <row r="24" spans="6:49" x14ac:dyDescent="0.25">
      <c r="F24" s="2">
        <v>43195</v>
      </c>
      <c r="G24" t="s">
        <v>909</v>
      </c>
      <c r="H24" s="34">
        <v>-140000</v>
      </c>
      <c r="I24" s="34">
        <f t="shared" si="0"/>
        <v>520000</v>
      </c>
      <c r="K24" s="2">
        <v>43257</v>
      </c>
      <c r="L24" t="s">
        <v>921</v>
      </c>
      <c r="M24" s="34">
        <v>-400000</v>
      </c>
      <c r="N24" s="34">
        <f t="shared" si="1"/>
        <v>3435000</v>
      </c>
      <c r="S24" s="34" t="str">
        <f t="shared" si="9"/>
        <v/>
      </c>
      <c r="X24" s="34" t="str">
        <f t="shared" si="10"/>
        <v/>
      </c>
      <c r="AC24" s="34" t="str">
        <f t="shared" si="4"/>
        <v/>
      </c>
      <c r="AH24" s="34" t="str">
        <f t="shared" si="8"/>
        <v/>
      </c>
      <c r="AM24" s="34" t="str">
        <f t="shared" si="5"/>
        <v/>
      </c>
      <c r="AR24" s="34" t="str">
        <f t="shared" si="6"/>
        <v/>
      </c>
      <c r="AW24" s="34" t="str">
        <f t="shared" si="7"/>
        <v/>
      </c>
    </row>
    <row r="25" spans="6:49" x14ac:dyDescent="0.25">
      <c r="F25" s="2">
        <v>43223</v>
      </c>
      <c r="G25" t="s">
        <v>908</v>
      </c>
      <c r="H25" s="34">
        <v>-400000</v>
      </c>
      <c r="I25" s="34">
        <f t="shared" si="0"/>
        <v>120000</v>
      </c>
      <c r="K25" s="2">
        <v>43279</v>
      </c>
      <c r="L25" t="s">
        <v>905</v>
      </c>
      <c r="M25" s="34">
        <v>-225000</v>
      </c>
      <c r="N25" s="34">
        <f t="shared" si="1"/>
        <v>3210000</v>
      </c>
      <c r="S25" s="34" t="str">
        <f t="shared" si="9"/>
        <v/>
      </c>
      <c r="X25" s="34" t="str">
        <f t="shared" si="10"/>
        <v/>
      </c>
      <c r="AC25" s="34" t="str">
        <f t="shared" si="4"/>
        <v/>
      </c>
      <c r="AH25" s="34" t="str">
        <f t="shared" si="8"/>
        <v/>
      </c>
      <c r="AM25" s="34" t="str">
        <f t="shared" si="5"/>
        <v/>
      </c>
      <c r="AR25" s="34" t="str">
        <f t="shared" si="6"/>
        <v/>
      </c>
      <c r="AW25" s="34" t="str">
        <f t="shared" si="7"/>
        <v/>
      </c>
    </row>
    <row r="26" spans="6:49" x14ac:dyDescent="0.25">
      <c r="F26" s="2">
        <v>43242</v>
      </c>
      <c r="G26" t="s">
        <v>897</v>
      </c>
      <c r="H26" s="34">
        <v>5000000</v>
      </c>
      <c r="I26" s="34">
        <f t="shared" si="0"/>
        <v>5120000</v>
      </c>
      <c r="K26" s="2">
        <v>43285</v>
      </c>
      <c r="L26" t="s">
        <v>901</v>
      </c>
      <c r="M26" s="34">
        <v>-1000000</v>
      </c>
      <c r="N26" s="34">
        <f t="shared" si="1"/>
        <v>2210000</v>
      </c>
      <c r="S26" s="34" t="str">
        <f t="shared" si="9"/>
        <v/>
      </c>
      <c r="X26" s="34" t="str">
        <f t="shared" si="10"/>
        <v/>
      </c>
      <c r="AC26" s="34" t="str">
        <f t="shared" si="4"/>
        <v/>
      </c>
      <c r="AH26" s="34" t="str">
        <f t="shared" si="8"/>
        <v/>
      </c>
      <c r="AM26" s="34" t="str">
        <f t="shared" si="5"/>
        <v/>
      </c>
      <c r="AR26" s="34" t="str">
        <f t="shared" si="6"/>
        <v/>
      </c>
      <c r="AW26" s="34" t="str">
        <f t="shared" si="7"/>
        <v/>
      </c>
    </row>
    <row r="27" spans="6:49" x14ac:dyDescent="0.25">
      <c r="F27" s="2">
        <v>43257</v>
      </c>
      <c r="G27" t="s">
        <v>921</v>
      </c>
      <c r="H27" s="34">
        <v>-400000</v>
      </c>
      <c r="I27" s="34">
        <f t="shared" si="0"/>
        <v>4720000</v>
      </c>
      <c r="K27" s="2">
        <v>43291</v>
      </c>
      <c r="L27" s="10" t="s">
        <v>745</v>
      </c>
      <c r="M27" s="34">
        <v>-1220000</v>
      </c>
      <c r="N27" s="34">
        <f t="shared" si="1"/>
        <v>990000</v>
      </c>
      <c r="S27" s="34" t="str">
        <f t="shared" si="9"/>
        <v/>
      </c>
      <c r="X27" s="34" t="str">
        <f t="shared" si="10"/>
        <v/>
      </c>
      <c r="AC27" s="34" t="str">
        <f t="shared" si="4"/>
        <v/>
      </c>
      <c r="AH27" s="34" t="str">
        <f t="shared" si="8"/>
        <v/>
      </c>
      <c r="AM27" s="34" t="str">
        <f t="shared" si="5"/>
        <v/>
      </c>
      <c r="AR27" s="34" t="str">
        <f t="shared" si="6"/>
        <v/>
      </c>
      <c r="AW27" s="34" t="str">
        <f t="shared" si="7"/>
        <v/>
      </c>
    </row>
    <row r="28" spans="6:49" x14ac:dyDescent="0.25">
      <c r="F28" s="2">
        <v>43279</v>
      </c>
      <c r="G28" t="s">
        <v>905</v>
      </c>
      <c r="H28" s="34">
        <v>-225000</v>
      </c>
      <c r="I28" s="34">
        <f t="shared" si="0"/>
        <v>4495000</v>
      </c>
      <c r="K28" s="2">
        <v>43313</v>
      </c>
      <c r="L28" t="s">
        <v>934</v>
      </c>
      <c r="M28" s="34">
        <v>-990000</v>
      </c>
      <c r="N28" s="34">
        <f t="shared" si="1"/>
        <v>0</v>
      </c>
      <c r="S28" s="34" t="str">
        <f t="shared" si="9"/>
        <v/>
      </c>
      <c r="X28" s="34" t="str">
        <f t="shared" si="10"/>
        <v/>
      </c>
      <c r="AC28" s="34" t="str">
        <f t="shared" si="4"/>
        <v/>
      </c>
      <c r="AH28" s="34" t="str">
        <f t="shared" si="8"/>
        <v/>
      </c>
      <c r="AM28" s="34" t="str">
        <f t="shared" si="5"/>
        <v/>
      </c>
      <c r="AR28" s="34" t="str">
        <f t="shared" si="6"/>
        <v/>
      </c>
      <c r="AW28" s="34" t="str">
        <f t="shared" si="7"/>
        <v/>
      </c>
    </row>
    <row r="29" spans="6:49" x14ac:dyDescent="0.25">
      <c r="F29" s="2">
        <v>43285</v>
      </c>
      <c r="G29" t="s">
        <v>901</v>
      </c>
      <c r="H29" s="34">
        <v>-1000000</v>
      </c>
      <c r="I29" s="34">
        <f t="shared" si="0"/>
        <v>3495000</v>
      </c>
      <c r="K29" s="2">
        <v>43314</v>
      </c>
      <c r="L29" t="s">
        <v>897</v>
      </c>
      <c r="M29" s="34">
        <v>7410000</v>
      </c>
      <c r="N29" s="34">
        <f t="shared" si="1"/>
        <v>7410000</v>
      </c>
      <c r="S29" s="34" t="str">
        <f t="shared" si="9"/>
        <v/>
      </c>
      <c r="X29" s="34" t="str">
        <f t="shared" si="10"/>
        <v/>
      </c>
      <c r="AC29" s="34" t="str">
        <f t="shared" si="4"/>
        <v/>
      </c>
      <c r="AH29" s="34" t="str">
        <f t="shared" si="8"/>
        <v/>
      </c>
      <c r="AM29" s="34" t="str">
        <f t="shared" si="5"/>
        <v/>
      </c>
      <c r="AR29" s="34" t="str">
        <f t="shared" si="6"/>
        <v/>
      </c>
      <c r="AW29" s="34" t="str">
        <f t="shared" si="7"/>
        <v/>
      </c>
    </row>
    <row r="30" spans="6:49" x14ac:dyDescent="0.25">
      <c r="F30" s="2">
        <v>43313</v>
      </c>
      <c r="G30" t="s">
        <v>935</v>
      </c>
      <c r="H30" s="34">
        <v>-1200000</v>
      </c>
      <c r="I30" s="34">
        <f t="shared" si="0"/>
        <v>2295000</v>
      </c>
      <c r="K30" s="2">
        <v>43314</v>
      </c>
      <c r="L30" t="s">
        <v>922</v>
      </c>
      <c r="M30" s="34">
        <v>-210000</v>
      </c>
      <c r="N30" s="34">
        <f t="shared" si="1"/>
        <v>7200000</v>
      </c>
      <c r="S30" s="34" t="str">
        <f t="shared" si="9"/>
        <v/>
      </c>
      <c r="X30" s="34" t="str">
        <f t="shared" si="10"/>
        <v/>
      </c>
      <c r="AC30" s="34" t="str">
        <f t="shared" si="4"/>
        <v/>
      </c>
      <c r="AH30" s="34" t="str">
        <f t="shared" si="8"/>
        <v/>
      </c>
      <c r="AM30" s="34" t="str">
        <f t="shared" si="5"/>
        <v/>
      </c>
      <c r="AR30" s="34" t="str">
        <f t="shared" si="6"/>
        <v/>
      </c>
      <c r="AW30" s="34" t="str">
        <f t="shared" si="7"/>
        <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E134"/>
  <sheetViews>
    <sheetView showGridLines="0" zoomScale="86" zoomScaleNormal="86" workbookViewId="0">
      <pane xSplit="3" ySplit="1" topLeftCell="D57" activePane="bottomRight" state="frozen"/>
      <selection pane="topRight" activeCell="D1" sqref="D1"/>
      <selection pane="bottomLeft" activeCell="A2" sqref="A2"/>
      <selection pane="bottomRight" activeCell="A67" sqref="A67"/>
    </sheetView>
  </sheetViews>
  <sheetFormatPr baseColWidth="10" defaultColWidth="11.42578125" defaultRowHeight="12.75" x14ac:dyDescent="0.2"/>
  <cols>
    <col min="1" max="1" width="27.5703125" style="68" bestFit="1" customWidth="1"/>
    <col min="2" max="2" width="26.85546875" style="68" bestFit="1" customWidth="1"/>
    <col min="3" max="3" width="10.28515625" style="146" customWidth="1"/>
    <col min="4" max="28" width="11.7109375" style="47" customWidth="1"/>
    <col min="29" max="29" width="11.42578125" style="48"/>
    <col min="30" max="31" width="11.42578125" style="301"/>
    <col min="32" max="16384" width="11.42578125" style="68"/>
  </cols>
  <sheetData>
    <row r="1" spans="1:31" s="52" customFormat="1" ht="20.100000000000001" customHeight="1" x14ac:dyDescent="0.25">
      <c r="A1" s="70" t="s">
        <v>5</v>
      </c>
      <c r="B1" s="50" t="s">
        <v>7</v>
      </c>
      <c r="C1" s="178" t="s">
        <v>9</v>
      </c>
      <c r="D1" s="104">
        <f>'RESUMEN VIGILANCIA'!D1</f>
        <v>2016</v>
      </c>
      <c r="E1" s="147">
        <f>'RESUMEN VIGILANCIA'!E1</f>
        <v>42736</v>
      </c>
      <c r="F1" s="141">
        <f>'RESUMEN VIGILANCIA'!F1</f>
        <v>42767</v>
      </c>
      <c r="G1" s="141">
        <f>'RESUMEN VIGILANCIA'!G1</f>
        <v>42795</v>
      </c>
      <c r="H1" s="141">
        <f>'RESUMEN VIGILANCIA'!H1</f>
        <v>42826</v>
      </c>
      <c r="I1" s="141">
        <f>'RESUMEN VIGILANCIA'!I1</f>
        <v>42856</v>
      </c>
      <c r="J1" s="141">
        <f>'RESUMEN VIGILANCIA'!J1</f>
        <v>42887</v>
      </c>
      <c r="K1" s="141">
        <f>'RESUMEN VIGILANCIA'!K1</f>
        <v>42917</v>
      </c>
      <c r="L1" s="141">
        <f>'RESUMEN VIGILANCIA'!L1</f>
        <v>42948</v>
      </c>
      <c r="M1" s="141">
        <f>'RESUMEN VIGILANCIA'!M1</f>
        <v>42979</v>
      </c>
      <c r="N1" s="141">
        <f>'RESUMEN VIGILANCIA'!N1</f>
        <v>43009</v>
      </c>
      <c r="O1" s="141">
        <f>'RESUMEN VIGILANCIA'!O1</f>
        <v>43040</v>
      </c>
      <c r="P1" s="143">
        <f>'RESUMEN VIGILANCIA'!P1</f>
        <v>43070</v>
      </c>
      <c r="Q1" s="144">
        <f>'RESUMEN VIGILANCIA'!Q1</f>
        <v>43101</v>
      </c>
      <c r="R1" s="145">
        <f>'RESUMEN VIGILANCIA'!R1</f>
        <v>43132</v>
      </c>
      <c r="S1" s="145">
        <f>'RESUMEN VIGILANCIA'!S1</f>
        <v>43160</v>
      </c>
      <c r="T1" s="145">
        <f>'RESUMEN VIGILANCIA'!T1</f>
        <v>43191</v>
      </c>
      <c r="U1" s="145">
        <f>'RESUMEN VIGILANCIA'!U1</f>
        <v>43221</v>
      </c>
      <c r="V1" s="145">
        <f>'RESUMEN VIGILANCIA'!V1</f>
        <v>43252</v>
      </c>
      <c r="W1" s="145">
        <f>'RESUMEN VIGILANCIA'!W1</f>
        <v>43282</v>
      </c>
      <c r="X1" s="145">
        <f>'RESUMEN VIGILANCIA'!X1</f>
        <v>43313</v>
      </c>
      <c r="Y1" s="145">
        <f>'RESUMEN VIGILANCIA'!Y1</f>
        <v>43344</v>
      </c>
      <c r="Z1" s="145">
        <f>'RESUMEN VIGILANCIA'!Z1</f>
        <v>43374</v>
      </c>
      <c r="AA1" s="145">
        <f>'RESUMEN VIGILANCIA'!AA1</f>
        <v>43405</v>
      </c>
      <c r="AB1" s="143">
        <f>'RESUMEN VIGILANCIA'!AB1</f>
        <v>43435</v>
      </c>
      <c r="AC1" s="119" t="s">
        <v>808</v>
      </c>
      <c r="AD1" s="289" t="s">
        <v>936</v>
      </c>
      <c r="AE1" s="289" t="s">
        <v>937</v>
      </c>
    </row>
    <row r="2" spans="1:31" s="52" customFormat="1" ht="20.100000000000001" customHeight="1" x14ac:dyDescent="0.25">
      <c r="A2" s="60" t="s">
        <v>824</v>
      </c>
      <c r="B2" s="61" t="s">
        <v>825</v>
      </c>
      <c r="C2" s="159"/>
      <c r="D2" s="101" t="str">
        <f>IF(ISBLANK('RESUMEN VIGILANCIA'!D21),"",'RESUMEN VIGILANCIA'!D21)</f>
        <v/>
      </c>
      <c r="E2" s="149" t="str">
        <f>IF(ISBLANK('RESUMEN VIGILANCIA'!E21),"",'RESUMEN VIGILANCIA'!E21)</f>
        <v/>
      </c>
      <c r="F2" s="44" t="str">
        <f>IF(ISBLANK('RESUMEN VIGILANCIA'!F21),"",'RESUMEN VIGILANCIA'!F21)</f>
        <v/>
      </c>
      <c r="G2" s="44" t="str">
        <f>IF(ISBLANK('RESUMEN VIGILANCIA'!G21),"",'RESUMEN VIGILANCIA'!G21)</f>
        <v/>
      </c>
      <c r="H2" s="44" t="str">
        <f>IF(ISBLANK('RESUMEN VIGILANCIA'!H21),"",'RESUMEN VIGILANCIA'!H21)</f>
        <v/>
      </c>
      <c r="I2" s="44" t="str">
        <f>IF(ISBLANK('RESUMEN VIGILANCIA'!I21),"",'RESUMEN VIGILANCIA'!I21)</f>
        <v/>
      </c>
      <c r="J2" s="44" t="str">
        <f>IF(ISBLANK('RESUMEN VIGILANCIA'!J21),"",'RESUMEN VIGILANCIA'!J21)</f>
        <v/>
      </c>
      <c r="K2" s="44" t="str">
        <f>IF(ISBLANK('RESUMEN VIGILANCIA'!K21),"",'RESUMEN VIGILANCIA'!K21)</f>
        <v/>
      </c>
      <c r="L2" s="44" t="str">
        <f>IF(ISBLANK('RESUMEN VIGILANCIA'!L21),"",'RESUMEN VIGILANCIA'!L21)</f>
        <v/>
      </c>
      <c r="M2" s="44" t="str">
        <f>IF(ISBLANK('RESUMEN VIGILANCIA'!M21),"",'RESUMEN VIGILANCIA'!M21)</f>
        <v/>
      </c>
      <c r="N2" s="44" t="str">
        <f>IF(ISBLANK('RESUMEN VIGILANCIA'!N21),"",'RESUMEN VIGILANCIA'!N21)</f>
        <v/>
      </c>
      <c r="O2" s="122" t="str">
        <f>IF(ISBLANK('RESUMEN VIGILANCIA'!O21),"",'RESUMEN VIGILANCIA'!O21)</f>
        <v/>
      </c>
      <c r="P2" s="101" t="str">
        <f>IF(ISBLANK('RESUMEN VIGILANCIA'!P21),"",'RESUMEN VIGILANCIA'!P21)</f>
        <v/>
      </c>
      <c r="Q2" s="129" t="str">
        <f>IF(ISBLANK('RESUMEN VIGILANCIA'!Q21),"",'RESUMEN VIGILANCIA'!Q21)</f>
        <v/>
      </c>
      <c r="R2" s="122" t="str">
        <f>IF(ISBLANK('RESUMEN VIGILANCIA'!R21),"",'RESUMEN VIGILANCIA'!R21)</f>
        <v/>
      </c>
      <c r="S2" s="122" t="str">
        <f>IF(ISBLANK('RESUMEN VIGILANCIA'!S21),"",'RESUMEN VIGILANCIA'!S21)</f>
        <v/>
      </c>
      <c r="T2" s="122" t="str">
        <f>IF(ISBLANK('RESUMEN VIGILANCIA'!T21),"",'RESUMEN VIGILANCIA'!T21)</f>
        <v/>
      </c>
      <c r="U2" s="122" t="str">
        <f>IF(ISBLANK('RESUMEN VIGILANCIA'!U21),"",'RESUMEN VIGILANCIA'!U21)</f>
        <v/>
      </c>
      <c r="V2" s="122" t="str">
        <f>IF(ISBLANK('RESUMEN VIGILANCIA'!V21),"",'RESUMEN VIGILANCIA'!V21)</f>
        <v/>
      </c>
      <c r="W2" s="122" t="str">
        <f>IF(ISBLANK('RESUMEN VIGILANCIA'!W21),"",'RESUMEN VIGILANCIA'!W21)</f>
        <v/>
      </c>
      <c r="X2" s="122" t="str">
        <f>IF(ISBLANK('RESUMEN VIGILANCIA'!X21),"",'RESUMEN VIGILANCIA'!X21)</f>
        <v/>
      </c>
      <c r="Y2" s="122" t="str">
        <f>IF(ISBLANK('RESUMEN VIGILANCIA'!Y21),"",'RESUMEN VIGILANCIA'!Y21)</f>
        <v/>
      </c>
      <c r="Z2" s="122" t="str">
        <f>IF(ISBLANK('RESUMEN VIGILANCIA'!Z21),"",'RESUMEN VIGILANCIA'!Z21)</f>
        <v/>
      </c>
      <c r="AA2" s="122" t="str">
        <f>IF(ISBLANK('RESUMEN VIGILANCIA'!AA21),"",'RESUMEN VIGILANCIA'!AA21)</f>
        <v/>
      </c>
      <c r="AB2" s="101" t="str">
        <f>IF(ISBLANK('RESUMEN VIGILANCIA'!AB21),"",'RESUMEN VIGILANCIA'!AB21)</f>
        <v/>
      </c>
      <c r="AC2" s="116">
        <f>SUM(D2:AB2)</f>
        <v>0</v>
      </c>
      <c r="AD2" s="290"/>
      <c r="AE2" s="290"/>
    </row>
    <row r="3" spans="1:31" s="52" customFormat="1" ht="20.100000000000001" customHeight="1" x14ac:dyDescent="0.25">
      <c r="A3" s="60" t="s">
        <v>828</v>
      </c>
      <c r="B3" s="61" t="s">
        <v>829</v>
      </c>
      <c r="C3" s="148"/>
      <c r="D3" s="101" t="str">
        <f>IF(ISBLANK('RESUMEN VIGILANCIA'!D23),"",'RESUMEN VIGILANCIA'!D23)</f>
        <v/>
      </c>
      <c r="E3" s="149" t="str">
        <f>IF(ISBLANK('RESUMEN VIGILANCIA'!E23),"",'RESUMEN VIGILANCIA'!E23)</f>
        <v/>
      </c>
      <c r="F3" s="44" t="str">
        <f>IF(ISBLANK('RESUMEN VIGILANCIA'!F23),"",'RESUMEN VIGILANCIA'!F23)</f>
        <v/>
      </c>
      <c r="G3" s="44" t="str">
        <f>IF(ISBLANK('RESUMEN VIGILANCIA'!G23),"",'RESUMEN VIGILANCIA'!G23)</f>
        <v/>
      </c>
      <c r="H3" s="44" t="str">
        <f>IF(ISBLANK('RESUMEN VIGILANCIA'!H23),"",'RESUMEN VIGILANCIA'!H23)</f>
        <v/>
      </c>
      <c r="I3" s="44" t="str">
        <f>IF(ISBLANK('RESUMEN VIGILANCIA'!I23),"",'RESUMEN VIGILANCIA'!I23)</f>
        <v/>
      </c>
      <c r="J3" s="44" t="str">
        <f>IF(ISBLANK('RESUMEN VIGILANCIA'!J23),"",'RESUMEN VIGILANCIA'!J23)</f>
        <v/>
      </c>
      <c r="K3" s="44" t="str">
        <f>IF(ISBLANK('RESUMEN VIGILANCIA'!K23),"",'RESUMEN VIGILANCIA'!K23)</f>
        <v/>
      </c>
      <c r="L3" s="44" t="str">
        <f>IF(ISBLANK('RESUMEN VIGILANCIA'!L23),"",'RESUMEN VIGILANCIA'!L23)</f>
        <v/>
      </c>
      <c r="M3" s="44" t="str">
        <f>IF(ISBLANK('RESUMEN VIGILANCIA'!M23),"",'RESUMEN VIGILANCIA'!M23)</f>
        <v/>
      </c>
      <c r="N3" s="44" t="str">
        <f>IF(ISBLANK('RESUMEN VIGILANCIA'!N23),"",'RESUMEN VIGILANCIA'!N23)</f>
        <v/>
      </c>
      <c r="O3" s="122" t="str">
        <f>IF(ISBLANK('RESUMEN VIGILANCIA'!O23),"",'RESUMEN VIGILANCIA'!O23)</f>
        <v/>
      </c>
      <c r="P3" s="101" t="str">
        <f>IF(ISBLANK('RESUMEN VIGILANCIA'!P23),"",'RESUMEN VIGILANCIA'!P23)</f>
        <v/>
      </c>
      <c r="Q3" s="129" t="str">
        <f>IF(ISBLANK('RESUMEN VIGILANCIA'!Q23),"",'RESUMEN VIGILANCIA'!Q23)</f>
        <v/>
      </c>
      <c r="R3" s="122" t="str">
        <f>IF(ISBLANK('RESUMEN VIGILANCIA'!R23),"",'RESUMEN VIGILANCIA'!R23)</f>
        <v/>
      </c>
      <c r="S3" s="122" t="str">
        <f>IF(ISBLANK('RESUMEN VIGILANCIA'!S23),"",'RESUMEN VIGILANCIA'!S23)</f>
        <v/>
      </c>
      <c r="T3" s="122" t="str">
        <f>IF(ISBLANK('RESUMEN VIGILANCIA'!T23),"",'RESUMEN VIGILANCIA'!T23)</f>
        <v/>
      </c>
      <c r="U3" s="122" t="str">
        <f>IF(ISBLANK('RESUMEN VIGILANCIA'!U23),"",'RESUMEN VIGILANCIA'!U23)</f>
        <v/>
      </c>
      <c r="V3" s="122" t="str">
        <f>IF(ISBLANK('RESUMEN VIGILANCIA'!V23),"",'RESUMEN VIGILANCIA'!V23)</f>
        <v/>
      </c>
      <c r="W3" s="122" t="str">
        <f>IF(ISBLANK('RESUMEN VIGILANCIA'!W23),"",'RESUMEN VIGILANCIA'!W23)</f>
        <v/>
      </c>
      <c r="X3" s="122" t="str">
        <f>IF(ISBLANK('RESUMEN VIGILANCIA'!X23),"",'RESUMEN VIGILANCIA'!X23)</f>
        <v/>
      </c>
      <c r="Y3" s="122" t="str">
        <f>IF(ISBLANK('RESUMEN VIGILANCIA'!Y23),"",'RESUMEN VIGILANCIA'!Y23)</f>
        <v/>
      </c>
      <c r="Z3" s="122" t="str">
        <f>IF(ISBLANK('RESUMEN VIGILANCIA'!Z23),"",'RESUMEN VIGILANCIA'!Z23)</f>
        <v/>
      </c>
      <c r="AA3" s="122" t="str">
        <f>IF(ISBLANK('RESUMEN VIGILANCIA'!AA23),"",'RESUMEN VIGILANCIA'!AA23)</f>
        <v/>
      </c>
      <c r="AB3" s="101" t="str">
        <f>IF(ISBLANK('RESUMEN VIGILANCIA'!AB23),"",'RESUMEN VIGILANCIA'!AB23)</f>
        <v/>
      </c>
      <c r="AC3" s="116">
        <f t="shared" ref="AC3:AC67" si="0">SUM(D3:AB3)</f>
        <v>0</v>
      </c>
      <c r="AD3" s="290"/>
      <c r="AE3" s="290"/>
    </row>
    <row r="4" spans="1:31" s="52" customFormat="1" ht="20.100000000000001" customHeight="1" x14ac:dyDescent="0.25">
      <c r="A4" s="60" t="s">
        <v>835</v>
      </c>
      <c r="B4" s="61" t="s">
        <v>836</v>
      </c>
      <c r="C4" s="148"/>
      <c r="D4" s="101" t="str">
        <f>IF(ISBLANK('RESUMEN VIGILANCIA'!D27),"",'RESUMEN VIGILANCIA'!D27)</f>
        <v/>
      </c>
      <c r="E4" s="149" t="str">
        <f>IF(ISBLANK('RESUMEN VIGILANCIA'!E27),"",'RESUMEN VIGILANCIA'!E27)</f>
        <v/>
      </c>
      <c r="F4" s="44" t="str">
        <f>IF(ISBLANK('RESUMEN VIGILANCIA'!F27),"",'RESUMEN VIGILANCIA'!F27)</f>
        <v/>
      </c>
      <c r="G4" s="44" t="str">
        <f>IF(ISBLANK('RESUMEN VIGILANCIA'!G27),"",'RESUMEN VIGILANCIA'!G27)</f>
        <v/>
      </c>
      <c r="H4" s="44" t="str">
        <f>IF(ISBLANK('RESUMEN VIGILANCIA'!H27),"",'RESUMEN VIGILANCIA'!H27)</f>
        <v/>
      </c>
      <c r="I4" s="44" t="str">
        <f>IF(ISBLANK('RESUMEN VIGILANCIA'!I27),"",'RESUMEN VIGILANCIA'!I27)</f>
        <v/>
      </c>
      <c r="J4" s="44" t="str">
        <f>IF(ISBLANK('RESUMEN VIGILANCIA'!J27),"",'RESUMEN VIGILANCIA'!J27)</f>
        <v/>
      </c>
      <c r="K4" s="44" t="str">
        <f>IF(ISBLANK('RESUMEN VIGILANCIA'!K27),"",'RESUMEN VIGILANCIA'!K27)</f>
        <v/>
      </c>
      <c r="L4" s="44" t="str">
        <f>IF(ISBLANK('RESUMEN VIGILANCIA'!L27),"",'RESUMEN VIGILANCIA'!L27)</f>
        <v/>
      </c>
      <c r="M4" s="44" t="str">
        <f>IF(ISBLANK('RESUMEN VIGILANCIA'!M27),"",'RESUMEN VIGILANCIA'!M27)</f>
        <v/>
      </c>
      <c r="N4" s="44" t="str">
        <f>IF(ISBLANK('RESUMEN VIGILANCIA'!N27),"",'RESUMEN VIGILANCIA'!N27)</f>
        <v/>
      </c>
      <c r="O4" s="122" t="str">
        <f>IF(ISBLANK('RESUMEN VIGILANCIA'!O27),"",'RESUMEN VIGILANCIA'!O27)</f>
        <v/>
      </c>
      <c r="P4" s="101" t="str">
        <f>IF(ISBLANK('RESUMEN VIGILANCIA'!P27),"",'RESUMEN VIGILANCIA'!P27)</f>
        <v/>
      </c>
      <c r="Q4" s="129" t="str">
        <f>IF(ISBLANK('RESUMEN VIGILANCIA'!Q27),"",'RESUMEN VIGILANCIA'!Q27)</f>
        <v/>
      </c>
      <c r="R4" s="122" t="str">
        <f>IF(ISBLANK('RESUMEN VIGILANCIA'!R27),"",'RESUMEN VIGILANCIA'!R27)</f>
        <v/>
      </c>
      <c r="S4" s="122" t="str">
        <f>IF(ISBLANK('RESUMEN VIGILANCIA'!S27),"",'RESUMEN VIGILANCIA'!S27)</f>
        <v/>
      </c>
      <c r="T4" s="122" t="str">
        <f>IF(ISBLANK('RESUMEN VIGILANCIA'!T27),"",'RESUMEN VIGILANCIA'!T27)</f>
        <v/>
      </c>
      <c r="U4" s="122" t="str">
        <f>IF(ISBLANK('RESUMEN VIGILANCIA'!U27),"",'RESUMEN VIGILANCIA'!U27)</f>
        <v/>
      </c>
      <c r="V4" s="122" t="str">
        <f>IF(ISBLANK('RESUMEN VIGILANCIA'!V27),"",'RESUMEN VIGILANCIA'!V27)</f>
        <v/>
      </c>
      <c r="W4" s="122" t="str">
        <f>IF(ISBLANK('RESUMEN VIGILANCIA'!W27),"",'RESUMEN VIGILANCIA'!W27)</f>
        <v/>
      </c>
      <c r="X4" s="122" t="str">
        <f>IF(ISBLANK('RESUMEN VIGILANCIA'!X27),"",'RESUMEN VIGILANCIA'!X27)</f>
        <v/>
      </c>
      <c r="Y4" s="122" t="str">
        <f>IF(ISBLANK('RESUMEN VIGILANCIA'!Y27),"",'RESUMEN VIGILANCIA'!Y27)</f>
        <v/>
      </c>
      <c r="Z4" s="122" t="str">
        <f>IF(ISBLANK('RESUMEN VIGILANCIA'!Z27),"",'RESUMEN VIGILANCIA'!Z27)</f>
        <v/>
      </c>
      <c r="AA4" s="122" t="str">
        <f>IF(ISBLANK('RESUMEN VIGILANCIA'!AA27),"",'RESUMEN VIGILANCIA'!AA27)</f>
        <v/>
      </c>
      <c r="AB4" s="101" t="str">
        <f>IF(ISBLANK('RESUMEN VIGILANCIA'!AB27),"",'RESUMEN VIGILANCIA'!AB27)</f>
        <v/>
      </c>
      <c r="AC4" s="116">
        <f t="shared" si="0"/>
        <v>0</v>
      </c>
      <c r="AD4" s="290"/>
      <c r="AE4" s="290"/>
    </row>
    <row r="5" spans="1:31" s="52" customFormat="1" ht="20.100000000000001" customHeight="1" x14ac:dyDescent="0.25">
      <c r="A5" s="60" t="s">
        <v>837</v>
      </c>
      <c r="B5" s="61" t="s">
        <v>838</v>
      </c>
      <c r="C5" s="148"/>
      <c r="D5" s="101" t="str">
        <f>IF(ISBLANK('RESUMEN VIGILANCIA'!D28),"",'RESUMEN VIGILANCIA'!D28)</f>
        <v/>
      </c>
      <c r="E5" s="149" t="str">
        <f>IF(ISBLANK('RESUMEN VIGILANCIA'!E28),"",'RESUMEN VIGILANCIA'!E28)</f>
        <v/>
      </c>
      <c r="F5" s="44" t="str">
        <f>IF(ISBLANK('RESUMEN VIGILANCIA'!F28),"",'RESUMEN VIGILANCIA'!F28)</f>
        <v/>
      </c>
      <c r="G5" s="44" t="str">
        <f>IF(ISBLANK('RESUMEN VIGILANCIA'!G28),"",'RESUMEN VIGILANCIA'!G28)</f>
        <v/>
      </c>
      <c r="H5" s="44" t="str">
        <f>IF(ISBLANK('RESUMEN VIGILANCIA'!H28),"",'RESUMEN VIGILANCIA'!H28)</f>
        <v/>
      </c>
      <c r="I5" s="44" t="str">
        <f>IF(ISBLANK('RESUMEN VIGILANCIA'!I28),"",'RESUMEN VIGILANCIA'!I28)</f>
        <v/>
      </c>
      <c r="J5" s="44" t="str">
        <f>IF(ISBLANK('RESUMEN VIGILANCIA'!J28),"",'RESUMEN VIGILANCIA'!J28)</f>
        <v/>
      </c>
      <c r="K5" s="44" t="str">
        <f>IF(ISBLANK('RESUMEN VIGILANCIA'!K28),"",'RESUMEN VIGILANCIA'!K28)</f>
        <v/>
      </c>
      <c r="L5" s="44" t="str">
        <f>IF(ISBLANK('RESUMEN VIGILANCIA'!L28),"",'RESUMEN VIGILANCIA'!L28)</f>
        <v/>
      </c>
      <c r="M5" s="44" t="str">
        <f>IF(ISBLANK('RESUMEN VIGILANCIA'!M28),"",'RESUMEN VIGILANCIA'!M28)</f>
        <v/>
      </c>
      <c r="N5" s="44" t="str">
        <f>IF(ISBLANK('RESUMEN VIGILANCIA'!N28),"",'RESUMEN VIGILANCIA'!N28)</f>
        <v/>
      </c>
      <c r="O5" s="122" t="str">
        <f>IF(ISBLANK('RESUMEN VIGILANCIA'!O28),"",'RESUMEN VIGILANCIA'!O28)</f>
        <v/>
      </c>
      <c r="P5" s="101" t="str">
        <f>IF(ISBLANK('RESUMEN VIGILANCIA'!P28),"",'RESUMEN VIGILANCIA'!P28)</f>
        <v/>
      </c>
      <c r="Q5" s="129" t="str">
        <f>IF(ISBLANK('RESUMEN VIGILANCIA'!Q28),"",'RESUMEN VIGILANCIA'!Q28)</f>
        <v/>
      </c>
      <c r="R5" s="122" t="str">
        <f>IF(ISBLANK('RESUMEN VIGILANCIA'!R28),"",'RESUMEN VIGILANCIA'!R28)</f>
        <v/>
      </c>
      <c r="S5" s="122" t="str">
        <f>IF(ISBLANK('RESUMEN VIGILANCIA'!S28),"",'RESUMEN VIGILANCIA'!S28)</f>
        <v/>
      </c>
      <c r="T5" s="122" t="str">
        <f>IF(ISBLANK('RESUMEN VIGILANCIA'!T28),"",'RESUMEN VIGILANCIA'!T28)</f>
        <v/>
      </c>
      <c r="U5" s="122" t="str">
        <f>IF(ISBLANK('RESUMEN VIGILANCIA'!U28),"",'RESUMEN VIGILANCIA'!U28)</f>
        <v/>
      </c>
      <c r="V5" s="122" t="str">
        <f>IF(ISBLANK('RESUMEN VIGILANCIA'!V28),"",'RESUMEN VIGILANCIA'!V28)</f>
        <v/>
      </c>
      <c r="W5" s="122" t="str">
        <f>IF(ISBLANK('RESUMEN VIGILANCIA'!W28),"",'RESUMEN VIGILANCIA'!W28)</f>
        <v/>
      </c>
      <c r="X5" s="122" t="str">
        <f>IF(ISBLANK('RESUMEN VIGILANCIA'!X28),"",'RESUMEN VIGILANCIA'!X28)</f>
        <v/>
      </c>
      <c r="Y5" s="122" t="str">
        <f>IF(ISBLANK('RESUMEN VIGILANCIA'!Y28),"",'RESUMEN VIGILANCIA'!Y28)</f>
        <v/>
      </c>
      <c r="Z5" s="122" t="str">
        <f>IF(ISBLANK('RESUMEN VIGILANCIA'!Z28),"",'RESUMEN VIGILANCIA'!Z28)</f>
        <v/>
      </c>
      <c r="AA5" s="122" t="str">
        <f>IF(ISBLANK('RESUMEN VIGILANCIA'!AA28),"",'RESUMEN VIGILANCIA'!AA28)</f>
        <v/>
      </c>
      <c r="AB5" s="101" t="str">
        <f>IF(ISBLANK('RESUMEN VIGILANCIA'!AB28),"",'RESUMEN VIGILANCIA'!AB28)</f>
        <v/>
      </c>
      <c r="AC5" s="116">
        <f t="shared" si="0"/>
        <v>0</v>
      </c>
      <c r="AD5" s="290"/>
      <c r="AE5" s="290"/>
    </row>
    <row r="6" spans="1:31" s="52" customFormat="1" ht="20.100000000000001" customHeight="1" x14ac:dyDescent="0.25">
      <c r="A6" s="60" t="s">
        <v>839</v>
      </c>
      <c r="B6" s="61" t="s">
        <v>840</v>
      </c>
      <c r="C6" s="148"/>
      <c r="D6" s="101" t="str">
        <f>IF(ISBLANK('RESUMEN VIGILANCIA'!D29),"",'RESUMEN VIGILANCIA'!D29)</f>
        <v/>
      </c>
      <c r="E6" s="149" t="str">
        <f>IF(ISBLANK('RESUMEN VIGILANCIA'!E29),"",'RESUMEN VIGILANCIA'!E29)</f>
        <v/>
      </c>
      <c r="F6" s="44" t="str">
        <f>IF(ISBLANK('RESUMEN VIGILANCIA'!F29),"",'RESUMEN VIGILANCIA'!F29)</f>
        <v/>
      </c>
      <c r="G6" s="44" t="str">
        <f>IF(ISBLANK('RESUMEN VIGILANCIA'!G29),"",'RESUMEN VIGILANCIA'!G29)</f>
        <v/>
      </c>
      <c r="H6" s="44" t="str">
        <f>IF(ISBLANK('RESUMEN VIGILANCIA'!H29),"",'RESUMEN VIGILANCIA'!H29)</f>
        <v/>
      </c>
      <c r="I6" s="44" t="str">
        <f>IF(ISBLANK('RESUMEN VIGILANCIA'!I29),"",'RESUMEN VIGILANCIA'!I29)</f>
        <v/>
      </c>
      <c r="J6" s="44" t="str">
        <f>IF(ISBLANK('RESUMEN VIGILANCIA'!J29),"",'RESUMEN VIGILANCIA'!J29)</f>
        <v/>
      </c>
      <c r="K6" s="44" t="str">
        <f>IF(ISBLANK('RESUMEN VIGILANCIA'!K29),"",'RESUMEN VIGILANCIA'!K29)</f>
        <v/>
      </c>
      <c r="L6" s="44" t="str">
        <f>IF(ISBLANK('RESUMEN VIGILANCIA'!L29),"",'RESUMEN VIGILANCIA'!L29)</f>
        <v/>
      </c>
      <c r="M6" s="44" t="str">
        <f>IF(ISBLANK('RESUMEN VIGILANCIA'!M29),"",'RESUMEN VIGILANCIA'!M29)</f>
        <v/>
      </c>
      <c r="N6" s="44" t="str">
        <f>IF(ISBLANK('RESUMEN VIGILANCIA'!N29),"",'RESUMEN VIGILANCIA'!N29)</f>
        <v/>
      </c>
      <c r="O6" s="122" t="str">
        <f>IF(ISBLANK('RESUMEN VIGILANCIA'!O29),"",'RESUMEN VIGILANCIA'!O29)</f>
        <v/>
      </c>
      <c r="P6" s="101" t="str">
        <f>IF(ISBLANK('RESUMEN VIGILANCIA'!P29),"",'RESUMEN VIGILANCIA'!P29)</f>
        <v/>
      </c>
      <c r="Q6" s="129" t="str">
        <f>IF(ISBLANK('RESUMEN VIGILANCIA'!Q29),"",'RESUMEN VIGILANCIA'!Q29)</f>
        <v/>
      </c>
      <c r="R6" s="122" t="str">
        <f>IF(ISBLANK('RESUMEN VIGILANCIA'!R29),"",'RESUMEN VIGILANCIA'!R29)</f>
        <v/>
      </c>
      <c r="S6" s="122" t="str">
        <f>IF(ISBLANK('RESUMEN VIGILANCIA'!S29),"",'RESUMEN VIGILANCIA'!S29)</f>
        <v/>
      </c>
      <c r="T6" s="122" t="str">
        <f>IF(ISBLANK('RESUMEN VIGILANCIA'!T29),"",'RESUMEN VIGILANCIA'!T29)</f>
        <v/>
      </c>
      <c r="U6" s="122" t="str">
        <f>IF(ISBLANK('RESUMEN VIGILANCIA'!U29),"",'RESUMEN VIGILANCIA'!U29)</f>
        <v/>
      </c>
      <c r="V6" s="122" t="str">
        <f>IF(ISBLANK('RESUMEN VIGILANCIA'!V29),"",'RESUMEN VIGILANCIA'!V29)</f>
        <v/>
      </c>
      <c r="W6" s="122" t="str">
        <f>IF(ISBLANK('RESUMEN VIGILANCIA'!W29),"",'RESUMEN VIGILANCIA'!W29)</f>
        <v/>
      </c>
      <c r="X6" s="122" t="str">
        <f>IF(ISBLANK('RESUMEN VIGILANCIA'!X29),"",'RESUMEN VIGILANCIA'!X29)</f>
        <v/>
      </c>
      <c r="Y6" s="122" t="str">
        <f>IF(ISBLANK('RESUMEN VIGILANCIA'!Y29),"",'RESUMEN VIGILANCIA'!Y29)</f>
        <v/>
      </c>
      <c r="Z6" s="122" t="str">
        <f>IF(ISBLANK('RESUMEN VIGILANCIA'!Z29),"",'RESUMEN VIGILANCIA'!Z29)</f>
        <v/>
      </c>
      <c r="AA6" s="122" t="str">
        <f>IF(ISBLANK('RESUMEN VIGILANCIA'!AA29),"",'RESUMEN VIGILANCIA'!AA29)</f>
        <v/>
      </c>
      <c r="AB6" s="101" t="str">
        <f>IF(ISBLANK('RESUMEN VIGILANCIA'!AB29),"",'RESUMEN VIGILANCIA'!AB29)</f>
        <v/>
      </c>
      <c r="AC6" s="116">
        <f t="shared" si="0"/>
        <v>0</v>
      </c>
      <c r="AD6" s="290"/>
      <c r="AE6" s="290"/>
    </row>
    <row r="7" spans="1:31" s="52" customFormat="1" ht="20.100000000000001" customHeight="1" x14ac:dyDescent="0.25">
      <c r="A7" s="56" t="s">
        <v>48</v>
      </c>
      <c r="B7" s="57" t="s">
        <v>50</v>
      </c>
      <c r="C7" s="150" t="s">
        <v>938</v>
      </c>
      <c r="D7" s="100" t="str">
        <f>IF(ISBLANK('RESUMEN VIGILANCIA'!D30),"",'RESUMEN VIGILANCIA'!D30)</f>
        <v/>
      </c>
      <c r="E7" s="151">
        <f>IF(ISBLANK('RESUMEN VIGILANCIA'!E30),"",'RESUMEN VIGILANCIA'!E30)</f>
        <v>5000</v>
      </c>
      <c r="F7" s="43">
        <f>IF(ISBLANK('RESUMEN VIGILANCIA'!F30),"",'RESUMEN VIGILANCIA'!F30)</f>
        <v>5000</v>
      </c>
      <c r="G7" s="43">
        <f>IF(ISBLANK('RESUMEN VIGILANCIA'!G30),"",'RESUMEN VIGILANCIA'!G30)</f>
        <v>7000</v>
      </c>
      <c r="H7" s="43">
        <f>IF(ISBLANK('RESUMEN VIGILANCIA'!H30),"",'RESUMEN VIGILANCIA'!H30)</f>
        <v>7000</v>
      </c>
      <c r="I7" s="43">
        <f>IF(ISBLANK('RESUMEN VIGILANCIA'!I30),"",'RESUMEN VIGILANCIA'!I30)</f>
        <v>7000</v>
      </c>
      <c r="J7" s="43">
        <f>IF(ISBLANK('RESUMEN VIGILANCIA'!J30),"",'RESUMEN VIGILANCIA'!J30)</f>
        <v>10000</v>
      </c>
      <c r="K7" s="43">
        <f>IF(ISBLANK('RESUMEN VIGILANCIA'!K30),"",'RESUMEN VIGILANCIA'!K30)</f>
        <v>10000</v>
      </c>
      <c r="L7" s="43">
        <f>IF(ISBLANK('RESUMEN VIGILANCIA'!L30),"",'RESUMEN VIGILANCIA'!L30)</f>
        <v>15000</v>
      </c>
      <c r="M7" s="43">
        <f>IF(ISBLANK('RESUMEN VIGILANCIA'!M30),"",'RESUMEN VIGILANCIA'!M30)</f>
        <v>15000</v>
      </c>
      <c r="N7" s="43">
        <f>IF(ISBLANK('RESUMEN VIGILANCIA'!N30),"",'RESUMEN VIGILANCIA'!N30)</f>
        <v>15000</v>
      </c>
      <c r="O7" s="123">
        <f>IF(ISBLANK('RESUMEN VIGILANCIA'!O30),"",'RESUMEN VIGILANCIA'!O30)</f>
        <v>35000</v>
      </c>
      <c r="P7" s="100">
        <f>IF(ISBLANK('RESUMEN VIGILANCIA'!P30),"",'RESUMEN VIGILANCIA'!P30)</f>
        <v>35000</v>
      </c>
      <c r="Q7" s="130">
        <f>IF(ISBLANK('RESUMEN VIGILANCIA'!Q30),"",'RESUMEN VIGILANCIA'!Q30)</f>
        <v>35000</v>
      </c>
      <c r="R7" s="123">
        <f>IF(ISBLANK('RESUMEN VIGILANCIA'!R30),"",'RESUMEN VIGILANCIA'!R30)</f>
        <v>80000</v>
      </c>
      <c r="S7" s="123">
        <f>IF(ISBLANK('RESUMEN VIGILANCIA'!S30),"",'RESUMEN VIGILANCIA'!S30)</f>
        <v>100000</v>
      </c>
      <c r="T7" s="123">
        <f>IF(ISBLANK('RESUMEN VIGILANCIA'!T30),"",'RESUMEN VIGILANCIA'!T30)</f>
        <v>100000</v>
      </c>
      <c r="U7" s="123">
        <f>IF(ISBLANK('RESUMEN VIGILANCIA'!U30),"",'RESUMEN VIGILANCIA'!U30)</f>
        <v>200000</v>
      </c>
      <c r="V7" s="123">
        <f>IF(ISBLANK('RESUMEN VIGILANCIA'!V30),"",'RESUMEN VIGILANCIA'!V30)</f>
        <v>625000</v>
      </c>
      <c r="W7" s="123">
        <f>IF(ISBLANK('RESUMEN VIGILANCIA'!W30),"",'RESUMEN VIGILANCIA'!W30)</f>
        <v>1000000</v>
      </c>
      <c r="X7" s="123">
        <f>IF(ISBLANK('RESUMEN VIGILANCIA'!X30),"",'RESUMEN VIGILANCIA'!X30)</f>
        <v>1200000</v>
      </c>
      <c r="Y7" s="123" t="str">
        <f>IF(ISBLANK('RESUMEN VIGILANCIA'!Y30),"",'RESUMEN VIGILANCIA'!Y30)</f>
        <v/>
      </c>
      <c r="Z7" s="123" t="str">
        <f>IF(ISBLANK('RESUMEN VIGILANCIA'!Z30),"",'RESUMEN VIGILANCIA'!Z30)</f>
        <v/>
      </c>
      <c r="AA7" s="123" t="str">
        <f>IF(ISBLANK('RESUMEN VIGILANCIA'!AA30),"",'RESUMEN VIGILANCIA'!AA30)</f>
        <v/>
      </c>
      <c r="AB7" s="100" t="str">
        <f>IF(ISBLANK('RESUMEN VIGILANCIA'!AB30),"",'RESUMEN VIGILANCIA'!AB30)</f>
        <v/>
      </c>
      <c r="AC7" s="114">
        <f t="shared" si="0"/>
        <v>3506000</v>
      </c>
      <c r="AD7" s="291"/>
      <c r="AE7" s="291"/>
    </row>
    <row r="8" spans="1:31" s="52" customFormat="1" ht="20.100000000000001" customHeight="1" x14ac:dyDescent="0.25">
      <c r="A8" s="53" t="s">
        <v>841</v>
      </c>
      <c r="B8" s="54" t="s">
        <v>842</v>
      </c>
      <c r="C8" s="152" t="s">
        <v>939</v>
      </c>
      <c r="D8" s="99" t="str">
        <f>IF(ISBLANK('RESUMEN VIGILANCIA'!D31),"",'RESUMEN VIGILANCIA'!D31)</f>
        <v/>
      </c>
      <c r="E8" s="153" t="str">
        <f>IF(ISBLANK('RESUMEN VIGILANCIA'!E31),"",'RESUMEN VIGILANCIA'!E31)</f>
        <v/>
      </c>
      <c r="F8" s="41" t="str">
        <f>IF(ISBLANK('RESUMEN VIGILANCIA'!F31),"",'RESUMEN VIGILANCIA'!F31)</f>
        <v/>
      </c>
      <c r="G8" s="41" t="str">
        <f>IF(ISBLANK('RESUMEN VIGILANCIA'!G31),"",'RESUMEN VIGILANCIA'!G31)</f>
        <v/>
      </c>
      <c r="H8" s="41" t="str">
        <f>IF(ISBLANK('RESUMEN VIGILANCIA'!H31),"",'RESUMEN VIGILANCIA'!H31)</f>
        <v/>
      </c>
      <c r="I8" s="41" t="str">
        <f>IF(ISBLANK('RESUMEN VIGILANCIA'!I31),"",'RESUMEN VIGILANCIA'!I31)</f>
        <v/>
      </c>
      <c r="J8" s="41" t="str">
        <f>IF(ISBLANK('RESUMEN VIGILANCIA'!J31),"",'RESUMEN VIGILANCIA'!J31)</f>
        <v/>
      </c>
      <c r="K8" s="41" t="str">
        <f>IF(ISBLANK('RESUMEN VIGILANCIA'!K31),"",'RESUMEN VIGILANCIA'!K31)</f>
        <v/>
      </c>
      <c r="L8" s="41" t="str">
        <f>IF(ISBLANK('RESUMEN VIGILANCIA'!L31),"",'RESUMEN VIGILANCIA'!L31)</f>
        <v/>
      </c>
      <c r="M8" s="41" t="str">
        <f>IF(ISBLANK('RESUMEN VIGILANCIA'!M31),"",'RESUMEN VIGILANCIA'!M31)</f>
        <v/>
      </c>
      <c r="N8" s="41" t="str">
        <f>IF(ISBLANK('RESUMEN VIGILANCIA'!N31),"",'RESUMEN VIGILANCIA'!N31)</f>
        <v/>
      </c>
      <c r="O8" s="124" t="str">
        <f>IF(ISBLANK('RESUMEN VIGILANCIA'!O31),"",'RESUMEN VIGILANCIA'!O31)</f>
        <v/>
      </c>
      <c r="P8" s="99" t="str">
        <f>IF(ISBLANK('RESUMEN VIGILANCIA'!P31),"",'RESUMEN VIGILANCIA'!P31)</f>
        <v/>
      </c>
      <c r="Q8" s="128" t="str">
        <f>IF(ISBLANK('RESUMEN VIGILANCIA'!Q31),"",'RESUMEN VIGILANCIA'!Q31)</f>
        <v/>
      </c>
      <c r="R8" s="124" t="str">
        <f>IF(ISBLANK('RESUMEN VIGILANCIA'!R31),"",'RESUMEN VIGILANCIA'!R31)</f>
        <v/>
      </c>
      <c r="S8" s="124" t="str">
        <f>IF(ISBLANK('RESUMEN VIGILANCIA'!S31),"",'RESUMEN VIGILANCIA'!S31)</f>
        <v/>
      </c>
      <c r="T8" s="124" t="str">
        <f>IF(ISBLANK('RESUMEN VIGILANCIA'!T31),"",'RESUMEN VIGILANCIA'!T31)</f>
        <v/>
      </c>
      <c r="U8" s="124" t="str">
        <f>IF(ISBLANK('RESUMEN VIGILANCIA'!U31),"",'RESUMEN VIGILANCIA'!U31)</f>
        <v/>
      </c>
      <c r="V8" s="124" t="str">
        <f>IF(ISBLANK('RESUMEN VIGILANCIA'!V31),"",'RESUMEN VIGILANCIA'!V31)</f>
        <v/>
      </c>
      <c r="W8" s="124" t="str">
        <f>IF(ISBLANK('RESUMEN VIGILANCIA'!W31),"",'RESUMEN VIGILANCIA'!W31)</f>
        <v/>
      </c>
      <c r="X8" s="124" t="str">
        <f>IF(ISBLANK('RESUMEN VIGILANCIA'!X31),"",'RESUMEN VIGILANCIA'!X31)</f>
        <v/>
      </c>
      <c r="Y8" s="124" t="str">
        <f>IF(ISBLANK('RESUMEN VIGILANCIA'!Y31),"",'RESUMEN VIGILANCIA'!Y31)</f>
        <v/>
      </c>
      <c r="Z8" s="124" t="str">
        <f>IF(ISBLANK('RESUMEN VIGILANCIA'!Z31),"",'RESUMEN VIGILANCIA'!Z31)</f>
        <v/>
      </c>
      <c r="AA8" s="124" t="str">
        <f>IF(ISBLANK('RESUMEN VIGILANCIA'!AA31),"",'RESUMEN VIGILANCIA'!AA31)</f>
        <v/>
      </c>
      <c r="AB8" s="99" t="str">
        <f>IF(ISBLANK('RESUMEN VIGILANCIA'!AB31),"",'RESUMEN VIGILANCIA'!AB31)</f>
        <v/>
      </c>
      <c r="AC8" s="115">
        <f t="shared" si="0"/>
        <v>0</v>
      </c>
      <c r="AD8" s="292"/>
      <c r="AE8" s="292"/>
    </row>
    <row r="9" spans="1:31" s="52" customFormat="1" ht="20.100000000000001" customHeight="1" x14ac:dyDescent="0.25">
      <c r="A9" s="53" t="s">
        <v>100</v>
      </c>
      <c r="B9" s="54" t="s">
        <v>101</v>
      </c>
      <c r="C9" s="152" t="s">
        <v>940</v>
      </c>
      <c r="D9" s="99" t="str">
        <f>IF(ISBLANK('RESUMEN VIGILANCIA'!D32),"",'RESUMEN VIGILANCIA'!D32)</f>
        <v/>
      </c>
      <c r="E9" s="153">
        <f>IF(ISBLANK('RESUMEN VIGILANCIA'!E32),"",'RESUMEN VIGILANCIA'!E32)</f>
        <v>17000</v>
      </c>
      <c r="F9" s="41">
        <f>IF(ISBLANK('RESUMEN VIGILANCIA'!F32),"",'RESUMEN VIGILANCIA'!F32)</f>
        <v>17000</v>
      </c>
      <c r="G9" s="41">
        <f>IF(ISBLANK('RESUMEN VIGILANCIA'!G32),"",'RESUMEN VIGILANCIA'!G32)</f>
        <v>17000</v>
      </c>
      <c r="H9" s="41">
        <f>IF(ISBLANK('RESUMEN VIGILANCIA'!H32),"",'RESUMEN VIGILANCIA'!H32)</f>
        <v>17000</v>
      </c>
      <c r="I9" s="41">
        <f>IF(ISBLANK('RESUMEN VIGILANCIA'!I32),"",'RESUMEN VIGILANCIA'!I32)</f>
        <v>26000</v>
      </c>
      <c r="J9" s="41">
        <f>IF(ISBLANK('RESUMEN VIGILANCIA'!J32),"",'RESUMEN VIGILANCIA'!J32)</f>
        <v>26000</v>
      </c>
      <c r="K9" s="41">
        <f>IF(ISBLANK('RESUMEN VIGILANCIA'!K32),"",'RESUMEN VIGILANCIA'!K32)</f>
        <v>35000</v>
      </c>
      <c r="L9" s="41">
        <f>IF(ISBLANK('RESUMEN VIGILANCIA'!L32),"",'RESUMEN VIGILANCIA'!L32)</f>
        <v>35000</v>
      </c>
      <c r="M9" s="41">
        <f>IF(ISBLANK('RESUMEN VIGILANCIA'!M32),"",'RESUMEN VIGILANCIA'!M32)</f>
        <v>35000</v>
      </c>
      <c r="N9" s="41">
        <f>IF(ISBLANK('RESUMEN VIGILANCIA'!N32),"",'RESUMEN VIGILANCIA'!N32)</f>
        <v>35000</v>
      </c>
      <c r="O9" s="124">
        <f>IF(ISBLANK('RESUMEN VIGILANCIA'!O32),"",'RESUMEN VIGILANCIA'!O32)</f>
        <v>50000</v>
      </c>
      <c r="P9" s="99">
        <f>IF(ISBLANK('RESUMEN VIGILANCIA'!P32),"",'RESUMEN VIGILANCIA'!P32)</f>
        <v>50000</v>
      </c>
      <c r="Q9" s="128">
        <f>IF(ISBLANK('RESUMEN VIGILANCIA'!Q32),"",'RESUMEN VIGILANCIA'!Q32)</f>
        <v>80000</v>
      </c>
      <c r="R9" s="124">
        <f>IF(ISBLANK('RESUMEN VIGILANCIA'!R32),"",'RESUMEN VIGILANCIA'!R32)</f>
        <v>80000</v>
      </c>
      <c r="S9" s="124">
        <f>IF(ISBLANK('RESUMEN VIGILANCIA'!S32),"",'RESUMEN VIGILANCIA'!S32)</f>
        <v>140000</v>
      </c>
      <c r="T9" s="124">
        <f>IF(ISBLANK('RESUMEN VIGILANCIA'!T32),"",'RESUMEN VIGILANCIA'!T32)</f>
        <v>140000</v>
      </c>
      <c r="U9" s="124">
        <f>IF(ISBLANK('RESUMEN VIGILANCIA'!U32),"",'RESUMEN VIGILANCIA'!U32)</f>
        <v>400000</v>
      </c>
      <c r="V9" s="124">
        <f>IF(ISBLANK('RESUMEN VIGILANCIA'!V32),"",'RESUMEN VIGILANCIA'!V32)</f>
        <v>625000</v>
      </c>
      <c r="W9" s="124">
        <f>IF(ISBLANK('RESUMEN VIGILANCIA'!W32),"",'RESUMEN VIGILANCIA'!W32)</f>
        <v>1000000</v>
      </c>
      <c r="X9" s="124" t="str">
        <f>IF(ISBLANK('RESUMEN VIGILANCIA'!X32),"",'RESUMEN VIGILANCIA'!X32)</f>
        <v/>
      </c>
      <c r="Y9" s="124" t="str">
        <f>IF(ISBLANK('RESUMEN VIGILANCIA'!Y32),"",'RESUMEN VIGILANCIA'!Y32)</f>
        <v/>
      </c>
      <c r="Z9" s="124" t="str">
        <f>IF(ISBLANK('RESUMEN VIGILANCIA'!Z32),"",'RESUMEN VIGILANCIA'!Z32)</f>
        <v/>
      </c>
      <c r="AA9" s="124" t="str">
        <f>IF(ISBLANK('RESUMEN VIGILANCIA'!AA32),"",'RESUMEN VIGILANCIA'!AA32)</f>
        <v/>
      </c>
      <c r="AB9" s="99" t="str">
        <f>IF(ISBLANK('RESUMEN VIGILANCIA'!AB32),"",'RESUMEN VIGILANCIA'!AB32)</f>
        <v/>
      </c>
      <c r="AC9" s="115">
        <f t="shared" si="0"/>
        <v>2825000</v>
      </c>
      <c r="AD9" s="292"/>
      <c r="AE9" s="292"/>
    </row>
    <row r="10" spans="1:31" s="52" customFormat="1" ht="20.100000000000001" customHeight="1" x14ac:dyDescent="0.25">
      <c r="A10" s="53" t="s">
        <v>70</v>
      </c>
      <c r="B10" s="54" t="s">
        <v>72</v>
      </c>
      <c r="C10" s="152" t="s">
        <v>940</v>
      </c>
      <c r="D10" s="99" t="str">
        <f>IF(ISBLANK('RESUMEN VIGILANCIA'!D47),"",'RESUMEN VIGILANCIA'!D47)</f>
        <v/>
      </c>
      <c r="E10" s="153">
        <f>IF(ISBLANK('RESUMEN VIGILANCIA'!E47),"",'RESUMEN VIGILANCIA'!E47)</f>
        <v>17000</v>
      </c>
      <c r="F10" s="41">
        <f>IF(ISBLANK('RESUMEN VIGILANCIA'!F47),"",'RESUMEN VIGILANCIA'!F47)</f>
        <v>17000</v>
      </c>
      <c r="G10" s="41">
        <f>IF(ISBLANK('RESUMEN VIGILANCIA'!G47),"",'RESUMEN VIGILANCIA'!G47)</f>
        <v>17000</v>
      </c>
      <c r="H10" s="41">
        <f>IF(ISBLANK('RESUMEN VIGILANCIA'!H47),"",'RESUMEN VIGILANCIA'!H47)</f>
        <v>17000</v>
      </c>
      <c r="I10" s="41">
        <f>IF(ISBLANK('RESUMEN VIGILANCIA'!I47),"",'RESUMEN VIGILANCIA'!I47)</f>
        <v>26000</v>
      </c>
      <c r="J10" s="41">
        <f>IF(ISBLANK('RESUMEN VIGILANCIA'!J47),"",'RESUMEN VIGILANCIA'!J47)</f>
        <v>26000</v>
      </c>
      <c r="K10" s="41">
        <f>IF(ISBLANK('RESUMEN VIGILANCIA'!K47),"",'RESUMEN VIGILANCIA'!K47)</f>
        <v>35000</v>
      </c>
      <c r="L10" s="41">
        <f>IF(ISBLANK('RESUMEN VIGILANCIA'!L47),"",'RESUMEN VIGILANCIA'!L47)</f>
        <v>35000</v>
      </c>
      <c r="M10" s="41">
        <f>IF(ISBLANK('RESUMEN VIGILANCIA'!M47),"",'RESUMEN VIGILANCIA'!M47)</f>
        <v>35000</v>
      </c>
      <c r="N10" s="41">
        <f>IF(ISBLANK('RESUMEN VIGILANCIA'!N47),"",'RESUMEN VIGILANCIA'!N47)</f>
        <v>35000</v>
      </c>
      <c r="O10" s="124">
        <f>IF(ISBLANK('RESUMEN VIGILANCIA'!O47),"",'RESUMEN VIGILANCIA'!O47)</f>
        <v>50000</v>
      </c>
      <c r="P10" s="99">
        <f>IF(ISBLANK('RESUMEN VIGILANCIA'!P47),"",'RESUMEN VIGILANCIA'!P47)</f>
        <v>50000</v>
      </c>
      <c r="Q10" s="128">
        <f>IF(ISBLANK('RESUMEN VIGILANCIA'!Q47),"",'RESUMEN VIGILANCIA'!Q47)</f>
        <v>80000</v>
      </c>
      <c r="R10" s="124">
        <f>IF(ISBLANK('RESUMEN VIGILANCIA'!R47),"",'RESUMEN VIGILANCIA'!R47)</f>
        <v>80000</v>
      </c>
      <c r="S10" s="124">
        <f>IF(ISBLANK('RESUMEN VIGILANCIA'!S47),"",'RESUMEN VIGILANCIA'!S47)</f>
        <v>140000</v>
      </c>
      <c r="T10" s="124">
        <f>IF(ISBLANK('RESUMEN VIGILANCIA'!T47),"",'RESUMEN VIGILANCIA'!T47)</f>
        <v>140000</v>
      </c>
      <c r="U10" s="124">
        <f>IF(ISBLANK('RESUMEN VIGILANCIA'!U47),"",'RESUMEN VIGILANCIA'!U47)</f>
        <v>400000</v>
      </c>
      <c r="V10" s="124">
        <f>IF(ISBLANK('RESUMEN VIGILANCIA'!V47),"",'RESUMEN VIGILANCIA'!V47)</f>
        <v>625000</v>
      </c>
      <c r="W10" s="124">
        <f>IF(ISBLANK('RESUMEN VIGILANCIA'!W47),"",'RESUMEN VIGILANCIA'!W47)</f>
        <v>1000000</v>
      </c>
      <c r="X10" s="124">
        <f>IF(ISBLANK('RESUMEN VIGILANCIA'!X47),"",'RESUMEN VIGILANCIA'!X47)</f>
        <v>1200000</v>
      </c>
      <c r="Y10" s="124" t="str">
        <f>IF(ISBLANK('RESUMEN VIGILANCIA'!Y47),"",'RESUMEN VIGILANCIA'!Y47)</f>
        <v/>
      </c>
      <c r="Z10" s="124" t="str">
        <f>IF(ISBLANK('RESUMEN VIGILANCIA'!Z47),"",'RESUMEN VIGILANCIA'!Z47)</f>
        <v/>
      </c>
      <c r="AA10" s="124" t="str">
        <f>IF(ISBLANK('RESUMEN VIGILANCIA'!AA47),"",'RESUMEN VIGILANCIA'!AA47)</f>
        <v/>
      </c>
      <c r="AB10" s="99" t="str">
        <f>IF(ISBLANK('RESUMEN VIGILANCIA'!AB47),"",'RESUMEN VIGILANCIA'!AB47)</f>
        <v/>
      </c>
      <c r="AC10" s="115">
        <f t="shared" si="0"/>
        <v>4025000</v>
      </c>
      <c r="AD10" s="292"/>
      <c r="AE10" s="292"/>
    </row>
    <row r="11" spans="1:31" s="52" customFormat="1" ht="20.100000000000001" customHeight="1" x14ac:dyDescent="0.25">
      <c r="A11" s="53" t="s">
        <v>107</v>
      </c>
      <c r="B11" s="54" t="s">
        <v>109</v>
      </c>
      <c r="C11" s="152" t="s">
        <v>940</v>
      </c>
      <c r="D11" s="99" t="str">
        <f>IF(ISBLANK('RESUMEN VIGILANCIA'!D48),"",'RESUMEN VIGILANCIA'!D48)</f>
        <v/>
      </c>
      <c r="E11" s="153">
        <f>IF(ISBLANK('RESUMEN VIGILANCIA'!E48),"",'RESUMEN VIGILANCIA'!E48)</f>
        <v>17000</v>
      </c>
      <c r="F11" s="41">
        <f>IF(ISBLANK('RESUMEN VIGILANCIA'!F48),"",'RESUMEN VIGILANCIA'!F48)</f>
        <v>17000</v>
      </c>
      <c r="G11" s="41">
        <f>IF(ISBLANK('RESUMEN VIGILANCIA'!G48),"",'RESUMEN VIGILANCIA'!G48)</f>
        <v>17000</v>
      </c>
      <c r="H11" s="41">
        <f>IF(ISBLANK('RESUMEN VIGILANCIA'!H48),"",'RESUMEN VIGILANCIA'!H48)</f>
        <v>17000</v>
      </c>
      <c r="I11" s="41">
        <f>IF(ISBLANK('RESUMEN VIGILANCIA'!I48),"",'RESUMEN VIGILANCIA'!I48)</f>
        <v>26000</v>
      </c>
      <c r="J11" s="41">
        <f>IF(ISBLANK('RESUMEN VIGILANCIA'!J48),"",'RESUMEN VIGILANCIA'!J48)</f>
        <v>26000</v>
      </c>
      <c r="K11" s="41">
        <f>IF(ISBLANK('RESUMEN VIGILANCIA'!K48),"",'RESUMEN VIGILANCIA'!K48)</f>
        <v>35000</v>
      </c>
      <c r="L11" s="41">
        <f>IF(ISBLANK('RESUMEN VIGILANCIA'!L48),"",'RESUMEN VIGILANCIA'!L48)</f>
        <v>35000</v>
      </c>
      <c r="M11" s="41">
        <f>IF(ISBLANK('RESUMEN VIGILANCIA'!M48),"",'RESUMEN VIGILANCIA'!M48)</f>
        <v>35000</v>
      </c>
      <c r="N11" s="41">
        <f>IF(ISBLANK('RESUMEN VIGILANCIA'!N48),"",'RESUMEN VIGILANCIA'!N48)</f>
        <v>35000</v>
      </c>
      <c r="O11" s="124">
        <f>IF(ISBLANK('RESUMEN VIGILANCIA'!O48),"",'RESUMEN VIGILANCIA'!O48)</f>
        <v>50000</v>
      </c>
      <c r="P11" s="99">
        <f>IF(ISBLANK('RESUMEN VIGILANCIA'!P48),"",'RESUMEN VIGILANCIA'!P48)</f>
        <v>50000</v>
      </c>
      <c r="Q11" s="128">
        <f>IF(ISBLANK('RESUMEN VIGILANCIA'!Q48),"",'RESUMEN VIGILANCIA'!Q48)</f>
        <v>80000</v>
      </c>
      <c r="R11" s="124">
        <f>IF(ISBLANK('RESUMEN VIGILANCIA'!R48),"",'RESUMEN VIGILANCIA'!R48)</f>
        <v>80000</v>
      </c>
      <c r="S11" s="124">
        <f>IF(ISBLANK('RESUMEN VIGILANCIA'!S48),"",'RESUMEN VIGILANCIA'!S48)</f>
        <v>140000</v>
      </c>
      <c r="T11" s="124">
        <f>IF(ISBLANK('RESUMEN VIGILANCIA'!T48),"",'RESUMEN VIGILANCIA'!T48)</f>
        <v>140000</v>
      </c>
      <c r="U11" s="124">
        <f>IF(ISBLANK('RESUMEN VIGILANCIA'!U48),"",'RESUMEN VIGILANCIA'!U48)</f>
        <v>400000</v>
      </c>
      <c r="V11" s="124">
        <f>IF(ISBLANK('RESUMEN VIGILANCIA'!V48),"",'RESUMEN VIGILANCIA'!V48)</f>
        <v>625000</v>
      </c>
      <c r="W11" s="124">
        <f>IF(ISBLANK('RESUMEN VIGILANCIA'!W48),"",'RESUMEN VIGILANCIA'!W48)</f>
        <v>1225000</v>
      </c>
      <c r="X11" s="124">
        <f>IF(ISBLANK('RESUMEN VIGILANCIA'!X48),"",'RESUMEN VIGILANCIA'!X48)</f>
        <v>1200000</v>
      </c>
      <c r="Y11" s="391">
        <f>IF(ISBLANK('RESUMEN VIGILANCIA'!Y48),"",'RESUMEN VIGILANCIA'!Y48)</f>
        <v>20000</v>
      </c>
      <c r="Z11" s="124" t="str">
        <f>IF(ISBLANK('RESUMEN VIGILANCIA'!Z48),"",'RESUMEN VIGILANCIA'!Z48)</f>
        <v/>
      </c>
      <c r="AA11" s="124" t="str">
        <f>IF(ISBLANK('RESUMEN VIGILANCIA'!AA48),"",'RESUMEN VIGILANCIA'!AA48)</f>
        <v/>
      </c>
      <c r="AB11" s="99" t="str">
        <f>IF(ISBLANK('RESUMEN VIGILANCIA'!AB48),"",'RESUMEN VIGILANCIA'!AB48)</f>
        <v/>
      </c>
      <c r="AC11" s="115">
        <f t="shared" si="0"/>
        <v>4270000</v>
      </c>
      <c r="AD11" s="292"/>
      <c r="AE11" s="292"/>
    </row>
    <row r="12" spans="1:31" s="52" customFormat="1" ht="20.100000000000001" customHeight="1" x14ac:dyDescent="0.25">
      <c r="A12" s="53" t="s">
        <v>239</v>
      </c>
      <c r="B12" s="54" t="s">
        <v>241</v>
      </c>
      <c r="C12" s="152" t="s">
        <v>940</v>
      </c>
      <c r="D12" s="99" t="str">
        <f>IF(ISBLANK('RESUMEN VIGILANCIA'!D49),"",'RESUMEN VIGILANCIA'!D49)</f>
        <v/>
      </c>
      <c r="E12" s="153">
        <f>IF(ISBLANK('RESUMEN VIGILANCIA'!E49),"",'RESUMEN VIGILANCIA'!E49)</f>
        <v>17000</v>
      </c>
      <c r="F12" s="41">
        <f>IF(ISBLANK('RESUMEN VIGILANCIA'!F49),"",'RESUMEN VIGILANCIA'!F49)</f>
        <v>17000</v>
      </c>
      <c r="G12" s="41">
        <f>IF(ISBLANK('RESUMEN VIGILANCIA'!G49),"",'RESUMEN VIGILANCIA'!G49)</f>
        <v>17000</v>
      </c>
      <c r="H12" s="41">
        <f>IF(ISBLANK('RESUMEN VIGILANCIA'!H49),"",'RESUMEN VIGILANCIA'!H49)</f>
        <v>17000</v>
      </c>
      <c r="I12" s="41">
        <f>IF(ISBLANK('RESUMEN VIGILANCIA'!I49),"",'RESUMEN VIGILANCIA'!I49)</f>
        <v>26000</v>
      </c>
      <c r="J12" s="41">
        <f>IF(ISBLANK('RESUMEN VIGILANCIA'!J49),"",'RESUMEN VIGILANCIA'!J49)</f>
        <v>26000</v>
      </c>
      <c r="K12" s="41">
        <f>IF(ISBLANK('RESUMEN VIGILANCIA'!K49),"",'RESUMEN VIGILANCIA'!K49)</f>
        <v>35000</v>
      </c>
      <c r="L12" s="41">
        <f>IF(ISBLANK('RESUMEN VIGILANCIA'!L49),"",'RESUMEN VIGILANCIA'!L49)</f>
        <v>35000</v>
      </c>
      <c r="M12" s="41">
        <f>IF(ISBLANK('RESUMEN VIGILANCIA'!M49),"",'RESUMEN VIGILANCIA'!M49)</f>
        <v>35000</v>
      </c>
      <c r="N12" s="41">
        <f>IF(ISBLANK('RESUMEN VIGILANCIA'!N49),"",'RESUMEN VIGILANCIA'!N49)</f>
        <v>35000</v>
      </c>
      <c r="O12" s="124">
        <f>IF(ISBLANK('RESUMEN VIGILANCIA'!O49),"",'RESUMEN VIGILANCIA'!O49)</f>
        <v>50000</v>
      </c>
      <c r="P12" s="99">
        <f>IF(ISBLANK('RESUMEN VIGILANCIA'!P49),"",'RESUMEN VIGILANCIA'!P49)</f>
        <v>20000</v>
      </c>
      <c r="Q12" s="128">
        <f>IF(ISBLANK('RESUMEN VIGILANCIA'!Q49),"",'RESUMEN VIGILANCIA'!Q49)</f>
        <v>80000</v>
      </c>
      <c r="R12" s="124">
        <f>IF(ISBLANK('RESUMEN VIGILANCIA'!R49),"",'RESUMEN VIGILANCIA'!R49)</f>
        <v>80000</v>
      </c>
      <c r="S12" s="124">
        <f>IF(ISBLANK('RESUMEN VIGILANCIA'!S49),"",'RESUMEN VIGILANCIA'!S49)</f>
        <v>140000</v>
      </c>
      <c r="T12" s="124">
        <f>IF(ISBLANK('RESUMEN VIGILANCIA'!T49),"",'RESUMEN VIGILANCIA'!T49)</f>
        <v>140000</v>
      </c>
      <c r="U12" s="124">
        <f>IF(ISBLANK('RESUMEN VIGILANCIA'!U49),"",'RESUMEN VIGILANCIA'!U49)</f>
        <v>400000</v>
      </c>
      <c r="V12" s="124">
        <f>IF(ISBLANK('RESUMEN VIGILANCIA'!V49),"",'RESUMEN VIGILANCIA'!V49)</f>
        <v>650000</v>
      </c>
      <c r="W12" s="391">
        <f>IF(ISBLANK('RESUMEN VIGILANCIA'!W49),"",'RESUMEN VIGILANCIA'!W49)</f>
        <v>1000000</v>
      </c>
      <c r="X12" s="124" t="str">
        <f>IF(ISBLANK('RESUMEN VIGILANCIA'!X49),"",'RESUMEN VIGILANCIA'!X49)</f>
        <v/>
      </c>
      <c r="Y12" s="124" t="str">
        <f>IF(ISBLANK('RESUMEN VIGILANCIA'!Y49),"",'RESUMEN VIGILANCIA'!Y49)</f>
        <v/>
      </c>
      <c r="Z12" s="124" t="str">
        <f>IF(ISBLANK('RESUMEN VIGILANCIA'!Z49),"",'RESUMEN VIGILANCIA'!Z49)</f>
        <v/>
      </c>
      <c r="AA12" s="124" t="str">
        <f>IF(ISBLANK('RESUMEN VIGILANCIA'!AA49),"",'RESUMEN VIGILANCIA'!AA49)</f>
        <v/>
      </c>
      <c r="AB12" s="99" t="str">
        <f>IF(ISBLANK('RESUMEN VIGILANCIA'!AB49),"",'RESUMEN VIGILANCIA'!AB49)</f>
        <v/>
      </c>
      <c r="AC12" s="115">
        <f t="shared" si="0"/>
        <v>2820000</v>
      </c>
      <c r="AD12" s="292"/>
      <c r="AE12" s="292"/>
    </row>
    <row r="13" spans="1:31" s="52" customFormat="1" ht="20.100000000000001" customHeight="1" x14ac:dyDescent="0.25">
      <c r="A13" s="53" t="s">
        <v>594</v>
      </c>
      <c r="B13" s="54" t="s">
        <v>596</v>
      </c>
      <c r="C13" s="152" t="s">
        <v>938</v>
      </c>
      <c r="D13" s="99" t="str">
        <f>IF(ISBLANK('RESUMEN VIGILANCIA'!D50),"",'RESUMEN VIGILANCIA'!D50)</f>
        <v/>
      </c>
      <c r="E13" s="153" t="str">
        <f>IF(ISBLANK('RESUMEN VIGILANCIA'!E50),"",'RESUMEN VIGILANCIA'!E50)</f>
        <v/>
      </c>
      <c r="F13" s="41" t="str">
        <f>IF(ISBLANK('RESUMEN VIGILANCIA'!F50),"",'RESUMEN VIGILANCIA'!F50)</f>
        <v/>
      </c>
      <c r="G13" s="41" t="str">
        <f>IF(ISBLANK('RESUMEN VIGILANCIA'!G50),"",'RESUMEN VIGILANCIA'!G50)</f>
        <v/>
      </c>
      <c r="H13" s="41" t="str">
        <f>IF(ISBLANK('RESUMEN VIGILANCIA'!H50),"",'RESUMEN VIGILANCIA'!H50)</f>
        <v/>
      </c>
      <c r="I13" s="41" t="str">
        <f>IF(ISBLANK('RESUMEN VIGILANCIA'!I50),"",'RESUMEN VIGILANCIA'!I50)</f>
        <v/>
      </c>
      <c r="J13" s="41" t="str">
        <f>IF(ISBLANK('RESUMEN VIGILANCIA'!J50),"",'RESUMEN VIGILANCIA'!J50)</f>
        <v/>
      </c>
      <c r="K13" s="41" t="str">
        <f>IF(ISBLANK('RESUMEN VIGILANCIA'!K50),"",'RESUMEN VIGILANCIA'!K50)</f>
        <v/>
      </c>
      <c r="L13" s="41" t="str">
        <f>IF(ISBLANK('RESUMEN VIGILANCIA'!L50),"",'RESUMEN VIGILANCIA'!L50)</f>
        <v/>
      </c>
      <c r="M13" s="41" t="str">
        <f>IF(ISBLANK('RESUMEN VIGILANCIA'!M50),"",'RESUMEN VIGILANCIA'!M50)</f>
        <v/>
      </c>
      <c r="N13" s="41" t="str">
        <f>IF(ISBLANK('RESUMEN VIGILANCIA'!N50),"",'RESUMEN VIGILANCIA'!N50)</f>
        <v/>
      </c>
      <c r="O13" s="124" t="str">
        <f>IF(ISBLANK('RESUMEN VIGILANCIA'!O50),"",'RESUMEN VIGILANCIA'!O50)</f>
        <v/>
      </c>
      <c r="P13" s="99">
        <f>IF(ISBLANK('RESUMEN VIGILANCIA'!P50),"",'RESUMEN VIGILANCIA'!P50)</f>
        <v>50000</v>
      </c>
      <c r="Q13" s="128">
        <f>IF(ISBLANK('RESUMEN VIGILANCIA'!Q50),"",'RESUMEN VIGILANCIA'!Q50)</f>
        <v>50000</v>
      </c>
      <c r="R13" s="124">
        <f>IF(ISBLANK('RESUMEN VIGILANCIA'!R50),"",'RESUMEN VIGILANCIA'!R50)</f>
        <v>50000</v>
      </c>
      <c r="S13" s="124">
        <f>IF(ISBLANK('RESUMEN VIGILANCIA'!S50),"",'RESUMEN VIGILANCIA'!S50)</f>
        <v>50000</v>
      </c>
      <c r="T13" s="124">
        <f>IF(ISBLANK('RESUMEN VIGILANCIA'!T50),"",'RESUMEN VIGILANCIA'!T50)</f>
        <v>50000</v>
      </c>
      <c r="U13" s="124">
        <f>IF(ISBLANK('RESUMEN VIGILANCIA'!U50),"",'RESUMEN VIGILANCIA'!U50)</f>
        <v>400000</v>
      </c>
      <c r="V13" s="124">
        <f>IF(ISBLANK('RESUMEN VIGILANCIA'!V50),"",'RESUMEN VIGILANCIA'!V50)</f>
        <v>400000</v>
      </c>
      <c r="W13" s="124">
        <f>IF(ISBLANK('RESUMEN VIGILANCIA'!W50),"",'RESUMEN VIGILANCIA'!W50)</f>
        <v>1000000</v>
      </c>
      <c r="X13" s="391">
        <f>IF(ISBLANK('RESUMEN VIGILANCIA'!X50),"",'RESUMEN VIGILANCIA'!X50)</f>
        <v>1000000</v>
      </c>
      <c r="Y13" s="124" t="str">
        <f>IF(ISBLANK('RESUMEN VIGILANCIA'!Y50),"",'RESUMEN VIGILANCIA'!Y50)</f>
        <v/>
      </c>
      <c r="Z13" s="124" t="str">
        <f>IF(ISBLANK('RESUMEN VIGILANCIA'!Z50),"",'RESUMEN VIGILANCIA'!Z50)</f>
        <v/>
      </c>
      <c r="AA13" s="124" t="str">
        <f>IF(ISBLANK('RESUMEN VIGILANCIA'!AA50),"",'RESUMEN VIGILANCIA'!AA50)</f>
        <v/>
      </c>
      <c r="AB13" s="99" t="str">
        <f>IF(ISBLANK('RESUMEN VIGILANCIA'!AB50),"",'RESUMEN VIGILANCIA'!AB50)</f>
        <v/>
      </c>
      <c r="AC13" s="115">
        <f t="shared" si="0"/>
        <v>3050000</v>
      </c>
      <c r="AD13" s="292"/>
      <c r="AE13" s="292"/>
    </row>
    <row r="14" spans="1:31" s="52" customFormat="1" ht="20.100000000000001" customHeight="1" x14ac:dyDescent="0.25">
      <c r="A14" s="53" t="s">
        <v>44</v>
      </c>
      <c r="B14" s="54" t="s">
        <v>46</v>
      </c>
      <c r="C14" s="152" t="s">
        <v>940</v>
      </c>
      <c r="D14" s="99" t="str">
        <f>IF(ISBLANK('RESUMEN VIGILANCIA'!D51),"",'RESUMEN VIGILANCIA'!D51)</f>
        <v/>
      </c>
      <c r="E14" s="154">
        <f>IF(ISBLANK('RESUMEN VIGILANCIA'!E51),"",'RESUMEN VIGILANCIA'!E51)</f>
        <v>10000</v>
      </c>
      <c r="F14" s="41">
        <f>IF(ISBLANK('RESUMEN VIGILANCIA'!F51),"",'RESUMEN VIGILANCIA'!F51)</f>
        <v>17000</v>
      </c>
      <c r="G14" s="41">
        <f>IF(ISBLANK('RESUMEN VIGILANCIA'!G51),"",'RESUMEN VIGILANCIA'!G51)</f>
        <v>17000</v>
      </c>
      <c r="H14" s="41">
        <f>IF(ISBLANK('RESUMEN VIGILANCIA'!H51),"",'RESUMEN VIGILANCIA'!H51)</f>
        <v>17000</v>
      </c>
      <c r="I14" s="41">
        <f>IF(ISBLANK('RESUMEN VIGILANCIA'!I51),"",'RESUMEN VIGILANCIA'!I51)</f>
        <v>26000</v>
      </c>
      <c r="J14" s="41">
        <f>IF(ISBLANK('RESUMEN VIGILANCIA'!J51),"",'RESUMEN VIGILANCIA'!J51)</f>
        <v>27000</v>
      </c>
      <c r="K14" s="41">
        <f>IF(ISBLANK('RESUMEN VIGILANCIA'!K51),"",'RESUMEN VIGILANCIA'!K51)</f>
        <v>36000</v>
      </c>
      <c r="L14" s="41">
        <f>IF(ISBLANK('RESUMEN VIGILANCIA'!L51),"",'RESUMEN VIGILANCIA'!L51)</f>
        <v>35000</v>
      </c>
      <c r="M14" s="41">
        <f>IF(ISBLANK('RESUMEN VIGILANCIA'!M51),"",'RESUMEN VIGILANCIA'!M51)</f>
        <v>35000</v>
      </c>
      <c r="N14" s="41">
        <f>IF(ISBLANK('RESUMEN VIGILANCIA'!N51),"",'RESUMEN VIGILANCIA'!N51)</f>
        <v>35000</v>
      </c>
      <c r="O14" s="124">
        <f>IF(ISBLANK('RESUMEN VIGILANCIA'!O51),"",'RESUMEN VIGILANCIA'!O51)</f>
        <v>50000</v>
      </c>
      <c r="P14" s="99">
        <f>IF(ISBLANK('RESUMEN VIGILANCIA'!P51),"",'RESUMEN VIGILANCIA'!P51)</f>
        <v>50000</v>
      </c>
      <c r="Q14" s="128">
        <f>IF(ISBLANK('RESUMEN VIGILANCIA'!Q51),"",'RESUMEN VIGILANCIA'!Q51)</f>
        <v>100000</v>
      </c>
      <c r="R14" s="124">
        <f>IF(ISBLANK('RESUMEN VIGILANCIA'!R51),"",'RESUMEN VIGILANCIA'!R51)</f>
        <v>100000</v>
      </c>
      <c r="S14" s="124">
        <f>IF(ISBLANK('RESUMEN VIGILANCIA'!S51),"",'RESUMEN VIGILANCIA'!S51)</f>
        <v>200000</v>
      </c>
      <c r="T14" s="124">
        <f>IF(ISBLANK('RESUMEN VIGILANCIA'!T51),"",'RESUMEN VIGILANCIA'!T51)</f>
        <v>250000</v>
      </c>
      <c r="U14" s="124">
        <f>IF(ISBLANK('RESUMEN VIGILANCIA'!U51),"",'RESUMEN VIGILANCIA'!U51)</f>
        <v>400000</v>
      </c>
      <c r="V14" s="124">
        <f>IF(ISBLANK('RESUMEN VIGILANCIA'!V51),"",'RESUMEN VIGILANCIA'!V51)</f>
        <v>625000</v>
      </c>
      <c r="W14" s="124">
        <f>IF(ISBLANK('RESUMEN VIGILANCIA'!W51),"",'RESUMEN VIGILANCIA'!W51)</f>
        <v>1000000</v>
      </c>
      <c r="X14" s="124">
        <f>IF(ISBLANK('RESUMEN VIGILANCIA'!X51),"",'RESUMEN VIGILANCIA'!X51)</f>
        <v>1200000</v>
      </c>
      <c r="Y14" s="124">
        <f>IF(ISBLANK('RESUMEN VIGILANCIA'!Y51),"",'RESUMEN VIGILANCIA'!Y51)</f>
        <v>515000</v>
      </c>
      <c r="Z14" s="124" t="str">
        <f>IF(ISBLANK('RESUMEN VIGILANCIA'!Z51),"",'RESUMEN VIGILANCIA'!Z51)</f>
        <v/>
      </c>
      <c r="AA14" s="124" t="str">
        <f>IF(ISBLANK('RESUMEN VIGILANCIA'!AA51),"",'RESUMEN VIGILANCIA'!AA51)</f>
        <v/>
      </c>
      <c r="AB14" s="99" t="str">
        <f>IF(ISBLANK('RESUMEN VIGILANCIA'!AB51),"",'RESUMEN VIGILANCIA'!AB51)</f>
        <v/>
      </c>
      <c r="AC14" s="115">
        <f t="shared" si="0"/>
        <v>4745000</v>
      </c>
      <c r="AD14" s="292"/>
      <c r="AE14" s="292"/>
    </row>
    <row r="15" spans="1:31" s="52" customFormat="1" ht="20.100000000000001" customHeight="1" x14ac:dyDescent="0.25">
      <c r="A15" s="53" t="s">
        <v>411</v>
      </c>
      <c r="B15" s="54" t="s">
        <v>412</v>
      </c>
      <c r="C15" s="152" t="s">
        <v>940</v>
      </c>
      <c r="D15" s="99" t="str">
        <f>IF(ISBLANK('RESUMEN VIGILANCIA'!D52),"",'RESUMEN VIGILANCIA'!D52)</f>
        <v/>
      </c>
      <c r="E15" s="153">
        <f>IF(ISBLANK('RESUMEN VIGILANCIA'!E52),"",'RESUMEN VIGILANCIA'!E52)</f>
        <v>17000</v>
      </c>
      <c r="F15" s="41">
        <f>IF(ISBLANK('RESUMEN VIGILANCIA'!F52),"",'RESUMEN VIGILANCIA'!F52)</f>
        <v>17000</v>
      </c>
      <c r="G15" s="41">
        <f>IF(ISBLANK('RESUMEN VIGILANCIA'!G52),"",'RESUMEN VIGILANCIA'!G52)</f>
        <v>17000</v>
      </c>
      <c r="H15" s="41">
        <f>IF(ISBLANK('RESUMEN VIGILANCIA'!H52),"",'RESUMEN VIGILANCIA'!H52)</f>
        <v>17000</v>
      </c>
      <c r="I15" s="41" t="str">
        <f>IF(ISBLANK('RESUMEN VIGILANCIA'!I52),"",'RESUMEN VIGILANCIA'!I52)</f>
        <v/>
      </c>
      <c r="J15" s="41" t="str">
        <f>IF(ISBLANK('RESUMEN VIGILANCIA'!J52),"",'RESUMEN VIGILANCIA'!J52)</f>
        <v/>
      </c>
      <c r="K15" s="41" t="str">
        <f>IF(ISBLANK('RESUMEN VIGILANCIA'!K52),"",'RESUMEN VIGILANCIA'!K52)</f>
        <v/>
      </c>
      <c r="L15" s="41" t="str">
        <f>IF(ISBLANK('RESUMEN VIGILANCIA'!L52),"",'RESUMEN VIGILANCIA'!L52)</f>
        <v/>
      </c>
      <c r="M15" s="41" t="str">
        <f>IF(ISBLANK('RESUMEN VIGILANCIA'!M52),"",'RESUMEN VIGILANCIA'!M52)</f>
        <v/>
      </c>
      <c r="N15" s="41" t="str">
        <f>IF(ISBLANK('RESUMEN VIGILANCIA'!N52),"",'RESUMEN VIGILANCIA'!N52)</f>
        <v/>
      </c>
      <c r="O15" s="124" t="str">
        <f>IF(ISBLANK('RESUMEN VIGILANCIA'!O52),"",'RESUMEN VIGILANCIA'!O52)</f>
        <v/>
      </c>
      <c r="P15" s="99" t="str">
        <f>IF(ISBLANK('RESUMEN VIGILANCIA'!P52),"",'RESUMEN VIGILANCIA'!P52)</f>
        <v/>
      </c>
      <c r="Q15" s="128" t="str">
        <f>IF(ISBLANK('RESUMEN VIGILANCIA'!Q52),"",'RESUMEN VIGILANCIA'!Q52)</f>
        <v/>
      </c>
      <c r="R15" s="124" t="str">
        <f>IF(ISBLANK('RESUMEN VIGILANCIA'!R52),"",'RESUMEN VIGILANCIA'!R52)</f>
        <v/>
      </c>
      <c r="S15" s="124" t="str">
        <f>IF(ISBLANK('RESUMEN VIGILANCIA'!S52),"",'RESUMEN VIGILANCIA'!S52)</f>
        <v/>
      </c>
      <c r="T15" s="124" t="str">
        <f>IF(ISBLANK('RESUMEN VIGILANCIA'!T52),"",'RESUMEN VIGILANCIA'!T52)</f>
        <v/>
      </c>
      <c r="U15" s="124">
        <f>IF(ISBLANK('RESUMEN VIGILANCIA'!U52),"",'RESUMEN VIGILANCIA'!U52)</f>
        <v>400000</v>
      </c>
      <c r="V15" s="124">
        <f>IF(ISBLANK('RESUMEN VIGILANCIA'!V52),"",'RESUMEN VIGILANCIA'!V52)</f>
        <v>400000</v>
      </c>
      <c r="W15" s="124">
        <f>IF(ISBLANK('RESUMEN VIGILANCIA'!W52),"",'RESUMEN VIGILANCIA'!W52)</f>
        <v>1000000</v>
      </c>
      <c r="X15" s="124">
        <f>IF(ISBLANK('RESUMEN VIGILANCIA'!X52),"",'RESUMEN VIGILANCIA'!X52)</f>
        <v>1200000</v>
      </c>
      <c r="Y15" s="124" t="str">
        <f>IF(ISBLANK('RESUMEN VIGILANCIA'!Y52),"",'RESUMEN VIGILANCIA'!Y52)</f>
        <v/>
      </c>
      <c r="Z15" s="124" t="str">
        <f>IF(ISBLANK('RESUMEN VIGILANCIA'!Z52),"",'RESUMEN VIGILANCIA'!Z52)</f>
        <v/>
      </c>
      <c r="AA15" s="124" t="str">
        <f>IF(ISBLANK('RESUMEN VIGILANCIA'!AA52),"",'RESUMEN VIGILANCIA'!AA52)</f>
        <v/>
      </c>
      <c r="AB15" s="99" t="str">
        <f>IF(ISBLANK('RESUMEN VIGILANCIA'!AB52),"",'RESUMEN VIGILANCIA'!AB52)</f>
        <v/>
      </c>
      <c r="AC15" s="115">
        <f t="shared" si="0"/>
        <v>3068000</v>
      </c>
      <c r="AD15" s="292"/>
      <c r="AE15" s="292"/>
    </row>
    <row r="16" spans="1:31" s="52" customFormat="1" ht="20.100000000000001" customHeight="1" x14ac:dyDescent="0.25">
      <c r="A16" s="53" t="s">
        <v>201</v>
      </c>
      <c r="B16" s="54" t="s">
        <v>203</v>
      </c>
      <c r="C16" s="152" t="s">
        <v>940</v>
      </c>
      <c r="D16" s="99" t="str">
        <f>IF(ISBLANK('RESUMEN VIGILANCIA'!D53),"",'RESUMEN VIGILANCIA'!D53)</f>
        <v/>
      </c>
      <c r="E16" s="153">
        <f>IF(ISBLANK('RESUMEN VIGILANCIA'!E53),"",'RESUMEN VIGILANCIA'!E53)</f>
        <v>17000</v>
      </c>
      <c r="F16" s="41">
        <f>IF(ISBLANK('RESUMEN VIGILANCIA'!F53),"",'RESUMEN VIGILANCIA'!F53)</f>
        <v>17000</v>
      </c>
      <c r="G16" s="41">
        <f>IF(ISBLANK('RESUMEN VIGILANCIA'!G53),"",'RESUMEN VIGILANCIA'!G53)</f>
        <v>17000</v>
      </c>
      <c r="H16" s="41">
        <f>IF(ISBLANK('RESUMEN VIGILANCIA'!H53),"",'RESUMEN VIGILANCIA'!H53)</f>
        <v>17000</v>
      </c>
      <c r="I16" s="41">
        <f>IF(ISBLANK('RESUMEN VIGILANCIA'!I53),"",'RESUMEN VIGILANCIA'!I53)</f>
        <v>26000</v>
      </c>
      <c r="J16" s="41">
        <f>IF(ISBLANK('RESUMEN VIGILANCIA'!J53),"",'RESUMEN VIGILANCIA'!J53)</f>
        <v>26000</v>
      </c>
      <c r="K16" s="41">
        <f>IF(ISBLANK('RESUMEN VIGILANCIA'!K53),"",'RESUMEN VIGILANCIA'!K53)</f>
        <v>35000</v>
      </c>
      <c r="L16" s="41">
        <f>IF(ISBLANK('RESUMEN VIGILANCIA'!L53),"",'RESUMEN VIGILANCIA'!L53)</f>
        <v>35000</v>
      </c>
      <c r="M16" s="41">
        <f>IF(ISBLANK('RESUMEN VIGILANCIA'!M53),"",'RESUMEN VIGILANCIA'!M53)</f>
        <v>35000</v>
      </c>
      <c r="N16" s="41">
        <f>IF(ISBLANK('RESUMEN VIGILANCIA'!N53),"",'RESUMEN VIGILANCIA'!N53)</f>
        <v>35000</v>
      </c>
      <c r="O16" s="124">
        <f>IF(ISBLANK('RESUMEN VIGILANCIA'!O53),"",'RESUMEN VIGILANCIA'!O53)</f>
        <v>50000</v>
      </c>
      <c r="P16" s="99">
        <f>IF(ISBLANK('RESUMEN VIGILANCIA'!P53),"",'RESUMEN VIGILANCIA'!P53)</f>
        <v>50000</v>
      </c>
      <c r="Q16" s="128">
        <f>IF(ISBLANK('RESUMEN VIGILANCIA'!Q53),"",'RESUMEN VIGILANCIA'!Q53)</f>
        <v>80000</v>
      </c>
      <c r="R16" s="124">
        <f>IF(ISBLANK('RESUMEN VIGILANCIA'!R53),"",'RESUMEN VIGILANCIA'!R53)</f>
        <v>80000</v>
      </c>
      <c r="S16" s="124">
        <f>IF(ISBLANK('RESUMEN VIGILANCIA'!S53),"",'RESUMEN VIGILANCIA'!S53)</f>
        <v>140000</v>
      </c>
      <c r="T16" s="124">
        <f>IF(ISBLANK('RESUMEN VIGILANCIA'!T53),"",'RESUMEN VIGILANCIA'!T53)</f>
        <v>140000</v>
      </c>
      <c r="U16" s="124">
        <f>IF(ISBLANK('RESUMEN VIGILANCIA'!U53),"",'RESUMEN VIGILANCIA'!U53)</f>
        <v>400000</v>
      </c>
      <c r="V16" s="124">
        <f>IF(ISBLANK('RESUMEN VIGILANCIA'!V53),"",'RESUMEN VIGILANCIA'!V53)</f>
        <v>625000</v>
      </c>
      <c r="W16" s="124">
        <f>IF(ISBLANK('RESUMEN VIGILANCIA'!W53),"",'RESUMEN VIGILANCIA'!W53)</f>
        <v>1000000</v>
      </c>
      <c r="X16" s="124">
        <f>IF(ISBLANK('RESUMEN VIGILANCIA'!X53),"",'RESUMEN VIGILANCIA'!X53)</f>
        <v>1200000</v>
      </c>
      <c r="Y16" s="124" t="str">
        <f>IF(ISBLANK('RESUMEN VIGILANCIA'!Y53),"",'RESUMEN VIGILANCIA'!Y53)</f>
        <v/>
      </c>
      <c r="Z16" s="124" t="str">
        <f>IF(ISBLANK('RESUMEN VIGILANCIA'!Z53),"",'RESUMEN VIGILANCIA'!Z53)</f>
        <v/>
      </c>
      <c r="AA16" s="124" t="str">
        <f>IF(ISBLANK('RESUMEN VIGILANCIA'!AA53),"",'RESUMEN VIGILANCIA'!AA53)</f>
        <v/>
      </c>
      <c r="AB16" s="99" t="str">
        <f>IF(ISBLANK('RESUMEN VIGILANCIA'!AB53),"",'RESUMEN VIGILANCIA'!AB53)</f>
        <v/>
      </c>
      <c r="AC16" s="115">
        <f t="shared" si="0"/>
        <v>4025000</v>
      </c>
      <c r="AD16" s="292"/>
      <c r="AE16" s="292"/>
    </row>
    <row r="17" spans="1:31" s="52" customFormat="1" ht="20.100000000000001" customHeight="1" x14ac:dyDescent="0.25">
      <c r="A17" s="53" t="s">
        <v>66</v>
      </c>
      <c r="B17" s="54" t="s">
        <v>68</v>
      </c>
      <c r="C17" s="152" t="s">
        <v>940</v>
      </c>
      <c r="D17" s="99" t="str">
        <f>IF(ISBLANK('RESUMEN VIGILANCIA'!D54),"",'RESUMEN VIGILANCIA'!D54)</f>
        <v/>
      </c>
      <c r="E17" s="154">
        <f>IF(ISBLANK('RESUMEN VIGILANCIA'!E54),"",'RESUMEN VIGILANCIA'!E54)</f>
        <v>10500</v>
      </c>
      <c r="F17" s="41">
        <f>IF(ISBLANK('RESUMEN VIGILANCIA'!F54),"",'RESUMEN VIGILANCIA'!F54)</f>
        <v>17000</v>
      </c>
      <c r="G17" s="41">
        <f>IF(ISBLANK('RESUMEN VIGILANCIA'!G54),"",'RESUMEN VIGILANCIA'!G54)</f>
        <v>22000</v>
      </c>
      <c r="H17" s="41">
        <f>IF(ISBLANK('RESUMEN VIGILANCIA'!H54),"",'RESUMEN VIGILANCIA'!H54)</f>
        <v>22000</v>
      </c>
      <c r="I17" s="41">
        <f>IF(ISBLANK('RESUMEN VIGILANCIA'!I54),"",'RESUMEN VIGILANCIA'!I54)</f>
        <v>22000</v>
      </c>
      <c r="J17" s="41">
        <f>IF(ISBLANK('RESUMEN VIGILANCIA'!J54),"",'RESUMEN VIGILANCIA'!J54)</f>
        <v>26000</v>
      </c>
      <c r="K17" s="41">
        <f>IF(ISBLANK('RESUMEN VIGILANCIA'!K54),"",'RESUMEN VIGILANCIA'!K54)</f>
        <v>35000</v>
      </c>
      <c r="L17" s="41">
        <f>IF(ISBLANK('RESUMEN VIGILANCIA'!L54),"",'RESUMEN VIGILANCIA'!L54)</f>
        <v>35000</v>
      </c>
      <c r="M17" s="41">
        <f>IF(ISBLANK('RESUMEN VIGILANCIA'!M54),"",'RESUMEN VIGILANCIA'!M54)</f>
        <v>35000</v>
      </c>
      <c r="N17" s="41">
        <f>IF(ISBLANK('RESUMEN VIGILANCIA'!N54),"",'RESUMEN VIGILANCIA'!N54)</f>
        <v>35000</v>
      </c>
      <c r="O17" s="124">
        <f>IF(ISBLANK('RESUMEN VIGILANCIA'!O54),"",'RESUMEN VIGILANCIA'!O54)</f>
        <v>50000</v>
      </c>
      <c r="P17" s="99">
        <f>IF(ISBLANK('RESUMEN VIGILANCIA'!P54),"",'RESUMEN VIGILANCIA'!P54)</f>
        <v>50000</v>
      </c>
      <c r="Q17" s="128">
        <f>IF(ISBLANK('RESUMEN VIGILANCIA'!Q54),"",'RESUMEN VIGILANCIA'!Q54)</f>
        <v>80000</v>
      </c>
      <c r="R17" s="124">
        <f>IF(ISBLANK('RESUMEN VIGILANCIA'!R54),"",'RESUMEN VIGILANCIA'!R54)</f>
        <v>80000</v>
      </c>
      <c r="S17" s="124">
        <f>IF(ISBLANK('RESUMEN VIGILANCIA'!S54),"",'RESUMEN VIGILANCIA'!S54)</f>
        <v>140000</v>
      </c>
      <c r="T17" s="124">
        <f>IF(ISBLANK('RESUMEN VIGILANCIA'!T54),"",'RESUMEN VIGILANCIA'!T54)</f>
        <v>140000</v>
      </c>
      <c r="U17" s="124">
        <f>IF(ISBLANK('RESUMEN VIGILANCIA'!U54),"",'RESUMEN VIGILANCIA'!U54)</f>
        <v>400000</v>
      </c>
      <c r="V17" s="124">
        <f>IF(ISBLANK('RESUMEN VIGILANCIA'!V54),"",'RESUMEN VIGILANCIA'!V54)</f>
        <v>625000</v>
      </c>
      <c r="W17" s="124">
        <f>IF(ISBLANK('RESUMEN VIGILANCIA'!W54),"",'RESUMEN VIGILANCIA'!W54)</f>
        <v>1000000</v>
      </c>
      <c r="X17" s="124" t="str">
        <f>IF(ISBLANK('RESUMEN VIGILANCIA'!X54),"",'RESUMEN VIGILANCIA'!X54)</f>
        <v/>
      </c>
      <c r="Y17" s="124" t="str">
        <f>IF(ISBLANK('RESUMEN VIGILANCIA'!Y54),"",'RESUMEN VIGILANCIA'!Y54)</f>
        <v/>
      </c>
      <c r="Z17" s="124" t="str">
        <f>IF(ISBLANK('RESUMEN VIGILANCIA'!Z54),"",'RESUMEN VIGILANCIA'!Z54)</f>
        <v/>
      </c>
      <c r="AA17" s="124" t="str">
        <f>IF(ISBLANK('RESUMEN VIGILANCIA'!AA54),"",'RESUMEN VIGILANCIA'!AA54)</f>
        <v/>
      </c>
      <c r="AB17" s="99" t="str">
        <f>IF(ISBLANK('RESUMEN VIGILANCIA'!AB54),"",'RESUMEN VIGILANCIA'!AB54)</f>
        <v/>
      </c>
      <c r="AC17" s="115">
        <f t="shared" si="0"/>
        <v>2824500</v>
      </c>
      <c r="AD17" s="292"/>
      <c r="AE17" s="292"/>
    </row>
    <row r="18" spans="1:31" s="52" customFormat="1" ht="20.100000000000001" customHeight="1" x14ac:dyDescent="0.25">
      <c r="A18" s="56" t="s">
        <v>84</v>
      </c>
      <c r="B18" s="57" t="s">
        <v>86</v>
      </c>
      <c r="C18" s="150" t="s">
        <v>938</v>
      </c>
      <c r="D18" s="100" t="str">
        <f>IF(ISBLANK('RESUMEN VIGILANCIA'!D55),"",'RESUMEN VIGILANCIA'!D55)</f>
        <v/>
      </c>
      <c r="E18" s="151">
        <f>IF(ISBLANK('RESUMEN VIGILANCIA'!E55),"",'RESUMEN VIGILANCIA'!E55)</f>
        <v>10000</v>
      </c>
      <c r="F18" s="43">
        <f>IF(ISBLANK('RESUMEN VIGILANCIA'!F55),"",'RESUMEN VIGILANCIA'!F55)</f>
        <v>10000</v>
      </c>
      <c r="G18" s="43">
        <f>IF(ISBLANK('RESUMEN VIGILANCIA'!G55),"",'RESUMEN VIGILANCIA'!G55)</f>
        <v>10000</v>
      </c>
      <c r="H18" s="43">
        <f>IF(ISBLANK('RESUMEN VIGILANCIA'!H55),"",'RESUMEN VIGILANCIA'!H55)</f>
        <v>10000</v>
      </c>
      <c r="I18" s="43" t="str">
        <f>IF(ISBLANK('RESUMEN VIGILANCIA'!I55),"",'RESUMEN VIGILANCIA'!I55)</f>
        <v/>
      </c>
      <c r="J18" s="43" t="str">
        <f>IF(ISBLANK('RESUMEN VIGILANCIA'!J55),"",'RESUMEN VIGILANCIA'!J55)</f>
        <v/>
      </c>
      <c r="K18" s="43">
        <f>IF(ISBLANK('RESUMEN VIGILANCIA'!K55),"",'RESUMEN VIGILANCIA'!K55)</f>
        <v>15000</v>
      </c>
      <c r="L18" s="43">
        <f>IF(ISBLANK('RESUMEN VIGILANCIA'!L55),"",'RESUMEN VIGILANCIA'!L55)</f>
        <v>15000</v>
      </c>
      <c r="M18" s="43">
        <f>IF(ISBLANK('RESUMEN VIGILANCIA'!M55),"",'RESUMEN VIGILANCIA'!M55)</f>
        <v>20000</v>
      </c>
      <c r="N18" s="43">
        <f>IF(ISBLANK('RESUMEN VIGILANCIA'!N55),"",'RESUMEN VIGILANCIA'!N55)</f>
        <v>25000</v>
      </c>
      <c r="O18" s="123">
        <f>IF(ISBLANK('RESUMEN VIGILANCIA'!O55),"",'RESUMEN VIGILANCIA'!O55)</f>
        <v>30000</v>
      </c>
      <c r="P18" s="100">
        <f>IF(ISBLANK('RESUMEN VIGILANCIA'!P55),"",'RESUMEN VIGILANCIA'!P55)</f>
        <v>30000</v>
      </c>
      <c r="Q18" s="130">
        <f>IF(ISBLANK('RESUMEN VIGILANCIA'!Q55),"",'RESUMEN VIGILANCIA'!Q55)</f>
        <v>30000</v>
      </c>
      <c r="R18" s="123">
        <f>IF(ISBLANK('RESUMEN VIGILANCIA'!R55),"",'RESUMEN VIGILANCIA'!R55)</f>
        <v>30000</v>
      </c>
      <c r="S18" s="123">
        <f>IF(ISBLANK('RESUMEN VIGILANCIA'!S55),"",'RESUMEN VIGILANCIA'!S55)</f>
        <v>70000</v>
      </c>
      <c r="T18" s="123">
        <f>IF(ISBLANK('RESUMEN VIGILANCIA'!T55),"",'RESUMEN VIGILANCIA'!T55)</f>
        <v>80000</v>
      </c>
      <c r="U18" s="123">
        <f>IF(ISBLANK('RESUMEN VIGILANCIA'!U55),"",'RESUMEN VIGILANCIA'!U55)</f>
        <v>200000</v>
      </c>
      <c r="V18" s="123">
        <f>IF(ISBLANK('RESUMEN VIGILANCIA'!V55),"",'RESUMEN VIGILANCIA'!V55)</f>
        <v>625000</v>
      </c>
      <c r="W18" s="123">
        <f>IF(ISBLANK('RESUMEN VIGILANCIA'!W55),"",'RESUMEN VIGILANCIA'!W55)</f>
        <v>1000000</v>
      </c>
      <c r="X18" s="123">
        <f>IF(ISBLANK('RESUMEN VIGILANCIA'!X55),"",'RESUMEN VIGILANCIA'!X55)</f>
        <v>1200000</v>
      </c>
      <c r="Y18" s="123" t="str">
        <f>IF(ISBLANK('RESUMEN VIGILANCIA'!Y55),"",'RESUMEN VIGILANCIA'!Y55)</f>
        <v/>
      </c>
      <c r="Z18" s="123" t="str">
        <f>IF(ISBLANK('RESUMEN VIGILANCIA'!Z55),"",'RESUMEN VIGILANCIA'!Z55)</f>
        <v/>
      </c>
      <c r="AA18" s="123" t="str">
        <f>IF(ISBLANK('RESUMEN VIGILANCIA'!AA55),"",'RESUMEN VIGILANCIA'!AA55)</f>
        <v/>
      </c>
      <c r="AB18" s="100" t="str">
        <f>IF(ISBLANK('RESUMEN VIGILANCIA'!AB55),"",'RESUMEN VIGILANCIA'!AB55)</f>
        <v/>
      </c>
      <c r="AC18" s="114">
        <f t="shared" si="0"/>
        <v>3410000</v>
      </c>
      <c r="AD18" s="291"/>
      <c r="AE18" s="291"/>
    </row>
    <row r="19" spans="1:31" s="52" customFormat="1" ht="20.100000000000001" customHeight="1" x14ac:dyDescent="0.25">
      <c r="A19" s="53" t="s">
        <v>848</v>
      </c>
      <c r="B19" s="54" t="s">
        <v>849</v>
      </c>
      <c r="C19" s="152" t="s">
        <v>939</v>
      </c>
      <c r="D19" s="99" t="str">
        <f>IF(ISBLANK('RESUMEN VIGILANCIA'!D56),"",'RESUMEN VIGILANCIA'!D56)</f>
        <v/>
      </c>
      <c r="E19" s="153" t="str">
        <f>IF(ISBLANK('RESUMEN VIGILANCIA'!E56),"",'RESUMEN VIGILANCIA'!E56)</f>
        <v/>
      </c>
      <c r="F19" s="41" t="str">
        <f>IF(ISBLANK('RESUMEN VIGILANCIA'!F56),"",'RESUMEN VIGILANCIA'!F56)</f>
        <v/>
      </c>
      <c r="G19" s="41" t="str">
        <f>IF(ISBLANK('RESUMEN VIGILANCIA'!G56),"",'RESUMEN VIGILANCIA'!G56)</f>
        <v/>
      </c>
      <c r="H19" s="41" t="str">
        <f>IF(ISBLANK('RESUMEN VIGILANCIA'!H56),"",'RESUMEN VIGILANCIA'!H56)</f>
        <v/>
      </c>
      <c r="I19" s="41" t="str">
        <f>IF(ISBLANK('RESUMEN VIGILANCIA'!I56),"",'RESUMEN VIGILANCIA'!I56)</f>
        <v/>
      </c>
      <c r="J19" s="41" t="str">
        <f>IF(ISBLANK('RESUMEN VIGILANCIA'!J56),"",'RESUMEN VIGILANCIA'!J56)</f>
        <v/>
      </c>
      <c r="K19" s="41" t="str">
        <f>IF(ISBLANK('RESUMEN VIGILANCIA'!K56),"",'RESUMEN VIGILANCIA'!K56)</f>
        <v/>
      </c>
      <c r="L19" s="41" t="str">
        <f>IF(ISBLANK('RESUMEN VIGILANCIA'!L56),"",'RESUMEN VIGILANCIA'!L56)</f>
        <v/>
      </c>
      <c r="M19" s="41" t="str">
        <f>IF(ISBLANK('RESUMEN VIGILANCIA'!M56),"",'RESUMEN VIGILANCIA'!M56)</f>
        <v/>
      </c>
      <c r="N19" s="41" t="str">
        <f>IF(ISBLANK('RESUMEN VIGILANCIA'!N56),"",'RESUMEN VIGILANCIA'!N56)</f>
        <v/>
      </c>
      <c r="O19" s="124" t="str">
        <f>IF(ISBLANK('RESUMEN VIGILANCIA'!O56),"",'RESUMEN VIGILANCIA'!O56)</f>
        <v/>
      </c>
      <c r="P19" s="99" t="str">
        <f>IF(ISBLANK('RESUMEN VIGILANCIA'!P56),"",'RESUMEN VIGILANCIA'!P56)</f>
        <v/>
      </c>
      <c r="Q19" s="128" t="str">
        <f>IF(ISBLANK('RESUMEN VIGILANCIA'!Q56),"",'RESUMEN VIGILANCIA'!Q56)</f>
        <v/>
      </c>
      <c r="R19" s="124" t="str">
        <f>IF(ISBLANK('RESUMEN VIGILANCIA'!R56),"",'RESUMEN VIGILANCIA'!R56)</f>
        <v/>
      </c>
      <c r="S19" s="124" t="str">
        <f>IF(ISBLANK('RESUMEN VIGILANCIA'!S56),"",'RESUMEN VIGILANCIA'!S56)</f>
        <v/>
      </c>
      <c r="T19" s="124" t="str">
        <f>IF(ISBLANK('RESUMEN VIGILANCIA'!T56),"",'RESUMEN VIGILANCIA'!T56)</f>
        <v/>
      </c>
      <c r="U19" s="124" t="str">
        <f>IF(ISBLANK('RESUMEN VIGILANCIA'!U56),"",'RESUMEN VIGILANCIA'!U56)</f>
        <v/>
      </c>
      <c r="V19" s="124" t="str">
        <f>IF(ISBLANK('RESUMEN VIGILANCIA'!V56),"",'RESUMEN VIGILANCIA'!V56)</f>
        <v/>
      </c>
      <c r="W19" s="124" t="str">
        <f>IF(ISBLANK('RESUMEN VIGILANCIA'!W56),"",'RESUMEN VIGILANCIA'!W56)</f>
        <v/>
      </c>
      <c r="X19" s="124" t="str">
        <f>IF(ISBLANK('RESUMEN VIGILANCIA'!X56),"",'RESUMEN VIGILANCIA'!X56)</f>
        <v/>
      </c>
      <c r="Y19" s="124" t="str">
        <f>IF(ISBLANK('RESUMEN VIGILANCIA'!Y56),"",'RESUMEN VIGILANCIA'!Y56)</f>
        <v/>
      </c>
      <c r="Z19" s="124" t="str">
        <f>IF(ISBLANK('RESUMEN VIGILANCIA'!Z56),"",'RESUMEN VIGILANCIA'!Z56)</f>
        <v/>
      </c>
      <c r="AA19" s="124" t="str">
        <f>IF(ISBLANK('RESUMEN VIGILANCIA'!AA56),"",'RESUMEN VIGILANCIA'!AA56)</f>
        <v/>
      </c>
      <c r="AB19" s="99" t="str">
        <f>IF(ISBLANK('RESUMEN VIGILANCIA'!AB56),"",'RESUMEN VIGILANCIA'!AB56)</f>
        <v/>
      </c>
      <c r="AC19" s="115">
        <f t="shared" si="0"/>
        <v>0</v>
      </c>
      <c r="AD19" s="292"/>
      <c r="AE19" s="292"/>
    </row>
    <row r="20" spans="1:31" s="52" customFormat="1" ht="20.100000000000001" customHeight="1" x14ac:dyDescent="0.25">
      <c r="A20" s="56" t="s">
        <v>275</v>
      </c>
      <c r="B20" s="57" t="s">
        <v>277</v>
      </c>
      <c r="C20" s="150" t="s">
        <v>938</v>
      </c>
      <c r="D20" s="100" t="str">
        <f>IF(ISBLANK('RESUMEN VIGILANCIA'!D65),"",'RESUMEN VIGILANCIA'!D65)</f>
        <v/>
      </c>
      <c r="E20" s="151">
        <f>IF(ISBLANK('RESUMEN VIGILANCIA'!E65),"",'RESUMEN VIGILANCIA'!E65)</f>
        <v>10000</v>
      </c>
      <c r="F20" s="43">
        <f>IF(ISBLANK('RESUMEN VIGILANCIA'!F65),"",'RESUMEN VIGILANCIA'!F65)</f>
        <v>10000</v>
      </c>
      <c r="G20" s="43" t="str">
        <f>IF(ISBLANK('RESUMEN VIGILANCIA'!G65),"",'RESUMEN VIGILANCIA'!G65)</f>
        <v/>
      </c>
      <c r="H20" s="43" t="str">
        <f>IF(ISBLANK('RESUMEN VIGILANCIA'!H65),"",'RESUMEN VIGILANCIA'!H65)</f>
        <v/>
      </c>
      <c r="I20" s="43" t="str">
        <f>IF(ISBLANK('RESUMEN VIGILANCIA'!I65),"",'RESUMEN VIGILANCIA'!I65)</f>
        <v/>
      </c>
      <c r="J20" s="43" t="str">
        <f>IF(ISBLANK('RESUMEN VIGILANCIA'!J65),"",'RESUMEN VIGILANCIA'!J65)</f>
        <v/>
      </c>
      <c r="K20" s="43" t="str">
        <f>IF(ISBLANK('RESUMEN VIGILANCIA'!K65),"",'RESUMEN VIGILANCIA'!K65)</f>
        <v/>
      </c>
      <c r="L20" s="43" t="str">
        <f>IF(ISBLANK('RESUMEN VIGILANCIA'!L65),"",'RESUMEN VIGILANCIA'!L65)</f>
        <v/>
      </c>
      <c r="M20" s="43" t="str">
        <f>IF(ISBLANK('RESUMEN VIGILANCIA'!M65),"",'RESUMEN VIGILANCIA'!M65)</f>
        <v/>
      </c>
      <c r="N20" s="43" t="str">
        <f>IF(ISBLANK('RESUMEN VIGILANCIA'!N65),"",'RESUMEN VIGILANCIA'!N65)</f>
        <v/>
      </c>
      <c r="O20" s="123" t="str">
        <f>IF(ISBLANK('RESUMEN VIGILANCIA'!O65),"",'RESUMEN VIGILANCIA'!O65)</f>
        <v/>
      </c>
      <c r="P20" s="100" t="str">
        <f>IF(ISBLANK('RESUMEN VIGILANCIA'!P65),"",'RESUMEN VIGILANCIA'!P65)</f>
        <v/>
      </c>
      <c r="Q20" s="130" t="str">
        <f>IF(ISBLANK('RESUMEN VIGILANCIA'!Q65),"",'RESUMEN VIGILANCIA'!Q65)</f>
        <v/>
      </c>
      <c r="R20" s="123" t="str">
        <f>IF(ISBLANK('RESUMEN VIGILANCIA'!R65),"",'RESUMEN VIGILANCIA'!R65)</f>
        <v/>
      </c>
      <c r="S20" s="123" t="str">
        <f>IF(ISBLANK('RESUMEN VIGILANCIA'!S65),"",'RESUMEN VIGILANCIA'!S65)</f>
        <v/>
      </c>
      <c r="T20" s="123" t="str">
        <f>IF(ISBLANK('RESUMEN VIGILANCIA'!T65),"",'RESUMEN VIGILANCIA'!T65)</f>
        <v/>
      </c>
      <c r="U20" s="123" t="str">
        <f>IF(ISBLANK('RESUMEN VIGILANCIA'!U65),"",'RESUMEN VIGILANCIA'!U65)</f>
        <v/>
      </c>
      <c r="V20" s="123" t="str">
        <f>IF(ISBLANK('RESUMEN VIGILANCIA'!V65),"",'RESUMEN VIGILANCIA'!V65)</f>
        <v/>
      </c>
      <c r="W20" s="123" t="str">
        <f>IF(ISBLANK('RESUMEN VIGILANCIA'!W65),"",'RESUMEN VIGILANCIA'!W65)</f>
        <v/>
      </c>
      <c r="X20" s="123" t="str">
        <f>IF(ISBLANK('RESUMEN VIGILANCIA'!X65),"",'RESUMEN VIGILANCIA'!X65)</f>
        <v/>
      </c>
      <c r="Y20" s="123" t="str">
        <f>IF(ISBLANK('RESUMEN VIGILANCIA'!Y65),"",'RESUMEN VIGILANCIA'!Y65)</f>
        <v/>
      </c>
      <c r="Z20" s="123" t="str">
        <f>IF(ISBLANK('RESUMEN VIGILANCIA'!Z65),"",'RESUMEN VIGILANCIA'!Z65)</f>
        <v/>
      </c>
      <c r="AA20" s="123" t="str">
        <f>IF(ISBLANK('RESUMEN VIGILANCIA'!AA65),"",'RESUMEN VIGILANCIA'!AA65)</f>
        <v/>
      </c>
      <c r="AB20" s="100" t="str">
        <f>IF(ISBLANK('RESUMEN VIGILANCIA'!AB65),"",'RESUMEN VIGILANCIA'!AB65)</f>
        <v/>
      </c>
      <c r="AC20" s="114">
        <f t="shared" si="0"/>
        <v>20000</v>
      </c>
      <c r="AD20" s="291"/>
      <c r="AE20" s="291"/>
    </row>
    <row r="21" spans="1:31" s="52" customFormat="1" ht="20.100000000000001" customHeight="1" x14ac:dyDescent="0.25">
      <c r="A21" s="53" t="s">
        <v>854</v>
      </c>
      <c r="B21" s="54" t="s">
        <v>855</v>
      </c>
      <c r="C21" s="152" t="s">
        <v>939</v>
      </c>
      <c r="D21" s="99" t="str">
        <f>IF(ISBLANK('RESUMEN VIGILANCIA'!D66),"",'RESUMEN VIGILANCIA'!D66)</f>
        <v/>
      </c>
      <c r="E21" s="153" t="str">
        <f>IF(ISBLANK('RESUMEN VIGILANCIA'!E66),"",'RESUMEN VIGILANCIA'!E66)</f>
        <v/>
      </c>
      <c r="F21" s="41" t="str">
        <f>IF(ISBLANK('RESUMEN VIGILANCIA'!F66),"",'RESUMEN VIGILANCIA'!F66)</f>
        <v/>
      </c>
      <c r="G21" s="41" t="str">
        <f>IF(ISBLANK('RESUMEN VIGILANCIA'!G66),"",'RESUMEN VIGILANCIA'!G66)</f>
        <v/>
      </c>
      <c r="H21" s="41" t="str">
        <f>IF(ISBLANK('RESUMEN VIGILANCIA'!H66),"",'RESUMEN VIGILANCIA'!H66)</f>
        <v/>
      </c>
      <c r="I21" s="41" t="str">
        <f>IF(ISBLANK('RESUMEN VIGILANCIA'!I66),"",'RESUMEN VIGILANCIA'!I66)</f>
        <v/>
      </c>
      <c r="J21" s="41" t="str">
        <f>IF(ISBLANK('RESUMEN VIGILANCIA'!J66),"",'RESUMEN VIGILANCIA'!J66)</f>
        <v/>
      </c>
      <c r="K21" s="41" t="str">
        <f>IF(ISBLANK('RESUMEN VIGILANCIA'!K66),"",'RESUMEN VIGILANCIA'!K66)</f>
        <v/>
      </c>
      <c r="L21" s="41" t="str">
        <f>IF(ISBLANK('RESUMEN VIGILANCIA'!L66),"",'RESUMEN VIGILANCIA'!L66)</f>
        <v/>
      </c>
      <c r="M21" s="41" t="str">
        <f>IF(ISBLANK('RESUMEN VIGILANCIA'!M66),"",'RESUMEN VIGILANCIA'!M66)</f>
        <v/>
      </c>
      <c r="N21" s="41" t="str">
        <f>IF(ISBLANK('RESUMEN VIGILANCIA'!N66),"",'RESUMEN VIGILANCIA'!N66)</f>
        <v/>
      </c>
      <c r="O21" s="124" t="str">
        <f>IF(ISBLANK('RESUMEN VIGILANCIA'!O66),"",'RESUMEN VIGILANCIA'!O66)</f>
        <v/>
      </c>
      <c r="P21" s="99" t="str">
        <f>IF(ISBLANK('RESUMEN VIGILANCIA'!P66),"",'RESUMEN VIGILANCIA'!P66)</f>
        <v/>
      </c>
      <c r="Q21" s="128" t="str">
        <f>IF(ISBLANK('RESUMEN VIGILANCIA'!Q66),"",'RESUMEN VIGILANCIA'!Q66)</f>
        <v/>
      </c>
      <c r="R21" s="124" t="str">
        <f>IF(ISBLANK('RESUMEN VIGILANCIA'!R66),"",'RESUMEN VIGILANCIA'!R66)</f>
        <v/>
      </c>
      <c r="S21" s="124" t="str">
        <f>IF(ISBLANK('RESUMEN VIGILANCIA'!S66),"",'RESUMEN VIGILANCIA'!S66)</f>
        <v/>
      </c>
      <c r="T21" s="124" t="str">
        <f>IF(ISBLANK('RESUMEN VIGILANCIA'!T66),"",'RESUMEN VIGILANCIA'!T66)</f>
        <v/>
      </c>
      <c r="U21" s="124" t="str">
        <f>IF(ISBLANK('RESUMEN VIGILANCIA'!U66),"",'RESUMEN VIGILANCIA'!U66)</f>
        <v/>
      </c>
      <c r="V21" s="124" t="str">
        <f>IF(ISBLANK('RESUMEN VIGILANCIA'!V66),"",'RESUMEN VIGILANCIA'!V66)</f>
        <v/>
      </c>
      <c r="W21" s="124" t="str">
        <f>IF(ISBLANK('RESUMEN VIGILANCIA'!W66),"",'RESUMEN VIGILANCIA'!W66)</f>
        <v/>
      </c>
      <c r="X21" s="124" t="str">
        <f>IF(ISBLANK('RESUMEN VIGILANCIA'!X66),"",'RESUMEN VIGILANCIA'!X66)</f>
        <v/>
      </c>
      <c r="Y21" s="124" t="str">
        <f>IF(ISBLANK('RESUMEN VIGILANCIA'!Y66),"",'RESUMEN VIGILANCIA'!Y66)</f>
        <v/>
      </c>
      <c r="Z21" s="124" t="str">
        <f>IF(ISBLANK('RESUMEN VIGILANCIA'!Z66),"",'RESUMEN VIGILANCIA'!Z66)</f>
        <v/>
      </c>
      <c r="AA21" s="124" t="str">
        <f>IF(ISBLANK('RESUMEN VIGILANCIA'!AA66),"",'RESUMEN VIGILANCIA'!AA66)</f>
        <v/>
      </c>
      <c r="AB21" s="99" t="str">
        <f>IF(ISBLANK('RESUMEN VIGILANCIA'!AB66),"",'RESUMEN VIGILANCIA'!AB66)</f>
        <v/>
      </c>
      <c r="AC21" s="115">
        <f t="shared" si="0"/>
        <v>0</v>
      </c>
      <c r="AD21" s="292"/>
      <c r="AE21" s="292"/>
    </row>
    <row r="22" spans="1:31" s="52" customFormat="1" ht="20.100000000000001" customHeight="1" x14ac:dyDescent="0.25">
      <c r="A22" s="53" t="s">
        <v>815</v>
      </c>
      <c r="B22" s="54" t="s">
        <v>816</v>
      </c>
      <c r="C22" s="152" t="s">
        <v>939</v>
      </c>
      <c r="D22" s="99" t="str">
        <f>IF(ISBLANK('RESUMEN VIGILANCIA'!D15),"",'RESUMEN VIGILANCIA'!D15)</f>
        <v/>
      </c>
      <c r="E22" s="153" t="str">
        <f>IF(ISBLANK('RESUMEN VIGILANCIA'!E15),"",'RESUMEN VIGILANCIA'!E15)</f>
        <v/>
      </c>
      <c r="F22" s="41" t="str">
        <f>IF(ISBLANK('RESUMEN VIGILANCIA'!F15),"",'RESUMEN VIGILANCIA'!F15)</f>
        <v/>
      </c>
      <c r="G22" s="41" t="str">
        <f>IF(ISBLANK('RESUMEN VIGILANCIA'!G15),"",'RESUMEN VIGILANCIA'!G15)</f>
        <v/>
      </c>
      <c r="H22" s="41" t="str">
        <f>IF(ISBLANK('RESUMEN VIGILANCIA'!H15),"",'RESUMEN VIGILANCIA'!H15)</f>
        <v/>
      </c>
      <c r="I22" s="41" t="str">
        <f>IF(ISBLANK('RESUMEN VIGILANCIA'!I15),"",'RESUMEN VIGILANCIA'!I15)</f>
        <v/>
      </c>
      <c r="J22" s="41" t="str">
        <f>IF(ISBLANK('RESUMEN VIGILANCIA'!J15),"",'RESUMEN VIGILANCIA'!J15)</f>
        <v/>
      </c>
      <c r="K22" s="41" t="str">
        <f>IF(ISBLANK('RESUMEN VIGILANCIA'!K15),"",'RESUMEN VIGILANCIA'!K15)</f>
        <v/>
      </c>
      <c r="L22" s="41" t="str">
        <f>IF(ISBLANK('RESUMEN VIGILANCIA'!L15),"",'RESUMEN VIGILANCIA'!L15)</f>
        <v/>
      </c>
      <c r="M22" s="41" t="str">
        <f>IF(ISBLANK('RESUMEN VIGILANCIA'!M15),"",'RESUMEN VIGILANCIA'!M15)</f>
        <v/>
      </c>
      <c r="N22" s="41" t="str">
        <f>IF(ISBLANK('RESUMEN VIGILANCIA'!N15),"",'RESUMEN VIGILANCIA'!N15)</f>
        <v/>
      </c>
      <c r="O22" s="124" t="str">
        <f>IF(ISBLANK('RESUMEN VIGILANCIA'!O15),"",'RESUMEN VIGILANCIA'!O15)</f>
        <v/>
      </c>
      <c r="P22" s="99" t="str">
        <f>IF(ISBLANK('RESUMEN VIGILANCIA'!P15),"",'RESUMEN VIGILANCIA'!P15)</f>
        <v/>
      </c>
      <c r="Q22" s="128" t="str">
        <f>IF(ISBLANK('RESUMEN VIGILANCIA'!Q15),"",'RESUMEN VIGILANCIA'!Q15)</f>
        <v/>
      </c>
      <c r="R22" s="124" t="str">
        <f>IF(ISBLANK('RESUMEN VIGILANCIA'!R15),"",'RESUMEN VIGILANCIA'!R15)</f>
        <v/>
      </c>
      <c r="S22" s="124" t="str">
        <f>IF(ISBLANK('RESUMEN VIGILANCIA'!S15),"",'RESUMEN VIGILANCIA'!S15)</f>
        <v/>
      </c>
      <c r="T22" s="124" t="str">
        <f>IF(ISBLANK('RESUMEN VIGILANCIA'!T15),"",'RESUMEN VIGILANCIA'!T15)</f>
        <v/>
      </c>
      <c r="U22" s="124" t="str">
        <f>IF(ISBLANK('RESUMEN VIGILANCIA'!U15),"",'RESUMEN VIGILANCIA'!U15)</f>
        <v/>
      </c>
      <c r="V22" s="124" t="str">
        <f>IF(ISBLANK('RESUMEN VIGILANCIA'!V15),"",'RESUMEN VIGILANCIA'!V15)</f>
        <v/>
      </c>
      <c r="W22" s="124" t="str">
        <f>IF(ISBLANK('RESUMEN VIGILANCIA'!W15),"",'RESUMEN VIGILANCIA'!W15)</f>
        <v/>
      </c>
      <c r="X22" s="124" t="str">
        <f>IF(ISBLANK('RESUMEN VIGILANCIA'!X15),"",'RESUMEN VIGILANCIA'!X15)</f>
        <v/>
      </c>
      <c r="Y22" s="124" t="str">
        <f>IF(ISBLANK('RESUMEN VIGILANCIA'!Y15),"",'RESUMEN VIGILANCIA'!Y15)</f>
        <v/>
      </c>
      <c r="Z22" s="124" t="str">
        <f>IF(ISBLANK('RESUMEN VIGILANCIA'!Z15),"",'RESUMEN VIGILANCIA'!Z15)</f>
        <v/>
      </c>
      <c r="AA22" s="124" t="str">
        <f>IF(ISBLANK('RESUMEN VIGILANCIA'!AA15),"",'RESUMEN VIGILANCIA'!AA15)</f>
        <v/>
      </c>
      <c r="AB22" s="99" t="str">
        <f>IF(ISBLANK('RESUMEN VIGILANCIA'!AB15),"",'RESUMEN VIGILANCIA'!AB15)</f>
        <v/>
      </c>
      <c r="AC22" s="115">
        <f t="shared" si="0"/>
        <v>0</v>
      </c>
      <c r="AD22" s="292"/>
      <c r="AE22" s="292"/>
    </row>
    <row r="23" spans="1:31" s="52" customFormat="1" ht="20.100000000000001" customHeight="1" x14ac:dyDescent="0.25">
      <c r="A23" s="56" t="s">
        <v>334</v>
      </c>
      <c r="B23" s="57" t="s">
        <v>335</v>
      </c>
      <c r="C23" s="150" t="s">
        <v>938</v>
      </c>
      <c r="D23" s="100" t="str">
        <f>IF(ISBLANK('RESUMEN VIGILANCIA'!D17),"",'RESUMEN VIGILANCIA'!D17)</f>
        <v/>
      </c>
      <c r="E23" s="151">
        <f>IF(ISBLANK('RESUMEN VIGILANCIA'!E17),"",'RESUMEN VIGILANCIA'!E17)</f>
        <v>17000</v>
      </c>
      <c r="F23" s="43">
        <f>IF(ISBLANK('RESUMEN VIGILANCIA'!F17),"",'RESUMEN VIGILANCIA'!F17)</f>
        <v>17000</v>
      </c>
      <c r="G23" s="43">
        <f>IF(ISBLANK('RESUMEN VIGILANCIA'!G17),"",'RESUMEN VIGILANCIA'!G17)</f>
        <v>17000</v>
      </c>
      <c r="H23" s="43">
        <f>IF(ISBLANK('RESUMEN VIGILANCIA'!H17),"",'RESUMEN VIGILANCIA'!H17)</f>
        <v>17000</v>
      </c>
      <c r="I23" s="43">
        <f>IF(ISBLANK('RESUMEN VIGILANCIA'!I17),"",'RESUMEN VIGILANCIA'!I17)</f>
        <v>17000</v>
      </c>
      <c r="J23" s="43">
        <f>IF(ISBLANK('RESUMEN VIGILANCIA'!J17),"",'RESUMEN VIGILANCIA'!J17)</f>
        <v>17000</v>
      </c>
      <c r="K23" s="43">
        <f>IF(ISBLANK('RESUMEN VIGILANCIA'!K17),"",'RESUMEN VIGILANCIA'!K17)</f>
        <v>17000</v>
      </c>
      <c r="L23" s="43">
        <f>IF(ISBLANK('RESUMEN VIGILANCIA'!L17),"",'RESUMEN VIGILANCIA'!L17)</f>
        <v>20000</v>
      </c>
      <c r="M23" s="43">
        <f>IF(ISBLANK('RESUMEN VIGILANCIA'!M17),"",'RESUMEN VIGILANCIA'!M17)</f>
        <v>25000</v>
      </c>
      <c r="N23" s="43">
        <f>IF(ISBLANK('RESUMEN VIGILANCIA'!N17),"",'RESUMEN VIGILANCIA'!N17)</f>
        <v>25000</v>
      </c>
      <c r="O23" s="123">
        <f>IF(ISBLANK('RESUMEN VIGILANCIA'!O17),"",'RESUMEN VIGILANCIA'!O17)</f>
        <v>25000</v>
      </c>
      <c r="P23" s="100">
        <f>IF(ISBLANK('RESUMEN VIGILANCIA'!P17),"",'RESUMEN VIGILANCIA'!P17)</f>
        <v>25000</v>
      </c>
      <c r="Q23" s="130">
        <f>IF(ISBLANK('RESUMEN VIGILANCIA'!Q17),"",'RESUMEN VIGILANCIA'!Q17)</f>
        <v>80000</v>
      </c>
      <c r="R23" s="123">
        <f>IF(ISBLANK('RESUMEN VIGILANCIA'!R17),"",'RESUMEN VIGILANCIA'!R17)</f>
        <v>80000</v>
      </c>
      <c r="S23" s="123">
        <f>IF(ISBLANK('RESUMEN VIGILANCIA'!S17),"",'RESUMEN VIGILANCIA'!S17)</f>
        <v>140000</v>
      </c>
      <c r="T23" s="123">
        <f>IF(ISBLANK('RESUMEN VIGILANCIA'!T17),"",'RESUMEN VIGILANCIA'!T17)</f>
        <v>140000</v>
      </c>
      <c r="U23" s="123">
        <f>IF(ISBLANK('RESUMEN VIGILANCIA'!U17),"",'RESUMEN VIGILANCIA'!U17)</f>
        <v>200000</v>
      </c>
      <c r="V23" s="123">
        <f>IF(ISBLANK('RESUMEN VIGILANCIA'!V17),"",'RESUMEN VIGILANCIA'!V17)</f>
        <v>625000</v>
      </c>
      <c r="W23" s="123">
        <f>IF(ISBLANK('RESUMEN VIGILANCIA'!W17),"",'RESUMEN VIGILANCIA'!W17)</f>
        <v>1000000</v>
      </c>
      <c r="X23" s="123">
        <f>IF(ISBLANK('RESUMEN VIGILANCIA'!X17),"",'RESUMEN VIGILANCIA'!X17)</f>
        <v>1200000</v>
      </c>
      <c r="Y23" s="123" t="str">
        <f>IF(ISBLANK('RESUMEN VIGILANCIA'!Y17),"",'RESUMEN VIGILANCIA'!Y17)</f>
        <v/>
      </c>
      <c r="Z23" s="123" t="str">
        <f>IF(ISBLANK('RESUMEN VIGILANCIA'!Z17),"",'RESUMEN VIGILANCIA'!Z17)</f>
        <v/>
      </c>
      <c r="AA23" s="123" t="str">
        <f>IF(ISBLANK('RESUMEN VIGILANCIA'!AA17),"",'RESUMEN VIGILANCIA'!AA17)</f>
        <v/>
      </c>
      <c r="AB23" s="100" t="str">
        <f>IF(ISBLANK('RESUMEN VIGILANCIA'!AB17),"",'RESUMEN VIGILANCIA'!AB17)</f>
        <v/>
      </c>
      <c r="AC23" s="114">
        <f t="shared" si="0"/>
        <v>3704000</v>
      </c>
      <c r="AD23" s="291"/>
      <c r="AE23" s="291"/>
    </row>
    <row r="24" spans="1:31" s="52" customFormat="1" ht="20.100000000000001" customHeight="1" x14ac:dyDescent="0.25">
      <c r="A24" s="60" t="s">
        <v>818</v>
      </c>
      <c r="B24" s="61" t="s">
        <v>819</v>
      </c>
      <c r="C24" s="148"/>
      <c r="D24" s="101" t="str">
        <f>IF(ISBLANK('RESUMEN VIGILANCIA'!D18),"",'RESUMEN VIGILANCIA'!D18)</f>
        <v/>
      </c>
      <c r="E24" s="149" t="str">
        <f>IF(ISBLANK('RESUMEN VIGILANCIA'!E18),"",'RESUMEN VIGILANCIA'!E18)</f>
        <v/>
      </c>
      <c r="F24" s="44" t="str">
        <f>IF(ISBLANK('RESUMEN VIGILANCIA'!F18),"",'RESUMEN VIGILANCIA'!F18)</f>
        <v/>
      </c>
      <c r="G24" s="44" t="str">
        <f>IF(ISBLANK('RESUMEN VIGILANCIA'!G18),"",'RESUMEN VIGILANCIA'!G18)</f>
        <v/>
      </c>
      <c r="H24" s="44" t="str">
        <f>IF(ISBLANK('RESUMEN VIGILANCIA'!H18),"",'RESUMEN VIGILANCIA'!H18)</f>
        <v/>
      </c>
      <c r="I24" s="44" t="str">
        <f>IF(ISBLANK('RESUMEN VIGILANCIA'!I18),"",'RESUMEN VIGILANCIA'!I18)</f>
        <v/>
      </c>
      <c r="J24" s="44" t="str">
        <f>IF(ISBLANK('RESUMEN VIGILANCIA'!J18),"",'RESUMEN VIGILANCIA'!J18)</f>
        <v/>
      </c>
      <c r="K24" s="44" t="str">
        <f>IF(ISBLANK('RESUMEN VIGILANCIA'!K18),"",'RESUMEN VIGILANCIA'!K18)</f>
        <v/>
      </c>
      <c r="L24" s="44" t="str">
        <f>IF(ISBLANK('RESUMEN VIGILANCIA'!L18),"",'RESUMEN VIGILANCIA'!L18)</f>
        <v/>
      </c>
      <c r="M24" s="44" t="str">
        <f>IF(ISBLANK('RESUMEN VIGILANCIA'!M18),"",'RESUMEN VIGILANCIA'!M18)</f>
        <v/>
      </c>
      <c r="N24" s="44" t="str">
        <f>IF(ISBLANK('RESUMEN VIGILANCIA'!N18),"",'RESUMEN VIGILANCIA'!N18)</f>
        <v/>
      </c>
      <c r="O24" s="122" t="str">
        <f>IF(ISBLANK('RESUMEN VIGILANCIA'!O18),"",'RESUMEN VIGILANCIA'!O18)</f>
        <v/>
      </c>
      <c r="P24" s="101" t="str">
        <f>IF(ISBLANK('RESUMEN VIGILANCIA'!P18),"",'RESUMEN VIGILANCIA'!P18)</f>
        <v/>
      </c>
      <c r="Q24" s="129" t="str">
        <f>IF(ISBLANK('RESUMEN VIGILANCIA'!Q18),"",'RESUMEN VIGILANCIA'!Q18)</f>
        <v/>
      </c>
      <c r="R24" s="122" t="str">
        <f>IF(ISBLANK('RESUMEN VIGILANCIA'!R18),"",'RESUMEN VIGILANCIA'!R18)</f>
        <v/>
      </c>
      <c r="S24" s="122" t="str">
        <f>IF(ISBLANK('RESUMEN VIGILANCIA'!S18),"",'RESUMEN VIGILANCIA'!S18)</f>
        <v/>
      </c>
      <c r="T24" s="122" t="str">
        <f>IF(ISBLANK('RESUMEN VIGILANCIA'!T18),"",'RESUMEN VIGILANCIA'!T18)</f>
        <v/>
      </c>
      <c r="U24" s="122" t="str">
        <f>IF(ISBLANK('RESUMEN VIGILANCIA'!U18),"",'RESUMEN VIGILANCIA'!U18)</f>
        <v/>
      </c>
      <c r="V24" s="122" t="str">
        <f>IF(ISBLANK('RESUMEN VIGILANCIA'!V18),"",'RESUMEN VIGILANCIA'!V18)</f>
        <v/>
      </c>
      <c r="W24" s="122" t="str">
        <f>IF(ISBLANK('RESUMEN VIGILANCIA'!W18),"",'RESUMEN VIGILANCIA'!W18)</f>
        <v/>
      </c>
      <c r="X24" s="122" t="str">
        <f>IF(ISBLANK('RESUMEN VIGILANCIA'!X18),"",'RESUMEN VIGILANCIA'!X18)</f>
        <v/>
      </c>
      <c r="Y24" s="122" t="str">
        <f>IF(ISBLANK('RESUMEN VIGILANCIA'!Y18),"",'RESUMEN VIGILANCIA'!Y18)</f>
        <v/>
      </c>
      <c r="Z24" s="122" t="str">
        <f>IF(ISBLANK('RESUMEN VIGILANCIA'!Z18),"",'RESUMEN VIGILANCIA'!Z18)</f>
        <v/>
      </c>
      <c r="AA24" s="122" t="str">
        <f>IF(ISBLANK('RESUMEN VIGILANCIA'!AA18),"",'RESUMEN VIGILANCIA'!AA18)</f>
        <v/>
      </c>
      <c r="AB24" s="101" t="str">
        <f>IF(ISBLANK('RESUMEN VIGILANCIA'!AB18),"",'RESUMEN VIGILANCIA'!AB18)</f>
        <v/>
      </c>
      <c r="AC24" s="116">
        <f t="shared" si="0"/>
        <v>0</v>
      </c>
      <c r="AD24" s="290"/>
      <c r="AE24" s="290"/>
    </row>
    <row r="25" spans="1:31" s="52" customFormat="1" ht="20.100000000000001" customHeight="1" x14ac:dyDescent="0.25">
      <c r="A25" s="60" t="s">
        <v>820</v>
      </c>
      <c r="B25" s="61" t="s">
        <v>821</v>
      </c>
      <c r="C25" s="148"/>
      <c r="D25" s="101" t="str">
        <f>IF(ISBLANK('RESUMEN VIGILANCIA'!D19),"",'RESUMEN VIGILANCIA'!D19)</f>
        <v/>
      </c>
      <c r="E25" s="149" t="str">
        <f>IF(ISBLANK('RESUMEN VIGILANCIA'!E19),"",'RESUMEN VIGILANCIA'!E19)</f>
        <v/>
      </c>
      <c r="F25" s="44" t="str">
        <f>IF(ISBLANK('RESUMEN VIGILANCIA'!F19),"",'RESUMEN VIGILANCIA'!F19)</f>
        <v/>
      </c>
      <c r="G25" s="44" t="str">
        <f>IF(ISBLANK('RESUMEN VIGILANCIA'!G19),"",'RESUMEN VIGILANCIA'!G19)</f>
        <v/>
      </c>
      <c r="H25" s="44" t="str">
        <f>IF(ISBLANK('RESUMEN VIGILANCIA'!H19),"",'RESUMEN VIGILANCIA'!H19)</f>
        <v/>
      </c>
      <c r="I25" s="44" t="str">
        <f>IF(ISBLANK('RESUMEN VIGILANCIA'!I19),"",'RESUMEN VIGILANCIA'!I19)</f>
        <v/>
      </c>
      <c r="J25" s="44" t="str">
        <f>IF(ISBLANK('RESUMEN VIGILANCIA'!J19),"",'RESUMEN VIGILANCIA'!J19)</f>
        <v/>
      </c>
      <c r="K25" s="44" t="str">
        <f>IF(ISBLANK('RESUMEN VIGILANCIA'!K19),"",'RESUMEN VIGILANCIA'!K19)</f>
        <v/>
      </c>
      <c r="L25" s="44" t="str">
        <f>IF(ISBLANK('RESUMEN VIGILANCIA'!L19),"",'RESUMEN VIGILANCIA'!L19)</f>
        <v/>
      </c>
      <c r="M25" s="44" t="str">
        <f>IF(ISBLANK('RESUMEN VIGILANCIA'!M19),"",'RESUMEN VIGILANCIA'!M19)</f>
        <v/>
      </c>
      <c r="N25" s="44" t="str">
        <f>IF(ISBLANK('RESUMEN VIGILANCIA'!N19),"",'RESUMEN VIGILANCIA'!N19)</f>
        <v/>
      </c>
      <c r="O25" s="122" t="str">
        <f>IF(ISBLANK('RESUMEN VIGILANCIA'!O19),"",'RESUMEN VIGILANCIA'!O19)</f>
        <v/>
      </c>
      <c r="P25" s="101" t="str">
        <f>IF(ISBLANK('RESUMEN VIGILANCIA'!P19),"",'RESUMEN VIGILANCIA'!P19)</f>
        <v/>
      </c>
      <c r="Q25" s="129" t="str">
        <f>IF(ISBLANK('RESUMEN VIGILANCIA'!Q19),"",'RESUMEN VIGILANCIA'!Q19)</f>
        <v/>
      </c>
      <c r="R25" s="122" t="str">
        <f>IF(ISBLANK('RESUMEN VIGILANCIA'!R19),"",'RESUMEN VIGILANCIA'!R19)</f>
        <v/>
      </c>
      <c r="S25" s="122" t="str">
        <f>IF(ISBLANK('RESUMEN VIGILANCIA'!S19),"",'RESUMEN VIGILANCIA'!S19)</f>
        <v/>
      </c>
      <c r="T25" s="122" t="str">
        <f>IF(ISBLANK('RESUMEN VIGILANCIA'!T19),"",'RESUMEN VIGILANCIA'!T19)</f>
        <v/>
      </c>
      <c r="U25" s="122" t="str">
        <f>IF(ISBLANK('RESUMEN VIGILANCIA'!U19),"",'RESUMEN VIGILANCIA'!U19)</f>
        <v/>
      </c>
      <c r="V25" s="122" t="str">
        <f>IF(ISBLANK('RESUMEN VIGILANCIA'!V19),"",'RESUMEN VIGILANCIA'!V19)</f>
        <v/>
      </c>
      <c r="W25" s="122" t="str">
        <f>IF(ISBLANK('RESUMEN VIGILANCIA'!W19),"",'RESUMEN VIGILANCIA'!W19)</f>
        <v/>
      </c>
      <c r="X25" s="122" t="str">
        <f>IF(ISBLANK('RESUMEN VIGILANCIA'!X19),"",'RESUMEN VIGILANCIA'!X19)</f>
        <v/>
      </c>
      <c r="Y25" s="122" t="str">
        <f>IF(ISBLANK('RESUMEN VIGILANCIA'!Y19),"",'RESUMEN VIGILANCIA'!Y19)</f>
        <v/>
      </c>
      <c r="Z25" s="122" t="str">
        <f>IF(ISBLANK('RESUMEN VIGILANCIA'!Z19),"",'RESUMEN VIGILANCIA'!Z19)</f>
        <v/>
      </c>
      <c r="AA25" s="122" t="str">
        <f>IF(ISBLANK('RESUMEN VIGILANCIA'!AA19),"",'RESUMEN VIGILANCIA'!AA19)</f>
        <v/>
      </c>
      <c r="AB25" s="101" t="str">
        <f>IF(ISBLANK('RESUMEN VIGILANCIA'!AB19),"",'RESUMEN VIGILANCIA'!AB19)</f>
        <v/>
      </c>
      <c r="AC25" s="116">
        <f t="shared" si="0"/>
        <v>0</v>
      </c>
      <c r="AD25" s="290"/>
      <c r="AE25" s="290"/>
    </row>
    <row r="26" spans="1:31" s="52" customFormat="1" ht="20.100000000000001" customHeight="1" x14ac:dyDescent="0.25">
      <c r="A26" s="60" t="s">
        <v>822</v>
      </c>
      <c r="B26" s="61" t="s">
        <v>823</v>
      </c>
      <c r="C26" s="148"/>
      <c r="D26" s="101" t="str">
        <f>IF(ISBLANK('RESUMEN VIGILANCIA'!D20),"",'RESUMEN VIGILANCIA'!D20)</f>
        <v/>
      </c>
      <c r="E26" s="149" t="str">
        <f>IF(ISBLANK('RESUMEN VIGILANCIA'!E20),"",'RESUMEN VIGILANCIA'!E20)</f>
        <v/>
      </c>
      <c r="F26" s="44" t="str">
        <f>IF(ISBLANK('RESUMEN VIGILANCIA'!F20),"",'RESUMEN VIGILANCIA'!F20)</f>
        <v/>
      </c>
      <c r="G26" s="44" t="str">
        <f>IF(ISBLANK('RESUMEN VIGILANCIA'!G20),"",'RESUMEN VIGILANCIA'!G20)</f>
        <v/>
      </c>
      <c r="H26" s="44" t="str">
        <f>IF(ISBLANK('RESUMEN VIGILANCIA'!H20),"",'RESUMEN VIGILANCIA'!H20)</f>
        <v/>
      </c>
      <c r="I26" s="44" t="str">
        <f>IF(ISBLANK('RESUMEN VIGILANCIA'!I20),"",'RESUMEN VIGILANCIA'!I20)</f>
        <v/>
      </c>
      <c r="J26" s="44" t="str">
        <f>IF(ISBLANK('RESUMEN VIGILANCIA'!J20),"",'RESUMEN VIGILANCIA'!J20)</f>
        <v/>
      </c>
      <c r="K26" s="44" t="str">
        <f>IF(ISBLANK('RESUMEN VIGILANCIA'!K20),"",'RESUMEN VIGILANCIA'!K20)</f>
        <v/>
      </c>
      <c r="L26" s="44" t="str">
        <f>IF(ISBLANK('RESUMEN VIGILANCIA'!L20),"",'RESUMEN VIGILANCIA'!L20)</f>
        <v/>
      </c>
      <c r="M26" s="44" t="str">
        <f>IF(ISBLANK('RESUMEN VIGILANCIA'!M20),"",'RESUMEN VIGILANCIA'!M20)</f>
        <v/>
      </c>
      <c r="N26" s="44" t="str">
        <f>IF(ISBLANK('RESUMEN VIGILANCIA'!N20),"",'RESUMEN VIGILANCIA'!N20)</f>
        <v/>
      </c>
      <c r="O26" s="122" t="str">
        <f>IF(ISBLANK('RESUMEN VIGILANCIA'!O20),"",'RESUMEN VIGILANCIA'!O20)</f>
        <v/>
      </c>
      <c r="P26" s="101" t="str">
        <f>IF(ISBLANK('RESUMEN VIGILANCIA'!P20),"",'RESUMEN VIGILANCIA'!P20)</f>
        <v/>
      </c>
      <c r="Q26" s="129" t="str">
        <f>IF(ISBLANK('RESUMEN VIGILANCIA'!Q20),"",'RESUMEN VIGILANCIA'!Q20)</f>
        <v/>
      </c>
      <c r="R26" s="122" t="str">
        <f>IF(ISBLANK('RESUMEN VIGILANCIA'!R20),"",'RESUMEN VIGILANCIA'!R20)</f>
        <v/>
      </c>
      <c r="S26" s="122" t="str">
        <f>IF(ISBLANK('RESUMEN VIGILANCIA'!S20),"",'RESUMEN VIGILANCIA'!S20)</f>
        <v/>
      </c>
      <c r="T26" s="122" t="str">
        <f>IF(ISBLANK('RESUMEN VIGILANCIA'!T20),"",'RESUMEN VIGILANCIA'!T20)</f>
        <v/>
      </c>
      <c r="U26" s="122" t="str">
        <f>IF(ISBLANK('RESUMEN VIGILANCIA'!U20),"",'RESUMEN VIGILANCIA'!U20)</f>
        <v/>
      </c>
      <c r="V26" s="122" t="str">
        <f>IF(ISBLANK('RESUMEN VIGILANCIA'!V20),"",'RESUMEN VIGILANCIA'!V20)</f>
        <v/>
      </c>
      <c r="W26" s="122" t="str">
        <f>IF(ISBLANK('RESUMEN VIGILANCIA'!W20),"",'RESUMEN VIGILANCIA'!W20)</f>
        <v/>
      </c>
      <c r="X26" s="122" t="str">
        <f>IF(ISBLANK('RESUMEN VIGILANCIA'!X20),"",'RESUMEN VIGILANCIA'!X20)</f>
        <v/>
      </c>
      <c r="Y26" s="122" t="str">
        <f>IF(ISBLANK('RESUMEN VIGILANCIA'!Y20),"",'RESUMEN VIGILANCIA'!Y20)</f>
        <v/>
      </c>
      <c r="Z26" s="122" t="str">
        <f>IF(ISBLANK('RESUMEN VIGILANCIA'!Z20),"",'RESUMEN VIGILANCIA'!Z20)</f>
        <v/>
      </c>
      <c r="AA26" s="122" t="str">
        <f>IF(ISBLANK('RESUMEN VIGILANCIA'!AA20),"",'RESUMEN VIGILANCIA'!AA20)</f>
        <v/>
      </c>
      <c r="AB26" s="101" t="str">
        <f>IF(ISBLANK('RESUMEN VIGILANCIA'!AB20),"",'RESUMEN VIGILANCIA'!AB20)</f>
        <v/>
      </c>
      <c r="AC26" s="116">
        <f t="shared" si="0"/>
        <v>0</v>
      </c>
      <c r="AD26" s="290"/>
      <c r="AE26" s="290"/>
    </row>
    <row r="27" spans="1:31" s="52" customFormat="1" ht="20.100000000000001" customHeight="1" x14ac:dyDescent="0.25">
      <c r="A27" s="60" t="s">
        <v>826</v>
      </c>
      <c r="B27" s="61" t="s">
        <v>827</v>
      </c>
      <c r="C27" s="148"/>
      <c r="D27" s="101" t="str">
        <f>IF(ISBLANK('RESUMEN VIGILANCIA'!D22),"",'RESUMEN VIGILANCIA'!D22)</f>
        <v/>
      </c>
      <c r="E27" s="149" t="str">
        <f>IF(ISBLANK('RESUMEN VIGILANCIA'!E22),"",'RESUMEN VIGILANCIA'!E22)</f>
        <v/>
      </c>
      <c r="F27" s="44" t="str">
        <f>IF(ISBLANK('RESUMEN VIGILANCIA'!F22),"",'RESUMEN VIGILANCIA'!F22)</f>
        <v/>
      </c>
      <c r="G27" s="44" t="str">
        <f>IF(ISBLANK('RESUMEN VIGILANCIA'!G22),"",'RESUMEN VIGILANCIA'!G22)</f>
        <v/>
      </c>
      <c r="H27" s="44" t="str">
        <f>IF(ISBLANK('RESUMEN VIGILANCIA'!H22),"",'RESUMEN VIGILANCIA'!H22)</f>
        <v/>
      </c>
      <c r="I27" s="44" t="str">
        <f>IF(ISBLANK('RESUMEN VIGILANCIA'!I22),"",'RESUMEN VIGILANCIA'!I22)</f>
        <v/>
      </c>
      <c r="J27" s="44" t="str">
        <f>IF(ISBLANK('RESUMEN VIGILANCIA'!J22),"",'RESUMEN VIGILANCIA'!J22)</f>
        <v/>
      </c>
      <c r="K27" s="44" t="str">
        <f>IF(ISBLANK('RESUMEN VIGILANCIA'!K22),"",'RESUMEN VIGILANCIA'!K22)</f>
        <v/>
      </c>
      <c r="L27" s="44" t="str">
        <f>IF(ISBLANK('RESUMEN VIGILANCIA'!L22),"",'RESUMEN VIGILANCIA'!L22)</f>
        <v/>
      </c>
      <c r="M27" s="44" t="str">
        <f>IF(ISBLANK('RESUMEN VIGILANCIA'!M22),"",'RESUMEN VIGILANCIA'!M22)</f>
        <v/>
      </c>
      <c r="N27" s="44" t="str">
        <f>IF(ISBLANK('RESUMEN VIGILANCIA'!N22),"",'RESUMEN VIGILANCIA'!N22)</f>
        <v/>
      </c>
      <c r="O27" s="122" t="str">
        <f>IF(ISBLANK('RESUMEN VIGILANCIA'!O22),"",'RESUMEN VIGILANCIA'!O22)</f>
        <v/>
      </c>
      <c r="P27" s="101" t="str">
        <f>IF(ISBLANK('RESUMEN VIGILANCIA'!P22),"",'RESUMEN VIGILANCIA'!P22)</f>
        <v/>
      </c>
      <c r="Q27" s="129" t="str">
        <f>IF(ISBLANK('RESUMEN VIGILANCIA'!Q22),"",'RESUMEN VIGILANCIA'!Q22)</f>
        <v/>
      </c>
      <c r="R27" s="122" t="str">
        <f>IF(ISBLANK('RESUMEN VIGILANCIA'!R22),"",'RESUMEN VIGILANCIA'!R22)</f>
        <v/>
      </c>
      <c r="S27" s="122" t="str">
        <f>IF(ISBLANK('RESUMEN VIGILANCIA'!S22),"",'RESUMEN VIGILANCIA'!S22)</f>
        <v/>
      </c>
      <c r="T27" s="122" t="str">
        <f>IF(ISBLANK('RESUMEN VIGILANCIA'!T22),"",'RESUMEN VIGILANCIA'!T22)</f>
        <v/>
      </c>
      <c r="U27" s="122" t="str">
        <f>IF(ISBLANK('RESUMEN VIGILANCIA'!U22),"",'RESUMEN VIGILANCIA'!U22)</f>
        <v/>
      </c>
      <c r="V27" s="122" t="str">
        <f>IF(ISBLANK('RESUMEN VIGILANCIA'!V22),"",'RESUMEN VIGILANCIA'!V22)</f>
        <v/>
      </c>
      <c r="W27" s="122" t="str">
        <f>IF(ISBLANK('RESUMEN VIGILANCIA'!W22),"",'RESUMEN VIGILANCIA'!W22)</f>
        <v/>
      </c>
      <c r="X27" s="122" t="str">
        <f>IF(ISBLANK('RESUMEN VIGILANCIA'!X22),"",'RESUMEN VIGILANCIA'!X22)</f>
        <v/>
      </c>
      <c r="Y27" s="122" t="str">
        <f>IF(ISBLANK('RESUMEN VIGILANCIA'!Y22),"",'RESUMEN VIGILANCIA'!Y22)</f>
        <v/>
      </c>
      <c r="Z27" s="122" t="str">
        <f>IF(ISBLANK('RESUMEN VIGILANCIA'!Z22),"",'RESUMEN VIGILANCIA'!Z22)</f>
        <v/>
      </c>
      <c r="AA27" s="122" t="str">
        <f>IF(ISBLANK('RESUMEN VIGILANCIA'!AA22),"",'RESUMEN VIGILANCIA'!AA22)</f>
        <v/>
      </c>
      <c r="AB27" s="101" t="str">
        <f>IF(ISBLANK('RESUMEN VIGILANCIA'!AB22),"",'RESUMEN VIGILANCIA'!AB22)</f>
        <v/>
      </c>
      <c r="AC27" s="116">
        <f t="shared" si="0"/>
        <v>0</v>
      </c>
      <c r="AD27" s="290"/>
      <c r="AE27" s="290"/>
    </row>
    <row r="28" spans="1:31" s="52" customFormat="1" ht="20.100000000000001" customHeight="1" x14ac:dyDescent="0.25">
      <c r="A28" s="60" t="s">
        <v>833</v>
      </c>
      <c r="B28" s="61" t="s">
        <v>834</v>
      </c>
      <c r="C28" s="148"/>
      <c r="D28" s="101" t="str">
        <f>IF(ISBLANK('RESUMEN VIGILANCIA'!D26),"",'RESUMEN VIGILANCIA'!D26)</f>
        <v/>
      </c>
      <c r="E28" s="149" t="str">
        <f>IF(ISBLANK('RESUMEN VIGILANCIA'!E26),"",'RESUMEN VIGILANCIA'!E26)</f>
        <v/>
      </c>
      <c r="F28" s="44" t="str">
        <f>IF(ISBLANK('RESUMEN VIGILANCIA'!F26),"",'RESUMEN VIGILANCIA'!F26)</f>
        <v/>
      </c>
      <c r="G28" s="44" t="str">
        <f>IF(ISBLANK('RESUMEN VIGILANCIA'!G26),"",'RESUMEN VIGILANCIA'!G26)</f>
        <v/>
      </c>
      <c r="H28" s="44" t="str">
        <f>IF(ISBLANK('RESUMEN VIGILANCIA'!H26),"",'RESUMEN VIGILANCIA'!H26)</f>
        <v/>
      </c>
      <c r="I28" s="44" t="str">
        <f>IF(ISBLANK('RESUMEN VIGILANCIA'!I26),"",'RESUMEN VIGILANCIA'!I26)</f>
        <v/>
      </c>
      <c r="J28" s="44" t="str">
        <f>IF(ISBLANK('RESUMEN VIGILANCIA'!J26),"",'RESUMEN VIGILANCIA'!J26)</f>
        <v/>
      </c>
      <c r="K28" s="44" t="str">
        <f>IF(ISBLANK('RESUMEN VIGILANCIA'!K26),"",'RESUMEN VIGILANCIA'!K26)</f>
        <v/>
      </c>
      <c r="L28" s="44" t="str">
        <f>IF(ISBLANK('RESUMEN VIGILANCIA'!L26),"",'RESUMEN VIGILANCIA'!L26)</f>
        <v/>
      </c>
      <c r="M28" s="44" t="str">
        <f>IF(ISBLANK('RESUMEN VIGILANCIA'!M26),"",'RESUMEN VIGILANCIA'!M26)</f>
        <v/>
      </c>
      <c r="N28" s="44" t="str">
        <f>IF(ISBLANK('RESUMEN VIGILANCIA'!N26),"",'RESUMEN VIGILANCIA'!N26)</f>
        <v/>
      </c>
      <c r="O28" s="122" t="str">
        <f>IF(ISBLANK('RESUMEN VIGILANCIA'!O26),"",'RESUMEN VIGILANCIA'!O26)</f>
        <v/>
      </c>
      <c r="P28" s="101" t="str">
        <f>IF(ISBLANK('RESUMEN VIGILANCIA'!P26),"",'RESUMEN VIGILANCIA'!P26)</f>
        <v/>
      </c>
      <c r="Q28" s="129" t="str">
        <f>IF(ISBLANK('RESUMEN VIGILANCIA'!Q26),"",'RESUMEN VIGILANCIA'!Q26)</f>
        <v/>
      </c>
      <c r="R28" s="122" t="str">
        <f>IF(ISBLANK('RESUMEN VIGILANCIA'!R26),"",'RESUMEN VIGILANCIA'!R26)</f>
        <v/>
      </c>
      <c r="S28" s="122" t="str">
        <f>IF(ISBLANK('RESUMEN VIGILANCIA'!S26),"",'RESUMEN VIGILANCIA'!S26)</f>
        <v/>
      </c>
      <c r="T28" s="122" t="str">
        <f>IF(ISBLANK('RESUMEN VIGILANCIA'!T26),"",'RESUMEN VIGILANCIA'!T26)</f>
        <v/>
      </c>
      <c r="U28" s="122" t="str">
        <f>IF(ISBLANK('RESUMEN VIGILANCIA'!U26),"",'RESUMEN VIGILANCIA'!U26)</f>
        <v/>
      </c>
      <c r="V28" s="122" t="str">
        <f>IF(ISBLANK('RESUMEN VIGILANCIA'!V26),"",'RESUMEN VIGILANCIA'!V26)</f>
        <v/>
      </c>
      <c r="W28" s="122" t="str">
        <f>IF(ISBLANK('RESUMEN VIGILANCIA'!W26),"",'RESUMEN VIGILANCIA'!W26)</f>
        <v/>
      </c>
      <c r="X28" s="122" t="str">
        <f>IF(ISBLANK('RESUMEN VIGILANCIA'!X26),"",'RESUMEN VIGILANCIA'!X26)</f>
        <v/>
      </c>
      <c r="Y28" s="122" t="str">
        <f>IF(ISBLANK('RESUMEN VIGILANCIA'!Y26),"",'RESUMEN VIGILANCIA'!Y26)</f>
        <v/>
      </c>
      <c r="Z28" s="122" t="str">
        <f>IF(ISBLANK('RESUMEN VIGILANCIA'!Z26),"",'RESUMEN VIGILANCIA'!Z26)</f>
        <v/>
      </c>
      <c r="AA28" s="122" t="str">
        <f>IF(ISBLANK('RESUMEN VIGILANCIA'!AA26),"",'RESUMEN VIGILANCIA'!AA26)</f>
        <v/>
      </c>
      <c r="AB28" s="101" t="str">
        <f>IF(ISBLANK('RESUMEN VIGILANCIA'!AB26),"",'RESUMEN VIGILANCIA'!AB26)</f>
        <v/>
      </c>
      <c r="AC28" s="116">
        <f t="shared" si="0"/>
        <v>0</v>
      </c>
      <c r="AD28" s="290"/>
      <c r="AE28" s="290"/>
    </row>
    <row r="29" spans="1:31" s="52" customFormat="1" ht="20.100000000000001" customHeight="1" x14ac:dyDescent="0.25">
      <c r="A29" s="60" t="s">
        <v>465</v>
      </c>
      <c r="B29" s="61" t="s">
        <v>832</v>
      </c>
      <c r="C29" s="148"/>
      <c r="D29" s="101" t="str">
        <f>IF(ISBLANK('RESUMEN VIGILANCIA'!D25),"",'RESUMEN VIGILANCIA'!D25)</f>
        <v/>
      </c>
      <c r="E29" s="149" t="str">
        <f>IF(ISBLANK('RESUMEN VIGILANCIA'!E25),"",'RESUMEN VIGILANCIA'!E25)</f>
        <v/>
      </c>
      <c r="F29" s="44" t="str">
        <f>IF(ISBLANK('RESUMEN VIGILANCIA'!F25),"",'RESUMEN VIGILANCIA'!F25)</f>
        <v/>
      </c>
      <c r="G29" s="44" t="str">
        <f>IF(ISBLANK('RESUMEN VIGILANCIA'!G25),"",'RESUMEN VIGILANCIA'!G25)</f>
        <v/>
      </c>
      <c r="H29" s="44" t="str">
        <f>IF(ISBLANK('RESUMEN VIGILANCIA'!H25),"",'RESUMEN VIGILANCIA'!H25)</f>
        <v/>
      </c>
      <c r="I29" s="44" t="str">
        <f>IF(ISBLANK('RESUMEN VIGILANCIA'!I25),"",'RESUMEN VIGILANCIA'!I25)</f>
        <v/>
      </c>
      <c r="J29" s="44" t="str">
        <f>IF(ISBLANK('RESUMEN VIGILANCIA'!J25),"",'RESUMEN VIGILANCIA'!J25)</f>
        <v/>
      </c>
      <c r="K29" s="44" t="str">
        <f>IF(ISBLANK('RESUMEN VIGILANCIA'!K25),"",'RESUMEN VIGILANCIA'!K25)</f>
        <v/>
      </c>
      <c r="L29" s="44" t="str">
        <f>IF(ISBLANK('RESUMEN VIGILANCIA'!L25),"",'RESUMEN VIGILANCIA'!L25)</f>
        <v/>
      </c>
      <c r="M29" s="44" t="str">
        <f>IF(ISBLANK('RESUMEN VIGILANCIA'!M25),"",'RESUMEN VIGILANCIA'!M25)</f>
        <v/>
      </c>
      <c r="N29" s="44" t="str">
        <f>IF(ISBLANK('RESUMEN VIGILANCIA'!N25),"",'RESUMEN VIGILANCIA'!N25)</f>
        <v/>
      </c>
      <c r="O29" s="122" t="str">
        <f>IF(ISBLANK('RESUMEN VIGILANCIA'!O25),"",'RESUMEN VIGILANCIA'!O25)</f>
        <v/>
      </c>
      <c r="P29" s="101" t="str">
        <f>IF(ISBLANK('RESUMEN VIGILANCIA'!P25),"",'RESUMEN VIGILANCIA'!P25)</f>
        <v/>
      </c>
      <c r="Q29" s="129" t="str">
        <f>IF(ISBLANK('RESUMEN VIGILANCIA'!Q25),"",'RESUMEN VIGILANCIA'!Q25)</f>
        <v/>
      </c>
      <c r="R29" s="122" t="str">
        <f>IF(ISBLANK('RESUMEN VIGILANCIA'!R25),"",'RESUMEN VIGILANCIA'!R25)</f>
        <v/>
      </c>
      <c r="S29" s="122" t="str">
        <f>IF(ISBLANK('RESUMEN VIGILANCIA'!S25),"",'RESUMEN VIGILANCIA'!S25)</f>
        <v/>
      </c>
      <c r="T29" s="122" t="str">
        <f>IF(ISBLANK('RESUMEN VIGILANCIA'!T25),"",'RESUMEN VIGILANCIA'!T25)</f>
        <v/>
      </c>
      <c r="U29" s="122" t="str">
        <f>IF(ISBLANK('RESUMEN VIGILANCIA'!U25),"",'RESUMEN VIGILANCIA'!U25)</f>
        <v/>
      </c>
      <c r="V29" s="122" t="str">
        <f>IF(ISBLANK('RESUMEN VIGILANCIA'!V25),"",'RESUMEN VIGILANCIA'!V25)</f>
        <v/>
      </c>
      <c r="W29" s="122" t="str">
        <f>IF(ISBLANK('RESUMEN VIGILANCIA'!W25),"",'RESUMEN VIGILANCIA'!W25)</f>
        <v/>
      </c>
      <c r="X29" s="122" t="str">
        <f>IF(ISBLANK('RESUMEN VIGILANCIA'!X25),"",'RESUMEN VIGILANCIA'!X25)</f>
        <v/>
      </c>
      <c r="Y29" s="122" t="str">
        <f>IF(ISBLANK('RESUMEN VIGILANCIA'!Y25),"",'RESUMEN VIGILANCIA'!Y25)</f>
        <v/>
      </c>
      <c r="Z29" s="122" t="str">
        <f>IF(ISBLANK('RESUMEN VIGILANCIA'!Z25),"",'RESUMEN VIGILANCIA'!Z25)</f>
        <v/>
      </c>
      <c r="AA29" s="122" t="str">
        <f>IF(ISBLANK('RESUMEN VIGILANCIA'!AA25),"",'RESUMEN VIGILANCIA'!AA25)</f>
        <v/>
      </c>
      <c r="AB29" s="101" t="str">
        <f>IF(ISBLANK('RESUMEN VIGILANCIA'!AB25),"",'RESUMEN VIGILANCIA'!AB25)</f>
        <v/>
      </c>
      <c r="AC29" s="116">
        <f t="shared" si="0"/>
        <v>0</v>
      </c>
      <c r="AD29" s="290"/>
      <c r="AE29" s="290"/>
    </row>
    <row r="30" spans="1:31" s="52" customFormat="1" ht="20.100000000000001" customHeight="1" x14ac:dyDescent="0.25">
      <c r="A30" s="60" t="s">
        <v>830</v>
      </c>
      <c r="B30" s="61" t="s">
        <v>831</v>
      </c>
      <c r="C30" s="148"/>
      <c r="D30" s="101" t="str">
        <f>IF(ISBLANK('RESUMEN VIGILANCIA'!D24),"",'RESUMEN VIGILANCIA'!D24)</f>
        <v/>
      </c>
      <c r="E30" s="149" t="str">
        <f>IF(ISBLANK('RESUMEN VIGILANCIA'!E24),"",'RESUMEN VIGILANCIA'!E24)</f>
        <v/>
      </c>
      <c r="F30" s="44" t="str">
        <f>IF(ISBLANK('RESUMEN VIGILANCIA'!F24),"",'RESUMEN VIGILANCIA'!F24)</f>
        <v/>
      </c>
      <c r="G30" s="44" t="str">
        <f>IF(ISBLANK('RESUMEN VIGILANCIA'!G24),"",'RESUMEN VIGILANCIA'!G24)</f>
        <v/>
      </c>
      <c r="H30" s="44" t="str">
        <f>IF(ISBLANK('RESUMEN VIGILANCIA'!H24),"",'RESUMEN VIGILANCIA'!H24)</f>
        <v/>
      </c>
      <c r="I30" s="44" t="str">
        <f>IF(ISBLANK('RESUMEN VIGILANCIA'!I24),"",'RESUMEN VIGILANCIA'!I24)</f>
        <v/>
      </c>
      <c r="J30" s="44" t="str">
        <f>IF(ISBLANK('RESUMEN VIGILANCIA'!J24),"",'RESUMEN VIGILANCIA'!J24)</f>
        <v/>
      </c>
      <c r="K30" s="44" t="str">
        <f>IF(ISBLANK('RESUMEN VIGILANCIA'!K24),"",'RESUMEN VIGILANCIA'!K24)</f>
        <v/>
      </c>
      <c r="L30" s="44" t="str">
        <f>IF(ISBLANK('RESUMEN VIGILANCIA'!L24),"",'RESUMEN VIGILANCIA'!L24)</f>
        <v/>
      </c>
      <c r="M30" s="44" t="str">
        <f>IF(ISBLANK('RESUMEN VIGILANCIA'!M24),"",'RESUMEN VIGILANCIA'!M24)</f>
        <v/>
      </c>
      <c r="N30" s="44" t="str">
        <f>IF(ISBLANK('RESUMEN VIGILANCIA'!N24),"",'RESUMEN VIGILANCIA'!N24)</f>
        <v/>
      </c>
      <c r="O30" s="122" t="str">
        <f>IF(ISBLANK('RESUMEN VIGILANCIA'!O24),"",'RESUMEN VIGILANCIA'!O24)</f>
        <v/>
      </c>
      <c r="P30" s="101" t="str">
        <f>IF(ISBLANK('RESUMEN VIGILANCIA'!P24),"",'RESUMEN VIGILANCIA'!P24)</f>
        <v/>
      </c>
      <c r="Q30" s="129" t="str">
        <f>IF(ISBLANK('RESUMEN VIGILANCIA'!Q24),"",'RESUMEN VIGILANCIA'!Q24)</f>
        <v/>
      </c>
      <c r="R30" s="122" t="str">
        <f>IF(ISBLANK('RESUMEN VIGILANCIA'!R24),"",'RESUMEN VIGILANCIA'!R24)</f>
        <v/>
      </c>
      <c r="S30" s="122" t="str">
        <f>IF(ISBLANK('RESUMEN VIGILANCIA'!S24),"",'RESUMEN VIGILANCIA'!S24)</f>
        <v/>
      </c>
      <c r="T30" s="122" t="str">
        <f>IF(ISBLANK('RESUMEN VIGILANCIA'!T24),"",'RESUMEN VIGILANCIA'!T24)</f>
        <v/>
      </c>
      <c r="U30" s="122" t="str">
        <f>IF(ISBLANK('RESUMEN VIGILANCIA'!U24),"",'RESUMEN VIGILANCIA'!U24)</f>
        <v/>
      </c>
      <c r="V30" s="122" t="str">
        <f>IF(ISBLANK('RESUMEN VIGILANCIA'!V24),"",'RESUMEN VIGILANCIA'!V24)</f>
        <v/>
      </c>
      <c r="W30" s="122" t="str">
        <f>IF(ISBLANK('RESUMEN VIGILANCIA'!W24),"",'RESUMEN VIGILANCIA'!W24)</f>
        <v/>
      </c>
      <c r="X30" s="122" t="str">
        <f>IF(ISBLANK('RESUMEN VIGILANCIA'!X24),"",'RESUMEN VIGILANCIA'!X24)</f>
        <v/>
      </c>
      <c r="Y30" s="122" t="str">
        <f>IF(ISBLANK('RESUMEN VIGILANCIA'!Y24),"",'RESUMEN VIGILANCIA'!Y24)</f>
        <v/>
      </c>
      <c r="Z30" s="122" t="str">
        <f>IF(ISBLANK('RESUMEN VIGILANCIA'!Z24),"",'RESUMEN VIGILANCIA'!Z24)</f>
        <v/>
      </c>
      <c r="AA30" s="122" t="str">
        <f>IF(ISBLANK('RESUMEN VIGILANCIA'!AA24),"",'RESUMEN VIGILANCIA'!AA24)</f>
        <v/>
      </c>
      <c r="AB30" s="101" t="str">
        <f>IF(ISBLANK('RESUMEN VIGILANCIA'!AB24),"",'RESUMEN VIGILANCIA'!AB24)</f>
        <v/>
      </c>
      <c r="AC30" s="116">
        <f t="shared" si="0"/>
        <v>0</v>
      </c>
      <c r="AD30" s="290"/>
      <c r="AE30" s="290"/>
    </row>
    <row r="31" spans="1:31" s="52" customFormat="1" ht="20.100000000000001" customHeight="1" x14ac:dyDescent="0.25">
      <c r="A31" s="56" t="s">
        <v>28</v>
      </c>
      <c r="B31" s="57" t="s">
        <v>30</v>
      </c>
      <c r="C31" s="150" t="s">
        <v>938</v>
      </c>
      <c r="D31" s="100" t="str">
        <f>IF(ISBLANK('RESUMEN VIGILANCIA'!D33),"",'RESUMEN VIGILANCIA'!D33)</f>
        <v/>
      </c>
      <c r="E31" s="151">
        <f>IF(ISBLANK('RESUMEN VIGILANCIA'!E33),"",'RESUMEN VIGILANCIA'!E33)</f>
        <v>14500</v>
      </c>
      <c r="F31" s="43">
        <f>IF(ISBLANK('RESUMEN VIGILANCIA'!F33),"",'RESUMEN VIGILANCIA'!F33)</f>
        <v>10500</v>
      </c>
      <c r="G31" s="43">
        <f>IF(ISBLANK('RESUMEN VIGILANCIA'!G33),"",'RESUMEN VIGILANCIA'!G33)</f>
        <v>10500</v>
      </c>
      <c r="H31" s="43">
        <f>IF(ISBLANK('RESUMEN VIGILANCIA'!H33),"",'RESUMEN VIGILANCIA'!H33)</f>
        <v>10500</v>
      </c>
      <c r="I31" s="43">
        <f>IF(ISBLANK('RESUMEN VIGILANCIA'!I33),"",'RESUMEN VIGILANCIA'!I33)</f>
        <v>20000</v>
      </c>
      <c r="J31" s="43">
        <f>IF(ISBLANK('RESUMEN VIGILANCIA'!J33),"",'RESUMEN VIGILANCIA'!J33)</f>
        <v>20000</v>
      </c>
      <c r="K31" s="43">
        <f>IF(ISBLANK('RESUMEN VIGILANCIA'!K33),"",'RESUMEN VIGILANCIA'!K33)</f>
        <v>25000</v>
      </c>
      <c r="L31" s="43">
        <f>IF(ISBLANK('RESUMEN VIGILANCIA'!L33),"",'RESUMEN VIGILANCIA'!L33)</f>
        <v>20000</v>
      </c>
      <c r="M31" s="43">
        <f>IF(ISBLANK('RESUMEN VIGILANCIA'!M33),"",'RESUMEN VIGILANCIA'!M33)</f>
        <v>20000</v>
      </c>
      <c r="N31" s="43">
        <f>IF(ISBLANK('RESUMEN VIGILANCIA'!N33),"",'RESUMEN VIGILANCIA'!N33)</f>
        <v>20000</v>
      </c>
      <c r="O31" s="123">
        <f>IF(ISBLANK('RESUMEN VIGILANCIA'!O33),"",'RESUMEN VIGILANCIA'!O33)</f>
        <v>32000</v>
      </c>
      <c r="P31" s="100">
        <f>IF(ISBLANK('RESUMEN VIGILANCIA'!P33),"",'RESUMEN VIGILANCIA'!P33)</f>
        <v>30000</v>
      </c>
      <c r="Q31" s="130">
        <f>IF(ISBLANK('RESUMEN VIGILANCIA'!Q33),"",'RESUMEN VIGILANCIA'!Q33)</f>
        <v>50000</v>
      </c>
      <c r="R31" s="123">
        <f>IF(ISBLANK('RESUMEN VIGILANCIA'!R33),"",'RESUMEN VIGILANCIA'!R33)</f>
        <v>50000</v>
      </c>
      <c r="S31" s="123">
        <f>IF(ISBLANK('RESUMEN VIGILANCIA'!S33),"",'RESUMEN VIGILANCIA'!S33)</f>
        <v>100000</v>
      </c>
      <c r="T31" s="123">
        <f>IF(ISBLANK('RESUMEN VIGILANCIA'!T33),"",'RESUMEN VIGILANCIA'!T33)</f>
        <v>100000</v>
      </c>
      <c r="U31" s="123">
        <f>IF(ISBLANK('RESUMEN VIGILANCIA'!U33),"",'RESUMEN VIGILANCIA'!U33)</f>
        <v>200000</v>
      </c>
      <c r="V31" s="123">
        <f>IF(ISBLANK('RESUMEN VIGILANCIA'!V33),"",'RESUMEN VIGILANCIA'!V33)</f>
        <v>600000</v>
      </c>
      <c r="W31" s="123">
        <f>IF(ISBLANK('RESUMEN VIGILANCIA'!W33),"",'RESUMEN VIGILANCIA'!W33)</f>
        <v>600000</v>
      </c>
      <c r="X31" s="123" t="str">
        <f>IF(ISBLANK('RESUMEN VIGILANCIA'!X33),"",'RESUMEN VIGILANCIA'!X33)</f>
        <v/>
      </c>
      <c r="Y31" s="123" t="str">
        <f>IF(ISBLANK('RESUMEN VIGILANCIA'!Y33),"",'RESUMEN VIGILANCIA'!Y33)</f>
        <v/>
      </c>
      <c r="Z31" s="123" t="str">
        <f>IF(ISBLANK('RESUMEN VIGILANCIA'!Z33),"",'RESUMEN VIGILANCIA'!Z33)</f>
        <v/>
      </c>
      <c r="AA31" s="123" t="str">
        <f>IF(ISBLANK('RESUMEN VIGILANCIA'!AA33),"",'RESUMEN VIGILANCIA'!AA33)</f>
        <v/>
      </c>
      <c r="AB31" s="100" t="str">
        <f>IF(ISBLANK('RESUMEN VIGILANCIA'!AB33),"",'RESUMEN VIGILANCIA'!AB33)</f>
        <v/>
      </c>
      <c r="AC31" s="114">
        <f t="shared" si="0"/>
        <v>1933000</v>
      </c>
      <c r="AD31" s="291"/>
      <c r="AE31" s="291"/>
    </row>
    <row r="32" spans="1:31" s="52" customFormat="1" ht="20.100000000000001" customHeight="1" x14ac:dyDescent="0.25">
      <c r="A32" s="56" t="s">
        <v>118</v>
      </c>
      <c r="B32" s="57" t="s">
        <v>120</v>
      </c>
      <c r="C32" s="150" t="s">
        <v>938</v>
      </c>
      <c r="D32" s="100" t="str">
        <f>IF(ISBLANK('RESUMEN VIGILANCIA'!D34),"",'RESUMEN VIGILANCIA'!D34)</f>
        <v/>
      </c>
      <c r="E32" s="151">
        <f>IF(ISBLANK('RESUMEN VIGILANCIA'!E34),"",'RESUMEN VIGILANCIA'!E34)</f>
        <v>10000</v>
      </c>
      <c r="F32" s="43">
        <f>IF(ISBLANK('RESUMEN VIGILANCIA'!F34),"",'RESUMEN VIGILANCIA'!F34)</f>
        <v>10000</v>
      </c>
      <c r="G32" s="43">
        <f>IF(ISBLANK('RESUMEN VIGILANCIA'!G34),"",'RESUMEN VIGILANCIA'!G34)</f>
        <v>10000</v>
      </c>
      <c r="H32" s="43">
        <f>IF(ISBLANK('RESUMEN VIGILANCIA'!H34),"",'RESUMEN VIGILANCIA'!H34)</f>
        <v>10000</v>
      </c>
      <c r="I32" s="43">
        <f>IF(ISBLANK('RESUMEN VIGILANCIA'!I34),"",'RESUMEN VIGILANCIA'!I34)</f>
        <v>20000</v>
      </c>
      <c r="J32" s="43">
        <f>IF(ISBLANK('RESUMEN VIGILANCIA'!J34),"",'RESUMEN VIGILANCIA'!J34)</f>
        <v>20000</v>
      </c>
      <c r="K32" s="43">
        <f>IF(ISBLANK('RESUMEN VIGILANCIA'!K34),"",'RESUMEN VIGILANCIA'!K34)</f>
        <v>20000</v>
      </c>
      <c r="L32" s="43">
        <f>IF(ISBLANK('RESUMEN VIGILANCIA'!L34),"",'RESUMEN VIGILANCIA'!L34)</f>
        <v>20000</v>
      </c>
      <c r="M32" s="43">
        <f>IF(ISBLANK('RESUMEN VIGILANCIA'!M34),"",'RESUMEN VIGILANCIA'!M34)</f>
        <v>20000</v>
      </c>
      <c r="N32" s="43">
        <f>IF(ISBLANK('RESUMEN VIGILANCIA'!N34),"",'RESUMEN VIGILANCIA'!N34)</f>
        <v>20000</v>
      </c>
      <c r="O32" s="123">
        <f>IF(ISBLANK('RESUMEN VIGILANCIA'!O34),"",'RESUMEN VIGILANCIA'!O34)</f>
        <v>15000</v>
      </c>
      <c r="P32" s="100">
        <f>IF(ISBLANK('RESUMEN VIGILANCIA'!P34),"",'RESUMEN VIGILANCIA'!P34)</f>
        <v>45000</v>
      </c>
      <c r="Q32" s="130">
        <f>IF(ISBLANK('RESUMEN VIGILANCIA'!Q34),"",'RESUMEN VIGILANCIA'!Q34)</f>
        <v>50000</v>
      </c>
      <c r="R32" s="123">
        <f>IF(ISBLANK('RESUMEN VIGILANCIA'!R34),"",'RESUMEN VIGILANCIA'!R34)</f>
        <v>80000</v>
      </c>
      <c r="S32" s="123">
        <f>IF(ISBLANK('RESUMEN VIGILANCIA'!S34),"",'RESUMEN VIGILANCIA'!S34)</f>
        <v>100000</v>
      </c>
      <c r="T32" s="123">
        <f>IF(ISBLANK('RESUMEN VIGILANCIA'!T34),"",'RESUMEN VIGILANCIA'!T34)</f>
        <v>100000</v>
      </c>
      <c r="U32" s="123">
        <f>IF(ISBLANK('RESUMEN VIGILANCIA'!U34),"",'RESUMEN VIGILANCIA'!U34)</f>
        <v>250000</v>
      </c>
      <c r="V32" s="123">
        <f>IF(ISBLANK('RESUMEN VIGILANCIA'!V34),"",'RESUMEN VIGILANCIA'!V34)</f>
        <v>400000</v>
      </c>
      <c r="W32" s="123">
        <f>IF(ISBLANK('RESUMEN VIGILANCIA'!W34),"",'RESUMEN VIGILANCIA'!W34)</f>
        <v>1000000</v>
      </c>
      <c r="X32" s="123" t="str">
        <f>IF(ISBLANK('RESUMEN VIGILANCIA'!X34),"",'RESUMEN VIGILANCIA'!X34)</f>
        <v/>
      </c>
      <c r="Y32" s="123" t="str">
        <f>IF(ISBLANK('RESUMEN VIGILANCIA'!Y34),"",'RESUMEN VIGILANCIA'!Y34)</f>
        <v/>
      </c>
      <c r="Z32" s="123" t="str">
        <f>IF(ISBLANK('RESUMEN VIGILANCIA'!Z34),"",'RESUMEN VIGILANCIA'!Z34)</f>
        <v/>
      </c>
      <c r="AA32" s="123" t="str">
        <f>IF(ISBLANK('RESUMEN VIGILANCIA'!AA34),"",'RESUMEN VIGILANCIA'!AA34)</f>
        <v/>
      </c>
      <c r="AB32" s="100" t="str">
        <f>IF(ISBLANK('RESUMEN VIGILANCIA'!AB34),"",'RESUMEN VIGILANCIA'!AB34)</f>
        <v/>
      </c>
      <c r="AC32" s="114">
        <f t="shared" si="0"/>
        <v>2200000</v>
      </c>
      <c r="AD32" s="291"/>
      <c r="AE32" s="291"/>
    </row>
    <row r="33" spans="1:31" s="52" customFormat="1" ht="20.100000000000001" customHeight="1" x14ac:dyDescent="0.25">
      <c r="A33" s="53" t="s">
        <v>354</v>
      </c>
      <c r="B33" s="54" t="s">
        <v>356</v>
      </c>
      <c r="C33" s="152" t="s">
        <v>940</v>
      </c>
      <c r="D33" s="99" t="str">
        <f>IF(ISBLANK('RESUMEN VIGILANCIA'!D35),"",'RESUMEN VIGILANCIA'!D35)</f>
        <v/>
      </c>
      <c r="E33" s="153">
        <f>IF(ISBLANK('RESUMEN VIGILANCIA'!E35),"",'RESUMEN VIGILANCIA'!E35)</f>
        <v>17000</v>
      </c>
      <c r="F33" s="41">
        <f>IF(ISBLANK('RESUMEN VIGILANCIA'!F35),"",'RESUMEN VIGILANCIA'!F35)</f>
        <v>17000</v>
      </c>
      <c r="G33" s="41">
        <f>IF(ISBLANK('RESUMEN VIGILANCIA'!G35),"",'RESUMEN VIGILANCIA'!G35)</f>
        <v>17000</v>
      </c>
      <c r="H33" s="41">
        <f>IF(ISBLANK('RESUMEN VIGILANCIA'!H35),"",'RESUMEN VIGILANCIA'!H35)</f>
        <v>17000</v>
      </c>
      <c r="I33" s="41">
        <f>IF(ISBLANK('RESUMEN VIGILANCIA'!I35),"",'RESUMEN VIGILANCIA'!I35)</f>
        <v>26000</v>
      </c>
      <c r="J33" s="41">
        <f>IF(ISBLANK('RESUMEN VIGILANCIA'!J35),"",'RESUMEN VIGILANCIA'!J35)</f>
        <v>26000</v>
      </c>
      <c r="K33" s="43">
        <f>IF(ISBLANK('RESUMEN VIGILANCIA'!K35),"",'RESUMEN VIGILANCIA'!K35)</f>
        <v>30000</v>
      </c>
      <c r="L33" s="43">
        <f>IF(ISBLANK('RESUMEN VIGILANCIA'!L35),"",'RESUMEN VIGILANCIA'!L35)</f>
        <v>30000</v>
      </c>
      <c r="M33" s="41">
        <f>IF(ISBLANK('RESUMEN VIGILANCIA'!M35),"",'RESUMEN VIGILANCIA'!M35)</f>
        <v>35000</v>
      </c>
      <c r="N33" s="41">
        <f>IF(ISBLANK('RESUMEN VIGILANCIA'!N35),"",'RESUMEN VIGILANCIA'!N35)</f>
        <v>35000</v>
      </c>
      <c r="O33" s="124">
        <f>IF(ISBLANK('RESUMEN VIGILANCIA'!O35),"",'RESUMEN VIGILANCIA'!O35)</f>
        <v>50000</v>
      </c>
      <c r="P33" s="99">
        <f>IF(ISBLANK('RESUMEN VIGILANCIA'!P35),"",'RESUMEN VIGILANCIA'!P35)</f>
        <v>50000</v>
      </c>
      <c r="Q33" s="128">
        <f>IF(ISBLANK('RESUMEN VIGILANCIA'!Q35),"",'RESUMEN VIGILANCIA'!Q35)</f>
        <v>80000</v>
      </c>
      <c r="R33" s="124">
        <f>IF(ISBLANK('RESUMEN VIGILANCIA'!R35),"",'RESUMEN VIGILANCIA'!R35)</f>
        <v>80000</v>
      </c>
      <c r="S33" s="124">
        <f>IF(ISBLANK('RESUMEN VIGILANCIA'!S35),"",'RESUMEN VIGILANCIA'!S35)</f>
        <v>140000</v>
      </c>
      <c r="T33" s="124">
        <f>IF(ISBLANK('RESUMEN VIGILANCIA'!T35),"",'RESUMEN VIGILANCIA'!T35)</f>
        <v>140000</v>
      </c>
      <c r="U33" s="124">
        <f>IF(ISBLANK('RESUMEN VIGILANCIA'!U35),"",'RESUMEN VIGILANCIA'!U35)</f>
        <v>400000</v>
      </c>
      <c r="V33" s="124">
        <f>IF(ISBLANK('RESUMEN VIGILANCIA'!V35),"",'RESUMEN VIGILANCIA'!V35)</f>
        <v>625000</v>
      </c>
      <c r="W33" s="391">
        <f>IF(ISBLANK('RESUMEN VIGILANCIA'!W35),"",'RESUMEN VIGILANCIA'!W35)</f>
        <v>850000</v>
      </c>
      <c r="X33" s="124">
        <f>IF(ISBLANK('RESUMEN VIGILANCIA'!X35),"",'RESUMEN VIGILANCIA'!X35)</f>
        <v>850000</v>
      </c>
      <c r="Y33" s="124" t="str">
        <f>IF(ISBLANK('RESUMEN VIGILANCIA'!Y35),"",'RESUMEN VIGILANCIA'!Y35)</f>
        <v/>
      </c>
      <c r="Z33" s="124" t="str">
        <f>IF(ISBLANK('RESUMEN VIGILANCIA'!Z35),"",'RESUMEN VIGILANCIA'!Z35)</f>
        <v/>
      </c>
      <c r="AA33" s="124" t="str">
        <f>IF(ISBLANK('RESUMEN VIGILANCIA'!AA35),"",'RESUMEN VIGILANCIA'!AA35)</f>
        <v/>
      </c>
      <c r="AB33" s="99" t="str">
        <f>IF(ISBLANK('RESUMEN VIGILANCIA'!AB35),"",'RESUMEN VIGILANCIA'!AB35)</f>
        <v/>
      </c>
      <c r="AC33" s="115">
        <f t="shared" si="0"/>
        <v>3515000</v>
      </c>
      <c r="AD33" s="292"/>
      <c r="AE33" s="292"/>
    </row>
    <row r="34" spans="1:31" s="52" customFormat="1" ht="20.100000000000001" customHeight="1" x14ac:dyDescent="0.25">
      <c r="A34" s="53" t="s">
        <v>324</v>
      </c>
      <c r="B34" s="54" t="s">
        <v>326</v>
      </c>
      <c r="C34" s="152" t="s">
        <v>940</v>
      </c>
      <c r="D34" s="99" t="str">
        <f>IF(ISBLANK('RESUMEN VIGILANCIA'!D37),"",'RESUMEN VIGILANCIA'!D37)</f>
        <v/>
      </c>
      <c r="E34" s="154">
        <f>IF(ISBLANK('RESUMEN VIGILANCIA'!E37),"",'RESUMEN VIGILANCIA'!E37)</f>
        <v>10500</v>
      </c>
      <c r="F34" s="42">
        <f>IF(ISBLANK('RESUMEN VIGILANCIA'!F37),"",'RESUMEN VIGILANCIA'!F37)</f>
        <v>16000</v>
      </c>
      <c r="G34" s="42">
        <f>IF(ISBLANK('RESUMEN VIGILANCIA'!G37),"",'RESUMEN VIGILANCIA'!G37)</f>
        <v>16000</v>
      </c>
      <c r="H34" s="42">
        <f>IF(ISBLANK('RESUMEN VIGILANCIA'!H37),"",'RESUMEN VIGILANCIA'!H37)</f>
        <v>17100</v>
      </c>
      <c r="I34" s="41">
        <f>IF(ISBLANK('RESUMEN VIGILANCIA'!I37),"",'RESUMEN VIGILANCIA'!I37)</f>
        <v>26000</v>
      </c>
      <c r="J34" s="41">
        <f>IF(ISBLANK('RESUMEN VIGILANCIA'!J37),"",'RESUMEN VIGILANCIA'!J37)</f>
        <v>26000</v>
      </c>
      <c r="K34" s="41">
        <f>IF(ISBLANK('RESUMEN VIGILANCIA'!K37),"",'RESUMEN VIGILANCIA'!K37)</f>
        <v>30000</v>
      </c>
      <c r="L34" s="41">
        <f>IF(ISBLANK('RESUMEN VIGILANCIA'!L37),"",'RESUMEN VIGILANCIA'!L37)</f>
        <v>30000</v>
      </c>
      <c r="M34" s="41">
        <f>IF(ISBLANK('RESUMEN VIGILANCIA'!M37),"",'RESUMEN VIGILANCIA'!M37)</f>
        <v>35000</v>
      </c>
      <c r="N34" s="41">
        <f>IF(ISBLANK('RESUMEN VIGILANCIA'!N37),"",'RESUMEN VIGILANCIA'!N37)</f>
        <v>35000</v>
      </c>
      <c r="O34" s="124">
        <f>IF(ISBLANK('RESUMEN VIGILANCIA'!O37),"",'RESUMEN VIGILANCIA'!O37)</f>
        <v>50000</v>
      </c>
      <c r="P34" s="99">
        <f>IF(ISBLANK('RESUMEN VIGILANCIA'!P37),"",'RESUMEN VIGILANCIA'!P37)</f>
        <v>50000</v>
      </c>
      <c r="Q34" s="128">
        <f>IF(ISBLANK('RESUMEN VIGILANCIA'!Q37),"",'RESUMEN VIGILANCIA'!Q37)</f>
        <v>80000</v>
      </c>
      <c r="R34" s="124">
        <f>IF(ISBLANK('RESUMEN VIGILANCIA'!R37),"",'RESUMEN VIGILANCIA'!R37)</f>
        <v>80000</v>
      </c>
      <c r="S34" s="124">
        <f>IF(ISBLANK('RESUMEN VIGILANCIA'!S37),"",'RESUMEN VIGILANCIA'!S37)</f>
        <v>140000</v>
      </c>
      <c r="T34" s="124">
        <f>IF(ISBLANK('RESUMEN VIGILANCIA'!T37),"",'RESUMEN VIGILANCIA'!T37)</f>
        <v>140000</v>
      </c>
      <c r="U34" s="124">
        <f>IF(ISBLANK('RESUMEN VIGILANCIA'!U37),"",'RESUMEN VIGILANCIA'!U37)</f>
        <v>400000</v>
      </c>
      <c r="V34" s="124">
        <f>IF(ISBLANK('RESUMEN VIGILANCIA'!V37),"",'RESUMEN VIGILANCIA'!V37)</f>
        <v>625000</v>
      </c>
      <c r="W34" s="124">
        <f>IF(ISBLANK('RESUMEN VIGILANCIA'!W37),"",'RESUMEN VIGILANCIA'!W37)</f>
        <v>1000000</v>
      </c>
      <c r="X34" s="124" t="str">
        <f>IF(ISBLANK('RESUMEN VIGILANCIA'!X37),"",'RESUMEN VIGILANCIA'!X37)</f>
        <v/>
      </c>
      <c r="Y34" s="124" t="str">
        <f>IF(ISBLANK('RESUMEN VIGILANCIA'!Y37),"",'RESUMEN VIGILANCIA'!Y37)</f>
        <v/>
      </c>
      <c r="Z34" s="124" t="str">
        <f>IF(ISBLANK('RESUMEN VIGILANCIA'!Z37),"",'RESUMEN VIGILANCIA'!Z37)</f>
        <v/>
      </c>
      <c r="AA34" s="124" t="str">
        <f>IF(ISBLANK('RESUMEN VIGILANCIA'!AA37),"",'RESUMEN VIGILANCIA'!AA37)</f>
        <v/>
      </c>
      <c r="AB34" s="99" t="str">
        <f>IF(ISBLANK('RESUMEN VIGILANCIA'!AB37),"",'RESUMEN VIGILANCIA'!AB37)</f>
        <v/>
      </c>
      <c r="AC34" s="115">
        <f t="shared" si="0"/>
        <v>2806600</v>
      </c>
      <c r="AD34" s="292"/>
      <c r="AE34" s="292"/>
    </row>
    <row r="35" spans="1:31" s="52" customFormat="1" ht="20.100000000000001" customHeight="1" x14ac:dyDescent="0.25">
      <c r="A35" s="53" t="s">
        <v>18</v>
      </c>
      <c r="B35" s="54" t="s">
        <v>20</v>
      </c>
      <c r="C35" s="152" t="s">
        <v>940</v>
      </c>
      <c r="D35" s="99" t="str">
        <f>IF(ISBLANK('RESUMEN VIGILANCIA'!D36),"",'RESUMEN VIGILANCIA'!D36)</f>
        <v/>
      </c>
      <c r="E35" s="153">
        <f>IF(ISBLANK('RESUMEN VIGILANCIA'!E36),"",'RESUMEN VIGILANCIA'!E36)</f>
        <v>17000</v>
      </c>
      <c r="F35" s="41">
        <f>IF(ISBLANK('RESUMEN VIGILANCIA'!F36),"",'RESUMEN VIGILANCIA'!F36)</f>
        <v>17000</v>
      </c>
      <c r="G35" s="41">
        <f>IF(ISBLANK('RESUMEN VIGILANCIA'!G36),"",'RESUMEN VIGILANCIA'!G36)</f>
        <v>17000</v>
      </c>
      <c r="H35" s="41">
        <f>IF(ISBLANK('RESUMEN VIGILANCIA'!H36),"",'RESUMEN VIGILANCIA'!H36)</f>
        <v>17000</v>
      </c>
      <c r="I35" s="41">
        <f>IF(ISBLANK('RESUMEN VIGILANCIA'!I36),"",'RESUMEN VIGILANCIA'!I36)</f>
        <v>26000</v>
      </c>
      <c r="J35" s="41">
        <f>IF(ISBLANK('RESUMEN VIGILANCIA'!J36),"",'RESUMEN VIGILANCIA'!J36)</f>
        <v>26000</v>
      </c>
      <c r="K35" s="41">
        <f>IF(ISBLANK('RESUMEN VIGILANCIA'!K36),"",'RESUMEN VIGILANCIA'!K36)</f>
        <v>35000</v>
      </c>
      <c r="L35" s="41">
        <f>IF(ISBLANK('RESUMEN VIGILANCIA'!L36),"",'RESUMEN VIGILANCIA'!L36)</f>
        <v>35000</v>
      </c>
      <c r="M35" s="41">
        <f>IF(ISBLANK('RESUMEN VIGILANCIA'!M36),"",'RESUMEN VIGILANCIA'!M36)</f>
        <v>35000</v>
      </c>
      <c r="N35" s="41">
        <f>IF(ISBLANK('RESUMEN VIGILANCIA'!N36),"",'RESUMEN VIGILANCIA'!N36)</f>
        <v>35000</v>
      </c>
      <c r="O35" s="124">
        <f>IF(ISBLANK('RESUMEN VIGILANCIA'!O36),"",'RESUMEN VIGILANCIA'!O36)</f>
        <v>50000</v>
      </c>
      <c r="P35" s="99">
        <f>IF(ISBLANK('RESUMEN VIGILANCIA'!P36),"",'RESUMEN VIGILANCIA'!P36)</f>
        <v>50000</v>
      </c>
      <c r="Q35" s="128">
        <f>IF(ISBLANK('RESUMEN VIGILANCIA'!Q36),"",'RESUMEN VIGILANCIA'!Q36)</f>
        <v>80000</v>
      </c>
      <c r="R35" s="124">
        <f>IF(ISBLANK('RESUMEN VIGILANCIA'!R36),"",'RESUMEN VIGILANCIA'!R36)</f>
        <v>80000</v>
      </c>
      <c r="S35" s="124">
        <f>IF(ISBLANK('RESUMEN VIGILANCIA'!S36),"",'RESUMEN VIGILANCIA'!S36)</f>
        <v>140000</v>
      </c>
      <c r="T35" s="124">
        <f>IF(ISBLANK('RESUMEN VIGILANCIA'!T36),"",'RESUMEN VIGILANCIA'!T36)</f>
        <v>140000</v>
      </c>
      <c r="U35" s="124">
        <f>IF(ISBLANK('RESUMEN VIGILANCIA'!U36),"",'RESUMEN VIGILANCIA'!U36)</f>
        <v>400000</v>
      </c>
      <c r="V35" s="124">
        <f>IF(ISBLANK('RESUMEN VIGILANCIA'!V36),"",'RESUMEN VIGILANCIA'!V36)</f>
        <v>625000</v>
      </c>
      <c r="W35" s="124">
        <f>IF(ISBLANK('RESUMEN VIGILANCIA'!W36),"",'RESUMEN VIGILANCIA'!W36)</f>
        <v>1000000</v>
      </c>
      <c r="X35" s="124">
        <f>IF(ISBLANK('RESUMEN VIGILANCIA'!X36),"",'RESUMEN VIGILANCIA'!X36)</f>
        <v>1200000</v>
      </c>
      <c r="Y35" s="124" t="str">
        <f>IF(ISBLANK('RESUMEN VIGILANCIA'!Y36),"",'RESUMEN VIGILANCIA'!Y36)</f>
        <v/>
      </c>
      <c r="Z35" s="124" t="str">
        <f>IF(ISBLANK('RESUMEN VIGILANCIA'!Z36),"",'RESUMEN VIGILANCIA'!Z36)</f>
        <v/>
      </c>
      <c r="AA35" s="124" t="str">
        <f>IF(ISBLANK('RESUMEN VIGILANCIA'!AA36),"",'RESUMEN VIGILANCIA'!AA36)</f>
        <v/>
      </c>
      <c r="AB35" s="99" t="str">
        <f>IF(ISBLANK('RESUMEN VIGILANCIA'!AB36),"",'RESUMEN VIGILANCIA'!AB36)</f>
        <v/>
      </c>
      <c r="AC35" s="115">
        <f t="shared" si="0"/>
        <v>4025000</v>
      </c>
      <c r="AD35" s="292"/>
      <c r="AE35" s="292"/>
    </row>
    <row r="36" spans="1:31" s="52" customFormat="1" ht="20.100000000000001" customHeight="1" x14ac:dyDescent="0.25">
      <c r="A36" s="53" t="s">
        <v>480</v>
      </c>
      <c r="B36" s="54" t="s">
        <v>482</v>
      </c>
      <c r="C36" s="152" t="s">
        <v>940</v>
      </c>
      <c r="D36" s="99" t="str">
        <f>IF(ISBLANK('RESUMEN VIGILANCIA'!D38),"",'RESUMEN VIGILANCIA'!D38)</f>
        <v/>
      </c>
      <c r="E36" s="153">
        <f>IF(ISBLANK('RESUMEN VIGILANCIA'!E38),"",'RESUMEN VIGILANCIA'!E38)</f>
        <v>17000</v>
      </c>
      <c r="F36" s="41">
        <f>IF(ISBLANK('RESUMEN VIGILANCIA'!F38),"",'RESUMEN VIGILANCIA'!F38)</f>
        <v>17000</v>
      </c>
      <c r="G36" s="41">
        <f>IF(ISBLANK('RESUMEN VIGILANCIA'!G38),"",'RESUMEN VIGILANCIA'!G38)</f>
        <v>17000</v>
      </c>
      <c r="H36" s="41">
        <f>IF(ISBLANK('RESUMEN VIGILANCIA'!H38),"",'RESUMEN VIGILANCIA'!H38)</f>
        <v>17000</v>
      </c>
      <c r="I36" s="41">
        <f>IF(ISBLANK('RESUMEN VIGILANCIA'!I38),"",'RESUMEN VIGILANCIA'!I38)</f>
        <v>26000</v>
      </c>
      <c r="J36" s="41" t="str">
        <f>IF(ISBLANK('RESUMEN VIGILANCIA'!J38),"",'RESUMEN VIGILANCIA'!J38)</f>
        <v>- - -</v>
      </c>
      <c r="K36" s="41" t="str">
        <f>IF(ISBLANK('RESUMEN VIGILANCIA'!K38),"",'RESUMEN VIGILANCIA'!K38)</f>
        <v>- - -</v>
      </c>
      <c r="L36" s="41" t="str">
        <f>IF(ISBLANK('RESUMEN VIGILANCIA'!L38),"",'RESUMEN VIGILANCIA'!L38)</f>
        <v>- - -</v>
      </c>
      <c r="M36" s="41" t="str">
        <f>IF(ISBLANK('RESUMEN VIGILANCIA'!M38),"",'RESUMEN VIGILANCIA'!M38)</f>
        <v>- - -</v>
      </c>
      <c r="N36" s="41" t="str">
        <f>IF(ISBLANK('RESUMEN VIGILANCIA'!N38),"",'RESUMEN VIGILANCIA'!N38)</f>
        <v>- - -</v>
      </c>
      <c r="O36" s="124" t="str">
        <f>IF(ISBLANK('RESUMEN VIGILANCIA'!O38),"",'RESUMEN VIGILANCIA'!O38)</f>
        <v>- - -</v>
      </c>
      <c r="P36" s="99" t="str">
        <f>IF(ISBLANK('RESUMEN VIGILANCIA'!P38),"",'RESUMEN VIGILANCIA'!P38)</f>
        <v>- - -</v>
      </c>
      <c r="Q36" s="128">
        <f>IF(ISBLANK('RESUMEN VIGILANCIA'!Q38),"",'RESUMEN VIGILANCIA'!Q38)</f>
        <v>80000</v>
      </c>
      <c r="R36" s="124">
        <f>IF(ISBLANK('RESUMEN VIGILANCIA'!R38),"",'RESUMEN VIGILANCIA'!R38)</f>
        <v>80000</v>
      </c>
      <c r="S36" s="124">
        <f>IF(ISBLANK('RESUMEN VIGILANCIA'!S38),"",'RESUMEN VIGILANCIA'!S38)</f>
        <v>140000</v>
      </c>
      <c r="T36" s="124">
        <f>IF(ISBLANK('RESUMEN VIGILANCIA'!T38),"",'RESUMEN VIGILANCIA'!T38)</f>
        <v>140000</v>
      </c>
      <c r="U36" s="124">
        <f>IF(ISBLANK('RESUMEN VIGILANCIA'!U38),"",'RESUMEN VIGILANCIA'!U38)</f>
        <v>400000</v>
      </c>
      <c r="V36" s="124">
        <f>IF(ISBLANK('RESUMEN VIGILANCIA'!V38),"",'RESUMEN VIGILANCIA'!V38)</f>
        <v>400000</v>
      </c>
      <c r="W36" s="124" t="str">
        <f>IF(ISBLANK('RESUMEN VIGILANCIA'!W38),"",'RESUMEN VIGILANCIA'!W38)</f>
        <v/>
      </c>
      <c r="X36" s="124" t="str">
        <f>IF(ISBLANK('RESUMEN VIGILANCIA'!X38),"",'RESUMEN VIGILANCIA'!X38)</f>
        <v/>
      </c>
      <c r="Y36" s="124" t="str">
        <f>IF(ISBLANK('RESUMEN VIGILANCIA'!Y38),"",'RESUMEN VIGILANCIA'!Y38)</f>
        <v/>
      </c>
      <c r="Z36" s="124" t="str">
        <f>IF(ISBLANK('RESUMEN VIGILANCIA'!Z38),"",'RESUMEN VIGILANCIA'!Z38)</f>
        <v/>
      </c>
      <c r="AA36" s="124" t="str">
        <f>IF(ISBLANK('RESUMEN VIGILANCIA'!AA38),"",'RESUMEN VIGILANCIA'!AA38)</f>
        <v/>
      </c>
      <c r="AB36" s="99" t="str">
        <f>IF(ISBLANK('RESUMEN VIGILANCIA'!AB38),"",'RESUMEN VIGILANCIA'!AB38)</f>
        <v/>
      </c>
      <c r="AC36" s="115">
        <f t="shared" si="0"/>
        <v>1334000</v>
      </c>
      <c r="AD36" s="292"/>
      <c r="AE36" s="292"/>
    </row>
    <row r="37" spans="1:31" s="52" customFormat="1" ht="20.100000000000001" customHeight="1" x14ac:dyDescent="0.25">
      <c r="A37" s="53" t="s">
        <v>455</v>
      </c>
      <c r="B37" s="54" t="s">
        <v>456</v>
      </c>
      <c r="C37" s="152" t="s">
        <v>941</v>
      </c>
      <c r="D37" s="99" t="str">
        <f>IF(ISBLANK('RESUMEN VIGILANCIA'!D39),"",'RESUMEN VIGILANCIA'!D39)</f>
        <v/>
      </c>
      <c r="E37" s="153" t="str">
        <f>IF(ISBLANK('RESUMEN VIGILANCIA'!E39),"",'RESUMEN VIGILANCIA'!E39)</f>
        <v/>
      </c>
      <c r="F37" s="41" t="str">
        <f>IF(ISBLANK('RESUMEN VIGILANCIA'!F39),"",'RESUMEN VIGILANCIA'!F39)</f>
        <v/>
      </c>
      <c r="G37" s="41" t="str">
        <f>IF(ISBLANK('RESUMEN VIGILANCIA'!G39),"",'RESUMEN VIGILANCIA'!G39)</f>
        <v/>
      </c>
      <c r="H37" s="41" t="str">
        <f>IF(ISBLANK('RESUMEN VIGILANCIA'!H39),"",'RESUMEN VIGILANCIA'!H39)</f>
        <v/>
      </c>
      <c r="I37" s="41" t="str">
        <f>IF(ISBLANK('RESUMEN VIGILANCIA'!I39),"",'RESUMEN VIGILANCIA'!I39)</f>
        <v/>
      </c>
      <c r="J37" s="41" t="str">
        <f>IF(ISBLANK('RESUMEN VIGILANCIA'!J39),"",'RESUMEN VIGILANCIA'!J39)</f>
        <v/>
      </c>
      <c r="K37" s="41" t="str">
        <f>IF(ISBLANK('RESUMEN VIGILANCIA'!K39),"",'RESUMEN VIGILANCIA'!K39)</f>
        <v/>
      </c>
      <c r="L37" s="41" t="str">
        <f>IF(ISBLANK('RESUMEN VIGILANCIA'!L39),"",'RESUMEN VIGILANCIA'!L39)</f>
        <v/>
      </c>
      <c r="M37" s="41" t="str">
        <f>IF(ISBLANK('RESUMEN VIGILANCIA'!M39),"",'RESUMEN VIGILANCIA'!M39)</f>
        <v/>
      </c>
      <c r="N37" s="41" t="str">
        <f>IF(ISBLANK('RESUMEN VIGILANCIA'!N39),"",'RESUMEN VIGILANCIA'!N39)</f>
        <v/>
      </c>
      <c r="O37" s="124" t="str">
        <f>IF(ISBLANK('RESUMEN VIGILANCIA'!O39),"",'RESUMEN VIGILANCIA'!O39)</f>
        <v/>
      </c>
      <c r="P37" s="99" t="str">
        <f>IF(ISBLANK('RESUMEN VIGILANCIA'!P39),"",'RESUMEN VIGILANCIA'!P39)</f>
        <v/>
      </c>
      <c r="Q37" s="128" t="str">
        <f>IF(ISBLANK('RESUMEN VIGILANCIA'!Q39),"",'RESUMEN VIGILANCIA'!Q39)</f>
        <v/>
      </c>
      <c r="R37" s="124" t="str">
        <f>IF(ISBLANK('RESUMEN VIGILANCIA'!R39),"",'RESUMEN VIGILANCIA'!R39)</f>
        <v/>
      </c>
      <c r="S37" s="124" t="str">
        <f>IF(ISBLANK('RESUMEN VIGILANCIA'!S39),"",'RESUMEN VIGILANCIA'!S39)</f>
        <v/>
      </c>
      <c r="T37" s="124" t="str">
        <f>IF(ISBLANK('RESUMEN VIGILANCIA'!T39),"",'RESUMEN VIGILANCIA'!T39)</f>
        <v/>
      </c>
      <c r="U37" s="124" t="str">
        <f>IF(ISBLANK('RESUMEN VIGILANCIA'!U39),"",'RESUMEN VIGILANCIA'!U39)</f>
        <v/>
      </c>
      <c r="V37" s="124" t="str">
        <f>IF(ISBLANK('RESUMEN VIGILANCIA'!V39),"",'RESUMEN VIGILANCIA'!V39)</f>
        <v/>
      </c>
      <c r="W37" s="124">
        <f>IF(ISBLANK('RESUMEN VIGILANCIA'!W39),"",'RESUMEN VIGILANCIA'!W39)</f>
        <v>1000000</v>
      </c>
      <c r="X37" s="124" t="str">
        <f>IF(ISBLANK('RESUMEN VIGILANCIA'!X39),"",'RESUMEN VIGILANCIA'!X39)</f>
        <v/>
      </c>
      <c r="Y37" s="124" t="str">
        <f>IF(ISBLANK('RESUMEN VIGILANCIA'!Y39),"",'RESUMEN VIGILANCIA'!Y39)</f>
        <v/>
      </c>
      <c r="Z37" s="124" t="str">
        <f>IF(ISBLANK('RESUMEN VIGILANCIA'!Z39),"",'RESUMEN VIGILANCIA'!Z39)</f>
        <v/>
      </c>
      <c r="AA37" s="124" t="str">
        <f>IF(ISBLANK('RESUMEN VIGILANCIA'!AA39),"",'RESUMEN VIGILANCIA'!AA39)</f>
        <v/>
      </c>
      <c r="AB37" s="99" t="str">
        <f>IF(ISBLANK('RESUMEN VIGILANCIA'!AB39),"",'RESUMEN VIGILANCIA'!AB39)</f>
        <v/>
      </c>
      <c r="AC37" s="115">
        <f t="shared" si="0"/>
        <v>1000000</v>
      </c>
      <c r="AD37" s="292"/>
      <c r="AE37" s="292"/>
    </row>
    <row r="38" spans="1:31" s="52" customFormat="1" ht="20.100000000000001" customHeight="1" x14ac:dyDescent="0.25">
      <c r="A38" s="163" t="s">
        <v>148</v>
      </c>
      <c r="B38" s="164" t="s">
        <v>150</v>
      </c>
      <c r="C38" s="152"/>
      <c r="D38" s="99" t="str">
        <f>IF(ISBLANK('RESUMEN VIGILANCIA'!D40),"",'RESUMEN VIGILANCIA'!D40)</f>
        <v/>
      </c>
      <c r="E38" s="153">
        <f>IF(ISBLANK('RESUMEN VIGILANCIA'!E40),"",'RESUMEN VIGILANCIA'!E40)</f>
        <v>17000</v>
      </c>
      <c r="F38" s="41">
        <f>IF(ISBLANK('RESUMEN VIGILANCIA'!F40),"",'RESUMEN VIGILANCIA'!F40)</f>
        <v>17000</v>
      </c>
      <c r="G38" s="41">
        <f>IF(ISBLANK('RESUMEN VIGILANCIA'!G40),"",'RESUMEN VIGILANCIA'!G40)</f>
        <v>17000</v>
      </c>
      <c r="H38" s="41">
        <f>IF(ISBLANK('RESUMEN VIGILANCIA'!H40),"",'RESUMEN VIGILANCIA'!H40)</f>
        <v>17000</v>
      </c>
      <c r="I38" s="41">
        <f>IF(ISBLANK('RESUMEN VIGILANCIA'!I40),"",'RESUMEN VIGILANCIA'!I40)</f>
        <v>26000</v>
      </c>
      <c r="J38" s="41">
        <f>IF(ISBLANK('RESUMEN VIGILANCIA'!J40),"",'RESUMEN VIGILANCIA'!J40)</f>
        <v>26000</v>
      </c>
      <c r="K38" s="41">
        <f>IF(ISBLANK('RESUMEN VIGILANCIA'!K40),"",'RESUMEN VIGILANCIA'!K40)</f>
        <v>35000</v>
      </c>
      <c r="L38" s="41">
        <f>IF(ISBLANK('RESUMEN VIGILANCIA'!L40),"",'RESUMEN VIGILANCIA'!L40)</f>
        <v>35000</v>
      </c>
      <c r="M38" s="41">
        <f>IF(ISBLANK('RESUMEN VIGILANCIA'!M40),"",'RESUMEN VIGILANCIA'!M40)</f>
        <v>35000</v>
      </c>
      <c r="N38" s="41">
        <f>IF(ISBLANK('RESUMEN VIGILANCIA'!N40),"",'RESUMEN VIGILANCIA'!N40)</f>
        <v>35000</v>
      </c>
      <c r="O38" s="124">
        <f>IF(ISBLANK('RESUMEN VIGILANCIA'!O40),"",'RESUMEN VIGILANCIA'!O40)</f>
        <v>50000</v>
      </c>
      <c r="P38" s="99">
        <f>IF(ISBLANK('RESUMEN VIGILANCIA'!P40),"",'RESUMEN VIGILANCIA'!P40)</f>
        <v>50000</v>
      </c>
      <c r="Q38" s="128">
        <f>IF(ISBLANK('RESUMEN VIGILANCIA'!Q40),"",'RESUMEN VIGILANCIA'!Q40)</f>
        <v>80000</v>
      </c>
      <c r="R38" s="124">
        <f>IF(ISBLANK('RESUMEN VIGILANCIA'!R40),"",'RESUMEN VIGILANCIA'!R40)</f>
        <v>80000</v>
      </c>
      <c r="S38" s="124">
        <f>IF(ISBLANK('RESUMEN VIGILANCIA'!S40),"",'RESUMEN VIGILANCIA'!S40)</f>
        <v>35000</v>
      </c>
      <c r="T38" s="124" t="str">
        <f>IF(ISBLANK('RESUMEN VIGILANCIA'!T40),"",'RESUMEN VIGILANCIA'!T40)</f>
        <v/>
      </c>
      <c r="U38" s="211" t="s">
        <v>847</v>
      </c>
      <c r="V38" s="212" t="str">
        <f>IF(ISBLANK('RESUMEN VIGILANCIA'!V40),"",'RESUMEN VIGILANCIA'!V40)</f>
        <v/>
      </c>
      <c r="W38" s="212" t="str">
        <f>IF(ISBLANK('RESUMEN VIGILANCIA'!W40),"",'RESUMEN VIGILANCIA'!W40)</f>
        <v/>
      </c>
      <c r="X38" s="212" t="str">
        <f>IF(ISBLANK('RESUMEN VIGILANCIA'!X40),"",'RESUMEN VIGILANCIA'!X40)</f>
        <v/>
      </c>
      <c r="Y38" s="212" t="str">
        <f>IF(ISBLANK('RESUMEN VIGILANCIA'!Y40),"",'RESUMEN VIGILANCIA'!Y40)</f>
        <v/>
      </c>
      <c r="Z38" s="212" t="str">
        <f>IF(ISBLANK('RESUMEN VIGILANCIA'!Z40),"",'RESUMEN VIGILANCIA'!Z40)</f>
        <v/>
      </c>
      <c r="AA38" s="212" t="str">
        <f>IF(ISBLANK('RESUMEN VIGILANCIA'!AA40),"",'RESUMEN VIGILANCIA'!AA40)</f>
        <v/>
      </c>
      <c r="AB38" s="196" t="str">
        <f>IF(ISBLANK('RESUMEN VIGILANCIA'!AB40),"",'RESUMEN VIGILANCIA'!AB40)</f>
        <v/>
      </c>
      <c r="AC38" s="197">
        <f t="shared" si="0"/>
        <v>555000</v>
      </c>
      <c r="AD38" s="293"/>
      <c r="AE38" s="293">
        <v>43191</v>
      </c>
    </row>
    <row r="39" spans="1:31" s="52" customFormat="1" ht="20.100000000000001" customHeight="1" x14ac:dyDescent="0.25">
      <c r="A39" s="53" t="s">
        <v>698</v>
      </c>
      <c r="B39" s="54" t="s">
        <v>150</v>
      </c>
      <c r="C39" s="152" t="s">
        <v>940</v>
      </c>
      <c r="D39" s="206" t="str">
        <f>IF(ISBLANK('RESUMEN VIGILANCIA'!D41),"",'RESUMEN VIGILANCIA'!D41)</f>
        <v/>
      </c>
      <c r="E39" s="207" t="str">
        <f>IF(ISBLANK('RESUMEN VIGILANCIA'!E41),"",'RESUMEN VIGILANCIA'!E41)</f>
        <v/>
      </c>
      <c r="F39" s="208" t="str">
        <f>IF(ISBLANK('RESUMEN VIGILANCIA'!F41),"",'RESUMEN VIGILANCIA'!F41)</f>
        <v/>
      </c>
      <c r="G39" s="208" t="str">
        <f>IF(ISBLANK('RESUMEN VIGILANCIA'!G41),"",'RESUMEN VIGILANCIA'!G41)</f>
        <v/>
      </c>
      <c r="H39" s="208" t="str">
        <f>IF(ISBLANK('RESUMEN VIGILANCIA'!H41),"",'RESUMEN VIGILANCIA'!H41)</f>
        <v/>
      </c>
      <c r="I39" s="208" t="str">
        <f>IF(ISBLANK('RESUMEN VIGILANCIA'!I41),"",'RESUMEN VIGILANCIA'!I41)</f>
        <v/>
      </c>
      <c r="J39" s="208" t="str">
        <f>IF(ISBLANK('RESUMEN VIGILANCIA'!J41),"",'RESUMEN VIGILANCIA'!J41)</f>
        <v/>
      </c>
      <c r="K39" s="208" t="str">
        <f>IF(ISBLANK('RESUMEN VIGILANCIA'!K41),"",'RESUMEN VIGILANCIA'!K41)</f>
        <v/>
      </c>
      <c r="L39" s="208" t="str">
        <f>IF(ISBLANK('RESUMEN VIGILANCIA'!L41),"",'RESUMEN VIGILANCIA'!L41)</f>
        <v/>
      </c>
      <c r="M39" s="208" t="str">
        <f>IF(ISBLANK('RESUMEN VIGILANCIA'!M41),"",'RESUMEN VIGILANCIA'!M41)</f>
        <v/>
      </c>
      <c r="N39" s="208" t="str">
        <f>IF(ISBLANK('RESUMEN VIGILANCIA'!N41),"",'RESUMEN VIGILANCIA'!N41)</f>
        <v/>
      </c>
      <c r="O39" s="209" t="str">
        <f>IF(ISBLANK('RESUMEN VIGILANCIA'!O41),"",'RESUMEN VIGILANCIA'!O41)</f>
        <v/>
      </c>
      <c r="P39" s="206" t="str">
        <f>IF(ISBLANK('RESUMEN VIGILANCIA'!P41),"",'RESUMEN VIGILANCIA'!P41)</f>
        <v/>
      </c>
      <c r="Q39" s="210" t="str">
        <f>IF(ISBLANK('RESUMEN VIGILANCIA'!Q41),"",'RESUMEN VIGILANCIA'!Q41)</f>
        <v/>
      </c>
      <c r="R39" s="209" t="str">
        <f>IF(ISBLANK('RESUMEN VIGILANCIA'!R41),"",'RESUMEN VIGILANCIA'!R41)</f>
        <v/>
      </c>
      <c r="S39" s="209" t="str">
        <f>IF(ISBLANK('RESUMEN VIGILANCIA'!S41),"",'RESUMEN VIGILANCIA'!S41)</f>
        <v/>
      </c>
      <c r="T39" s="209" t="str">
        <f>IF(ISBLANK('RESUMEN VIGILANCIA'!T41),"",'RESUMEN VIGILANCIA'!T41)</f>
        <v/>
      </c>
      <c r="U39" s="124">
        <f>IF(ISBLANK('RESUMEN VIGILANCIA'!U41),"",'RESUMEN VIGILANCIA'!U41)</f>
        <v>400000</v>
      </c>
      <c r="V39" s="124">
        <f>IF(ISBLANK('RESUMEN VIGILANCIA'!V41),"",'RESUMEN VIGILANCIA'!V41)</f>
        <v>625000</v>
      </c>
      <c r="W39" s="124">
        <f>IF(ISBLANK('RESUMEN VIGILANCIA'!W41),"",'RESUMEN VIGILANCIA'!W41)</f>
        <v>1000000</v>
      </c>
      <c r="X39" s="124">
        <f>IF(ISBLANK('RESUMEN VIGILANCIA'!X41),"",'RESUMEN VIGILANCIA'!X41)</f>
        <v>1200000</v>
      </c>
      <c r="Y39" s="124" t="str">
        <f>IF(ISBLANK('RESUMEN VIGILANCIA'!Y41),"",'RESUMEN VIGILANCIA'!Y41)</f>
        <v/>
      </c>
      <c r="Z39" s="124" t="str">
        <f>IF(ISBLANK('RESUMEN VIGILANCIA'!Z41),"",'RESUMEN VIGILANCIA'!Z41)</f>
        <v/>
      </c>
      <c r="AA39" s="124" t="str">
        <f>IF(ISBLANK('RESUMEN VIGILANCIA'!AA41),"",'RESUMEN VIGILANCIA'!AA41)</f>
        <v/>
      </c>
      <c r="AB39" s="99" t="str">
        <f>IF(ISBLANK('RESUMEN VIGILANCIA'!AB41),"",'RESUMEN VIGILANCIA'!AB41)</f>
        <v/>
      </c>
      <c r="AC39" s="115">
        <f t="shared" si="0"/>
        <v>3225000</v>
      </c>
      <c r="AD39" s="292">
        <v>43221</v>
      </c>
      <c r="AE39" s="292"/>
    </row>
    <row r="40" spans="1:31" s="52" customFormat="1" ht="20.100000000000001" customHeight="1" x14ac:dyDescent="0.25">
      <c r="A40" s="56" t="s">
        <v>342</v>
      </c>
      <c r="B40" s="57" t="s">
        <v>344</v>
      </c>
      <c r="C40" s="150" t="s">
        <v>940</v>
      </c>
      <c r="D40" s="100" t="str">
        <f>IF(ISBLANK('RESUMEN VIGILANCIA'!D42),"",'RESUMEN VIGILANCIA'!D42)</f>
        <v/>
      </c>
      <c r="E40" s="151">
        <f>IF(ISBLANK('RESUMEN VIGILANCIA'!E42),"",'RESUMEN VIGILANCIA'!E42)</f>
        <v>15000</v>
      </c>
      <c r="F40" s="43">
        <f>IF(ISBLANK('RESUMEN VIGILANCIA'!F42),"",'RESUMEN VIGILANCIA'!F42)</f>
        <v>15000</v>
      </c>
      <c r="G40" s="43">
        <f>IF(ISBLANK('RESUMEN VIGILANCIA'!G42),"",'RESUMEN VIGILANCIA'!G42)</f>
        <v>15000</v>
      </c>
      <c r="H40" s="43">
        <f>IF(ISBLANK('RESUMEN VIGILANCIA'!H42),"",'RESUMEN VIGILANCIA'!H42)</f>
        <v>22000</v>
      </c>
      <c r="I40" s="43">
        <f>IF(ISBLANK('RESUMEN VIGILANCIA'!I42),"",'RESUMEN VIGILANCIA'!I42)</f>
        <v>22000</v>
      </c>
      <c r="J40" s="43">
        <f>IF(ISBLANK('RESUMEN VIGILANCIA'!J42),"",'RESUMEN VIGILANCIA'!J42)</f>
        <v>22000</v>
      </c>
      <c r="K40" s="43">
        <f>IF(ISBLANK('RESUMEN VIGILANCIA'!K42),"",'RESUMEN VIGILANCIA'!K42)</f>
        <v>25000</v>
      </c>
      <c r="L40" s="43">
        <f>IF(ISBLANK('RESUMEN VIGILANCIA'!L42),"",'RESUMEN VIGILANCIA'!L42)</f>
        <v>30000</v>
      </c>
      <c r="M40" s="43">
        <f>IF(ISBLANK('RESUMEN VIGILANCIA'!M42),"",'RESUMEN VIGILANCIA'!M42)</f>
        <v>30000</v>
      </c>
      <c r="N40" s="43">
        <f>IF(ISBLANK('RESUMEN VIGILANCIA'!N42),"",'RESUMEN VIGILANCIA'!N42)</f>
        <v>30000</v>
      </c>
      <c r="O40" s="123">
        <f>IF(ISBLANK('RESUMEN VIGILANCIA'!O42),"",'RESUMEN VIGILANCIA'!O42)</f>
        <v>40000</v>
      </c>
      <c r="P40" s="100">
        <f>IF(ISBLANK('RESUMEN VIGILANCIA'!P42),"",'RESUMEN VIGILANCIA'!P42)</f>
        <v>40000</v>
      </c>
      <c r="Q40" s="130">
        <f>IF(ISBLANK('RESUMEN VIGILANCIA'!Q42),"",'RESUMEN VIGILANCIA'!Q42)</f>
        <v>70000</v>
      </c>
      <c r="R40" s="123">
        <f>IF(ISBLANK('RESUMEN VIGILANCIA'!R42),"",'RESUMEN VIGILANCIA'!R42)</f>
        <v>70000</v>
      </c>
      <c r="S40" s="123">
        <f>IF(ISBLANK('RESUMEN VIGILANCIA'!S42),"",'RESUMEN VIGILANCIA'!S42)</f>
        <v>70000</v>
      </c>
      <c r="T40" s="123">
        <f>IF(ISBLANK('RESUMEN VIGILANCIA'!T42),"",'RESUMEN VIGILANCIA'!T42)</f>
        <v>70000</v>
      </c>
      <c r="U40" s="123">
        <f>IF(ISBLANK('RESUMEN VIGILANCIA'!U42),"",'RESUMEN VIGILANCIA'!U42)</f>
        <v>400000</v>
      </c>
      <c r="V40" s="123">
        <f>IF(ISBLANK('RESUMEN VIGILANCIA'!V42),"",'RESUMEN VIGILANCIA'!V42)</f>
        <v>625000</v>
      </c>
      <c r="W40" s="123">
        <f>IF(ISBLANK('RESUMEN VIGILANCIA'!W42),"",'RESUMEN VIGILANCIA'!W42)</f>
        <v>1000000</v>
      </c>
      <c r="X40" s="123">
        <f>IF(ISBLANK('RESUMEN VIGILANCIA'!X42),"",'RESUMEN VIGILANCIA'!X42)</f>
        <v>1200000</v>
      </c>
      <c r="Y40" s="123" t="str">
        <f>IF(ISBLANK('RESUMEN VIGILANCIA'!Y42),"",'RESUMEN VIGILANCIA'!Y42)</f>
        <v/>
      </c>
      <c r="Z40" s="123" t="str">
        <f>IF(ISBLANK('RESUMEN VIGILANCIA'!Z42),"",'RESUMEN VIGILANCIA'!Z42)</f>
        <v/>
      </c>
      <c r="AA40" s="123" t="str">
        <f>IF(ISBLANK('RESUMEN VIGILANCIA'!AA42),"",'RESUMEN VIGILANCIA'!AA42)</f>
        <v/>
      </c>
      <c r="AB40" s="100" t="str">
        <f>IF(ISBLANK('RESUMEN VIGILANCIA'!AB42),"",'RESUMEN VIGILANCIA'!AB42)</f>
        <v/>
      </c>
      <c r="AC40" s="114">
        <f t="shared" si="0"/>
        <v>3811000</v>
      </c>
      <c r="AD40" s="291"/>
      <c r="AE40" s="291"/>
    </row>
    <row r="41" spans="1:31" s="52" customFormat="1" ht="20.100000000000001" customHeight="1" x14ac:dyDescent="0.25">
      <c r="A41" s="56" t="s">
        <v>284</v>
      </c>
      <c r="B41" s="57" t="s">
        <v>285</v>
      </c>
      <c r="C41" s="150" t="s">
        <v>938</v>
      </c>
      <c r="D41" s="100" t="str">
        <f>IF(ISBLANK('RESUMEN VIGILANCIA'!D43),"",'RESUMEN VIGILANCIA'!D43)</f>
        <v/>
      </c>
      <c r="E41" s="151">
        <f>IF(ISBLANK('RESUMEN VIGILANCIA'!E43),"",'RESUMEN VIGILANCIA'!E43)</f>
        <v>10000</v>
      </c>
      <c r="F41" s="43">
        <f>IF(ISBLANK('RESUMEN VIGILANCIA'!F43),"",'RESUMEN VIGILANCIA'!F43)</f>
        <v>10000</v>
      </c>
      <c r="G41" s="43">
        <f>IF(ISBLANK('RESUMEN VIGILANCIA'!G43),"",'RESUMEN VIGILANCIA'!G43)</f>
        <v>14000</v>
      </c>
      <c r="H41" s="43">
        <f>IF(ISBLANK('RESUMEN VIGILANCIA'!H43),"",'RESUMEN VIGILANCIA'!H43)</f>
        <v>17000</v>
      </c>
      <c r="I41" s="43">
        <f>IF(ISBLANK('RESUMEN VIGILANCIA'!I43),"",'RESUMEN VIGILANCIA'!I43)</f>
        <v>10000</v>
      </c>
      <c r="J41" s="43">
        <f>IF(ISBLANK('RESUMEN VIGILANCIA'!J43),"",'RESUMEN VIGILANCIA'!J43)</f>
        <v>10000</v>
      </c>
      <c r="K41" s="43">
        <f>IF(ISBLANK('RESUMEN VIGILANCIA'!K43),"",'RESUMEN VIGILANCIA'!K43)</f>
        <v>10000</v>
      </c>
      <c r="L41" s="43">
        <f>IF(ISBLANK('RESUMEN VIGILANCIA'!L43),"",'RESUMEN VIGILANCIA'!L43)</f>
        <v>10000</v>
      </c>
      <c r="M41" s="43" t="str">
        <f>IF(ISBLANK('RESUMEN VIGILANCIA'!M43),"",'RESUMEN VIGILANCIA'!M43)</f>
        <v/>
      </c>
      <c r="N41" s="43" t="str">
        <f>IF(ISBLANK('RESUMEN VIGILANCIA'!N43),"",'RESUMEN VIGILANCIA'!N43)</f>
        <v/>
      </c>
      <c r="O41" s="123" t="str">
        <f>IF(ISBLANK('RESUMEN VIGILANCIA'!O43),"",'RESUMEN VIGILANCIA'!O43)</f>
        <v/>
      </c>
      <c r="P41" s="100" t="str">
        <f>IF(ISBLANK('RESUMEN VIGILANCIA'!P43),"",'RESUMEN VIGILANCIA'!P43)</f>
        <v/>
      </c>
      <c r="Q41" s="130">
        <f>IF(ISBLANK('RESUMEN VIGILANCIA'!Q43),"",'RESUMEN VIGILANCIA'!Q43)</f>
        <v>80000</v>
      </c>
      <c r="R41" s="123">
        <f>IF(ISBLANK('RESUMEN VIGILANCIA'!R43),"",'RESUMEN VIGILANCIA'!R43)</f>
        <v>80000</v>
      </c>
      <c r="S41" s="123">
        <f>IF(ISBLANK('RESUMEN VIGILANCIA'!S43),"",'RESUMEN VIGILANCIA'!S43)</f>
        <v>140000</v>
      </c>
      <c r="T41" s="123">
        <f>IF(ISBLANK('RESUMEN VIGILANCIA'!T43),"",'RESUMEN VIGILANCIA'!T43)</f>
        <v>140000</v>
      </c>
      <c r="U41" s="123">
        <f>IF(ISBLANK('RESUMEN VIGILANCIA'!U43),"",'RESUMEN VIGILANCIA'!U43)</f>
        <v>400000</v>
      </c>
      <c r="V41" s="123">
        <f>IF(ISBLANK('RESUMEN VIGILANCIA'!V43),"",'RESUMEN VIGILANCIA'!V43)</f>
        <v>625000</v>
      </c>
      <c r="W41" s="123">
        <f>IF(ISBLANK('RESUMEN VIGILANCIA'!W43),"",'RESUMEN VIGILANCIA'!W43)</f>
        <v>1000000</v>
      </c>
      <c r="X41" s="123" t="str">
        <f>IF(ISBLANK('RESUMEN VIGILANCIA'!X43),"",'RESUMEN VIGILANCIA'!X43)</f>
        <v/>
      </c>
      <c r="Y41" s="123" t="str">
        <f>IF(ISBLANK('RESUMEN VIGILANCIA'!Y43),"",'RESUMEN VIGILANCIA'!Y43)</f>
        <v/>
      </c>
      <c r="Z41" s="123" t="str">
        <f>IF(ISBLANK('RESUMEN VIGILANCIA'!Z43),"",'RESUMEN VIGILANCIA'!Z43)</f>
        <v/>
      </c>
      <c r="AA41" s="123" t="str">
        <f>IF(ISBLANK('RESUMEN VIGILANCIA'!AA43),"",'RESUMEN VIGILANCIA'!AA43)</f>
        <v/>
      </c>
      <c r="AB41" s="100" t="str">
        <f>IF(ISBLANK('RESUMEN VIGILANCIA'!AB43),"",'RESUMEN VIGILANCIA'!AB43)</f>
        <v/>
      </c>
      <c r="AC41" s="114">
        <f t="shared" si="0"/>
        <v>2556000</v>
      </c>
      <c r="AD41" s="291"/>
      <c r="AE41" s="291"/>
    </row>
    <row r="42" spans="1:31" s="52" customFormat="1" ht="20.100000000000001" customHeight="1" x14ac:dyDescent="0.25">
      <c r="A42" s="53" t="s">
        <v>844</v>
      </c>
      <c r="B42" s="54" t="s">
        <v>845</v>
      </c>
      <c r="C42" s="152" t="s">
        <v>939</v>
      </c>
      <c r="D42" s="99" t="str">
        <f>IF(ISBLANK('RESUMEN VIGILANCIA'!D44),"",'RESUMEN VIGILANCIA'!D44)</f>
        <v/>
      </c>
      <c r="E42" s="153" t="str">
        <f>IF(ISBLANK('RESUMEN VIGILANCIA'!E44),"",'RESUMEN VIGILANCIA'!E44)</f>
        <v/>
      </c>
      <c r="F42" s="41" t="str">
        <f>IF(ISBLANK('RESUMEN VIGILANCIA'!F44),"",'RESUMEN VIGILANCIA'!F44)</f>
        <v/>
      </c>
      <c r="G42" s="41" t="str">
        <f>IF(ISBLANK('RESUMEN VIGILANCIA'!G44),"",'RESUMEN VIGILANCIA'!G44)</f>
        <v/>
      </c>
      <c r="H42" s="41" t="str">
        <f>IF(ISBLANK('RESUMEN VIGILANCIA'!H44),"",'RESUMEN VIGILANCIA'!H44)</f>
        <v/>
      </c>
      <c r="I42" s="41" t="str">
        <f>IF(ISBLANK('RESUMEN VIGILANCIA'!I44),"",'RESUMEN VIGILANCIA'!I44)</f>
        <v/>
      </c>
      <c r="J42" s="41" t="str">
        <f>IF(ISBLANK('RESUMEN VIGILANCIA'!J44),"",'RESUMEN VIGILANCIA'!J44)</f>
        <v/>
      </c>
      <c r="K42" s="41" t="str">
        <f>IF(ISBLANK('RESUMEN VIGILANCIA'!K44),"",'RESUMEN VIGILANCIA'!K44)</f>
        <v/>
      </c>
      <c r="L42" s="41" t="str">
        <f>IF(ISBLANK('RESUMEN VIGILANCIA'!L44),"",'RESUMEN VIGILANCIA'!L44)</f>
        <v/>
      </c>
      <c r="M42" s="41" t="str">
        <f>IF(ISBLANK('RESUMEN VIGILANCIA'!M44),"",'RESUMEN VIGILANCIA'!M44)</f>
        <v/>
      </c>
      <c r="N42" s="41" t="str">
        <f>IF(ISBLANK('RESUMEN VIGILANCIA'!N44),"",'RESUMEN VIGILANCIA'!N44)</f>
        <v/>
      </c>
      <c r="O42" s="124" t="str">
        <f>IF(ISBLANK('RESUMEN VIGILANCIA'!O44),"",'RESUMEN VIGILANCIA'!O44)</f>
        <v/>
      </c>
      <c r="P42" s="99" t="str">
        <f>IF(ISBLANK('RESUMEN VIGILANCIA'!P44),"",'RESUMEN VIGILANCIA'!P44)</f>
        <v/>
      </c>
      <c r="Q42" s="128" t="str">
        <f>IF(ISBLANK('RESUMEN VIGILANCIA'!Q44),"",'RESUMEN VIGILANCIA'!Q44)</f>
        <v/>
      </c>
      <c r="R42" s="124" t="str">
        <f>IF(ISBLANK('RESUMEN VIGILANCIA'!R44),"",'RESUMEN VIGILANCIA'!R44)</f>
        <v/>
      </c>
      <c r="S42" s="124" t="str">
        <f>IF(ISBLANK('RESUMEN VIGILANCIA'!S44),"",'RESUMEN VIGILANCIA'!S44)</f>
        <v/>
      </c>
      <c r="T42" s="124" t="str">
        <f>IF(ISBLANK('RESUMEN VIGILANCIA'!T44),"",'RESUMEN VIGILANCIA'!T44)</f>
        <v/>
      </c>
      <c r="U42" s="124" t="str">
        <f>IF(ISBLANK('RESUMEN VIGILANCIA'!U44),"",'RESUMEN VIGILANCIA'!U44)</f>
        <v/>
      </c>
      <c r="V42" s="124" t="str">
        <f>IF(ISBLANK('RESUMEN VIGILANCIA'!V44),"",'RESUMEN VIGILANCIA'!V44)</f>
        <v/>
      </c>
      <c r="W42" s="124" t="str">
        <f>IF(ISBLANK('RESUMEN VIGILANCIA'!W44),"",'RESUMEN VIGILANCIA'!W44)</f>
        <v/>
      </c>
      <c r="X42" s="124" t="str">
        <f>IF(ISBLANK('RESUMEN VIGILANCIA'!X44),"",'RESUMEN VIGILANCIA'!X44)</f>
        <v/>
      </c>
      <c r="Y42" s="124" t="str">
        <f>IF(ISBLANK('RESUMEN VIGILANCIA'!Y44),"",'RESUMEN VIGILANCIA'!Y44)</f>
        <v/>
      </c>
      <c r="Z42" s="124" t="str">
        <f>IF(ISBLANK('RESUMEN VIGILANCIA'!Z44),"",'RESUMEN VIGILANCIA'!Z44)</f>
        <v/>
      </c>
      <c r="AA42" s="124" t="str">
        <f>IF(ISBLANK('RESUMEN VIGILANCIA'!AA44),"",'RESUMEN VIGILANCIA'!AA44)</f>
        <v/>
      </c>
      <c r="AB42" s="99" t="str">
        <f>IF(ISBLANK('RESUMEN VIGILANCIA'!AB44),"",'RESUMEN VIGILANCIA'!AB44)</f>
        <v/>
      </c>
      <c r="AC42" s="115">
        <f t="shared" si="0"/>
        <v>0</v>
      </c>
      <c r="AD42" s="292"/>
      <c r="AE42" s="292"/>
    </row>
    <row r="43" spans="1:31" s="52" customFormat="1" ht="20.100000000000001" customHeight="1" x14ac:dyDescent="0.25">
      <c r="A43" s="53" t="s">
        <v>319</v>
      </c>
      <c r="B43" s="54" t="s">
        <v>320</v>
      </c>
      <c r="C43" s="152" t="s">
        <v>940</v>
      </c>
      <c r="D43" s="99" t="str">
        <f>IF(ISBLANK('RESUMEN VIGILANCIA'!D59),"",'RESUMEN VIGILANCIA'!D59)</f>
        <v/>
      </c>
      <c r="E43" s="153">
        <f>IF(ISBLANK('RESUMEN VIGILANCIA'!E59),"",'RESUMEN VIGILANCIA'!E59)</f>
        <v>17000</v>
      </c>
      <c r="F43" s="41">
        <f>IF(ISBLANK('RESUMEN VIGILANCIA'!F59),"",'RESUMEN VIGILANCIA'!F59)</f>
        <v>17000</v>
      </c>
      <c r="G43" s="41">
        <f>IF(ISBLANK('RESUMEN VIGILANCIA'!G59),"",'RESUMEN VIGILANCIA'!G59)</f>
        <v>17000</v>
      </c>
      <c r="H43" s="41">
        <f>IF(ISBLANK('RESUMEN VIGILANCIA'!H59),"",'RESUMEN VIGILANCIA'!H59)</f>
        <v>17000</v>
      </c>
      <c r="I43" s="41">
        <f>IF(ISBLANK('RESUMEN VIGILANCIA'!I59),"",'RESUMEN VIGILANCIA'!I59)</f>
        <v>26000</v>
      </c>
      <c r="J43" s="41">
        <f>IF(ISBLANK('RESUMEN VIGILANCIA'!J59),"",'RESUMEN VIGILANCIA'!J59)</f>
        <v>26000</v>
      </c>
      <c r="K43" s="41">
        <f>IF(ISBLANK('RESUMEN VIGILANCIA'!K59),"",'RESUMEN VIGILANCIA'!K59)</f>
        <v>35000</v>
      </c>
      <c r="L43" s="41">
        <f>IF(ISBLANK('RESUMEN VIGILANCIA'!L59),"",'RESUMEN VIGILANCIA'!L59)</f>
        <v>35000</v>
      </c>
      <c r="M43" s="41">
        <f>IF(ISBLANK('RESUMEN VIGILANCIA'!M59),"",'RESUMEN VIGILANCIA'!M59)</f>
        <v>35000</v>
      </c>
      <c r="N43" s="41">
        <f>IF(ISBLANK('RESUMEN VIGILANCIA'!N59),"",'RESUMEN VIGILANCIA'!N59)</f>
        <v>35000</v>
      </c>
      <c r="O43" s="124">
        <f>IF(ISBLANK('RESUMEN VIGILANCIA'!O59),"",'RESUMEN VIGILANCIA'!O59)</f>
        <v>50000</v>
      </c>
      <c r="P43" s="99">
        <f>IF(ISBLANK('RESUMEN VIGILANCIA'!P59),"",'RESUMEN VIGILANCIA'!P59)</f>
        <v>50000</v>
      </c>
      <c r="Q43" s="128">
        <f>IF(ISBLANK('RESUMEN VIGILANCIA'!Q59),"",'RESUMEN VIGILANCIA'!Q59)</f>
        <v>80000</v>
      </c>
      <c r="R43" s="124">
        <f>IF(ISBLANK('RESUMEN VIGILANCIA'!R59),"",'RESUMEN VIGILANCIA'!R59)</f>
        <v>80000</v>
      </c>
      <c r="S43" s="124">
        <f>IF(ISBLANK('RESUMEN VIGILANCIA'!S59),"",'RESUMEN VIGILANCIA'!S59)</f>
        <v>140000</v>
      </c>
      <c r="T43" s="124">
        <f>IF(ISBLANK('RESUMEN VIGILANCIA'!T59),"",'RESUMEN VIGILANCIA'!T59)</f>
        <v>140000</v>
      </c>
      <c r="U43" s="124">
        <f>IF(ISBLANK('RESUMEN VIGILANCIA'!U59),"",'RESUMEN VIGILANCIA'!U59)</f>
        <v>400000</v>
      </c>
      <c r="V43" s="124">
        <f>IF(ISBLANK('RESUMEN VIGILANCIA'!V59),"",'RESUMEN VIGILANCIA'!V59)</f>
        <v>625000</v>
      </c>
      <c r="W43" s="124">
        <f>IF(ISBLANK('RESUMEN VIGILANCIA'!W59),"",'RESUMEN VIGILANCIA'!W59)</f>
        <v>1000000</v>
      </c>
      <c r="X43" s="124" t="str">
        <f>IF(ISBLANK('RESUMEN VIGILANCIA'!X59),"",'RESUMEN VIGILANCIA'!X59)</f>
        <v/>
      </c>
      <c r="Y43" s="124" t="str">
        <f>IF(ISBLANK('RESUMEN VIGILANCIA'!Y59),"",'RESUMEN VIGILANCIA'!Y59)</f>
        <v/>
      </c>
      <c r="Z43" s="124" t="str">
        <f>IF(ISBLANK('RESUMEN VIGILANCIA'!Z59),"",'RESUMEN VIGILANCIA'!Z59)</f>
        <v/>
      </c>
      <c r="AA43" s="124" t="str">
        <f>IF(ISBLANK('RESUMEN VIGILANCIA'!AA59),"",'RESUMEN VIGILANCIA'!AA59)</f>
        <v/>
      </c>
      <c r="AB43" s="99" t="str">
        <f>IF(ISBLANK('RESUMEN VIGILANCIA'!AB59),"",'RESUMEN VIGILANCIA'!AB59)</f>
        <v/>
      </c>
      <c r="AC43" s="115">
        <f t="shared" si="0"/>
        <v>2825000</v>
      </c>
      <c r="AD43" s="292"/>
      <c r="AE43" s="292"/>
    </row>
    <row r="44" spans="1:31" s="52" customFormat="1" ht="20.100000000000001" customHeight="1" x14ac:dyDescent="0.25">
      <c r="A44" s="52" t="s">
        <v>53</v>
      </c>
      <c r="B44" s="54" t="s">
        <v>55</v>
      </c>
      <c r="C44" s="152" t="s">
        <v>940</v>
      </c>
      <c r="D44" s="99" t="str">
        <f>IF(ISBLANK('RESUMEN VIGILANCIA'!D60),"",'RESUMEN VIGILANCIA'!D60)</f>
        <v/>
      </c>
      <c r="E44" s="153">
        <f>IF(ISBLANK('RESUMEN VIGILANCIA'!E60),"",'RESUMEN VIGILANCIA'!E60)</f>
        <v>17000</v>
      </c>
      <c r="F44" s="41">
        <f>IF(ISBLANK('RESUMEN VIGILANCIA'!F60),"",'RESUMEN VIGILANCIA'!F60)</f>
        <v>17000</v>
      </c>
      <c r="G44" s="41">
        <f>IF(ISBLANK('RESUMEN VIGILANCIA'!G60),"",'RESUMEN VIGILANCIA'!G60)</f>
        <v>17000</v>
      </c>
      <c r="H44" s="41">
        <f>IF(ISBLANK('RESUMEN VIGILANCIA'!H60),"",'RESUMEN VIGILANCIA'!H60)</f>
        <v>17000</v>
      </c>
      <c r="I44" s="41">
        <f>IF(ISBLANK('RESUMEN VIGILANCIA'!I60),"",'RESUMEN VIGILANCIA'!I60)</f>
        <v>26000</v>
      </c>
      <c r="J44" s="41">
        <f>IF(ISBLANK('RESUMEN VIGILANCIA'!J60),"",'RESUMEN VIGILANCIA'!J60)</f>
        <v>26000</v>
      </c>
      <c r="K44" s="41">
        <f>IF(ISBLANK('RESUMEN VIGILANCIA'!K60),"",'RESUMEN VIGILANCIA'!K60)</f>
        <v>35000</v>
      </c>
      <c r="L44" s="41">
        <f>IF(ISBLANK('RESUMEN VIGILANCIA'!L60),"",'RESUMEN VIGILANCIA'!L60)</f>
        <v>35000</v>
      </c>
      <c r="M44" s="41">
        <f>IF(ISBLANK('RESUMEN VIGILANCIA'!M60),"",'RESUMEN VIGILANCIA'!M60)</f>
        <v>35000</v>
      </c>
      <c r="N44" s="41">
        <f>IF(ISBLANK('RESUMEN VIGILANCIA'!N60),"",'RESUMEN VIGILANCIA'!N60)</f>
        <v>35000</v>
      </c>
      <c r="O44" s="124">
        <f>IF(ISBLANK('RESUMEN VIGILANCIA'!O60),"",'RESUMEN VIGILANCIA'!O60)</f>
        <v>50000</v>
      </c>
      <c r="P44" s="99">
        <f>IF(ISBLANK('RESUMEN VIGILANCIA'!P60),"",'RESUMEN VIGILANCIA'!P60)</f>
        <v>50000</v>
      </c>
      <c r="Q44" s="128">
        <f>IF(ISBLANK('RESUMEN VIGILANCIA'!Q60),"",'RESUMEN VIGILANCIA'!Q60)</f>
        <v>80000</v>
      </c>
      <c r="R44" s="124">
        <f>IF(ISBLANK('RESUMEN VIGILANCIA'!R60),"",'RESUMEN VIGILANCIA'!R60)</f>
        <v>80000</v>
      </c>
      <c r="S44" s="124">
        <f>IF(ISBLANK('RESUMEN VIGILANCIA'!S60),"",'RESUMEN VIGILANCIA'!S60)</f>
        <v>150000</v>
      </c>
      <c r="T44" s="124">
        <f>IF(ISBLANK('RESUMEN VIGILANCIA'!T60),"",'RESUMEN VIGILANCIA'!T60)</f>
        <v>150000</v>
      </c>
      <c r="U44" s="124">
        <f>IF(ISBLANK('RESUMEN VIGILANCIA'!U60),"",'RESUMEN VIGILANCIA'!U60)</f>
        <v>400000</v>
      </c>
      <c r="V44" s="124">
        <f>IF(ISBLANK('RESUMEN VIGILANCIA'!V60),"",'RESUMEN VIGILANCIA'!V60)</f>
        <v>625000</v>
      </c>
      <c r="W44" s="124">
        <f>IF(ISBLANK('RESUMEN VIGILANCIA'!W60),"",'RESUMEN VIGILANCIA'!W60)</f>
        <v>1000000</v>
      </c>
      <c r="X44" s="124" t="str">
        <f>IF(ISBLANK('RESUMEN VIGILANCIA'!X60),"",'RESUMEN VIGILANCIA'!X60)</f>
        <v/>
      </c>
      <c r="Y44" s="124" t="str">
        <f>IF(ISBLANK('RESUMEN VIGILANCIA'!Y60),"",'RESUMEN VIGILANCIA'!Y60)</f>
        <v/>
      </c>
      <c r="Z44" s="124" t="str">
        <f>IF(ISBLANK('RESUMEN VIGILANCIA'!Z60),"",'RESUMEN VIGILANCIA'!Z60)</f>
        <v/>
      </c>
      <c r="AA44" s="124" t="str">
        <f>IF(ISBLANK('RESUMEN VIGILANCIA'!AA60),"",'RESUMEN VIGILANCIA'!AA60)</f>
        <v/>
      </c>
      <c r="AB44" s="99" t="str">
        <f>IF(ISBLANK('RESUMEN VIGILANCIA'!AB60),"",'RESUMEN VIGILANCIA'!AB60)</f>
        <v/>
      </c>
      <c r="AC44" s="115">
        <f t="shared" si="0"/>
        <v>2845000</v>
      </c>
      <c r="AD44" s="292"/>
      <c r="AE44" s="292"/>
    </row>
    <row r="45" spans="1:31" s="52" customFormat="1" ht="20.100000000000001" customHeight="1" x14ac:dyDescent="0.25">
      <c r="A45" s="56" t="s">
        <v>492</v>
      </c>
      <c r="B45" s="57" t="s">
        <v>493</v>
      </c>
      <c r="C45" s="150" t="s">
        <v>938</v>
      </c>
      <c r="D45" s="100" t="str">
        <f>IF(ISBLANK('RESUMEN VIGILANCIA'!D61),"",'RESUMEN VIGILANCIA'!D61)</f>
        <v/>
      </c>
      <c r="E45" s="151">
        <f>IF(ISBLANK('RESUMEN VIGILANCIA'!E61),"",'RESUMEN VIGILANCIA'!E61)</f>
        <v>2000</v>
      </c>
      <c r="F45" s="43">
        <f>IF(ISBLANK('RESUMEN VIGILANCIA'!F61),"",'RESUMEN VIGILANCIA'!F61)</f>
        <v>2000</v>
      </c>
      <c r="G45" s="43">
        <f>IF(ISBLANK('RESUMEN VIGILANCIA'!G61),"",'RESUMEN VIGILANCIA'!G61)</f>
        <v>2000</v>
      </c>
      <c r="H45" s="43">
        <f>IF(ISBLANK('RESUMEN VIGILANCIA'!H61),"",'RESUMEN VIGILANCIA'!H61)</f>
        <v>2000</v>
      </c>
      <c r="I45" s="43">
        <f>IF(ISBLANK('RESUMEN VIGILANCIA'!I61),"",'RESUMEN VIGILANCIA'!I61)</f>
        <v>2000</v>
      </c>
      <c r="J45" s="43" t="str">
        <f>IF(ISBLANK('RESUMEN VIGILANCIA'!J61),"",'RESUMEN VIGILANCIA'!J61)</f>
        <v/>
      </c>
      <c r="K45" s="43" t="str">
        <f>IF(ISBLANK('RESUMEN VIGILANCIA'!K61),"",'RESUMEN VIGILANCIA'!K61)</f>
        <v/>
      </c>
      <c r="L45" s="43" t="str">
        <f>IF(ISBLANK('RESUMEN VIGILANCIA'!L61),"",'RESUMEN VIGILANCIA'!L61)</f>
        <v/>
      </c>
      <c r="M45" s="43" t="str">
        <f>IF(ISBLANK('RESUMEN VIGILANCIA'!M61),"",'RESUMEN VIGILANCIA'!M61)</f>
        <v/>
      </c>
      <c r="N45" s="43" t="str">
        <f>IF(ISBLANK('RESUMEN VIGILANCIA'!N61),"",'RESUMEN VIGILANCIA'!N61)</f>
        <v/>
      </c>
      <c r="O45" s="123" t="str">
        <f>IF(ISBLANK('RESUMEN VIGILANCIA'!O61),"",'RESUMEN VIGILANCIA'!O61)</f>
        <v/>
      </c>
      <c r="P45" s="100" t="str">
        <f>IF(ISBLANK('RESUMEN VIGILANCIA'!P61),"",'RESUMEN VIGILANCIA'!P61)</f>
        <v/>
      </c>
      <c r="Q45" s="130" t="str">
        <f>IF(ISBLANK('RESUMEN VIGILANCIA'!Q61),"",'RESUMEN VIGILANCIA'!Q61)</f>
        <v/>
      </c>
      <c r="R45" s="123" t="str">
        <f>IF(ISBLANK('RESUMEN VIGILANCIA'!R61),"",'RESUMEN VIGILANCIA'!R61)</f>
        <v/>
      </c>
      <c r="S45" s="123" t="str">
        <f>IF(ISBLANK('RESUMEN VIGILANCIA'!S61),"",'RESUMEN VIGILANCIA'!S61)</f>
        <v/>
      </c>
      <c r="T45" s="123">
        <f>IF(ISBLANK('RESUMEN VIGILANCIA'!T61),"",'RESUMEN VIGILANCIA'!T61)</f>
        <v>140000</v>
      </c>
      <c r="U45" s="123">
        <f>IF(ISBLANK('RESUMEN VIGILANCIA'!U61),"",'RESUMEN VIGILANCIA'!U61)</f>
        <v>100000</v>
      </c>
      <c r="V45" s="123">
        <f>IF(ISBLANK('RESUMEN VIGILANCIA'!V61),"",'RESUMEN VIGILANCIA'!V61)</f>
        <v>100000</v>
      </c>
      <c r="W45" s="123">
        <f>IF(ISBLANK('RESUMEN VIGILANCIA'!W61),"",'RESUMEN VIGILANCIA'!W61)</f>
        <v>200000</v>
      </c>
      <c r="X45" s="123" t="str">
        <f>IF(ISBLANK('RESUMEN VIGILANCIA'!X61),"",'RESUMEN VIGILANCIA'!X61)</f>
        <v/>
      </c>
      <c r="Y45" s="123" t="str">
        <f>IF(ISBLANK('RESUMEN VIGILANCIA'!Y61),"",'RESUMEN VIGILANCIA'!Y61)</f>
        <v/>
      </c>
      <c r="Z45" s="123" t="str">
        <f>IF(ISBLANK('RESUMEN VIGILANCIA'!Z61),"",'RESUMEN VIGILANCIA'!Z61)</f>
        <v/>
      </c>
      <c r="AA45" s="123" t="str">
        <f>IF(ISBLANK('RESUMEN VIGILANCIA'!AA61),"",'RESUMEN VIGILANCIA'!AA61)</f>
        <v/>
      </c>
      <c r="AB45" s="100" t="str">
        <f>IF(ISBLANK('RESUMEN VIGILANCIA'!AB61),"",'RESUMEN VIGILANCIA'!AB61)</f>
        <v/>
      </c>
      <c r="AC45" s="114">
        <f t="shared" si="0"/>
        <v>550000</v>
      </c>
      <c r="AD45" s="291"/>
      <c r="AE45" s="291"/>
    </row>
    <row r="46" spans="1:31" s="52" customFormat="1" ht="20.100000000000001" customHeight="1" x14ac:dyDescent="0.25">
      <c r="A46" s="53" t="s">
        <v>852</v>
      </c>
      <c r="B46" s="54" t="s">
        <v>853</v>
      </c>
      <c r="C46" s="152" t="s">
        <v>939</v>
      </c>
      <c r="D46" s="99" t="str">
        <f>IF(ISBLANK('RESUMEN VIGILANCIA'!D62),"",'RESUMEN VIGILANCIA'!D62)</f>
        <v/>
      </c>
      <c r="E46" s="153" t="str">
        <f>IF(ISBLANK('RESUMEN VIGILANCIA'!E62),"",'RESUMEN VIGILANCIA'!E62)</f>
        <v/>
      </c>
      <c r="F46" s="41" t="str">
        <f>IF(ISBLANK('RESUMEN VIGILANCIA'!F62),"",'RESUMEN VIGILANCIA'!F62)</f>
        <v/>
      </c>
      <c r="G46" s="41" t="str">
        <f>IF(ISBLANK('RESUMEN VIGILANCIA'!G62),"",'RESUMEN VIGILANCIA'!G62)</f>
        <v/>
      </c>
      <c r="H46" s="41" t="str">
        <f>IF(ISBLANK('RESUMEN VIGILANCIA'!H62),"",'RESUMEN VIGILANCIA'!H62)</f>
        <v/>
      </c>
      <c r="I46" s="41" t="str">
        <f>IF(ISBLANK('RESUMEN VIGILANCIA'!I62),"",'RESUMEN VIGILANCIA'!I62)</f>
        <v/>
      </c>
      <c r="J46" s="41" t="str">
        <f>IF(ISBLANK('RESUMEN VIGILANCIA'!J62),"",'RESUMEN VIGILANCIA'!J62)</f>
        <v/>
      </c>
      <c r="K46" s="41" t="str">
        <f>IF(ISBLANK('RESUMEN VIGILANCIA'!K62),"",'RESUMEN VIGILANCIA'!K62)</f>
        <v/>
      </c>
      <c r="L46" s="41" t="str">
        <f>IF(ISBLANK('RESUMEN VIGILANCIA'!L62),"",'RESUMEN VIGILANCIA'!L62)</f>
        <v/>
      </c>
      <c r="M46" s="41" t="str">
        <f>IF(ISBLANK('RESUMEN VIGILANCIA'!M62),"",'RESUMEN VIGILANCIA'!M62)</f>
        <v/>
      </c>
      <c r="N46" s="41" t="str">
        <f>IF(ISBLANK('RESUMEN VIGILANCIA'!N62),"",'RESUMEN VIGILANCIA'!N62)</f>
        <v/>
      </c>
      <c r="O46" s="124" t="str">
        <f>IF(ISBLANK('RESUMEN VIGILANCIA'!O62),"",'RESUMEN VIGILANCIA'!O62)</f>
        <v/>
      </c>
      <c r="P46" s="99" t="str">
        <f>IF(ISBLANK('RESUMEN VIGILANCIA'!P62),"",'RESUMEN VIGILANCIA'!P62)</f>
        <v/>
      </c>
      <c r="Q46" s="128" t="str">
        <f>IF(ISBLANK('RESUMEN VIGILANCIA'!Q62),"",'RESUMEN VIGILANCIA'!Q62)</f>
        <v/>
      </c>
      <c r="R46" s="124" t="str">
        <f>IF(ISBLANK('RESUMEN VIGILANCIA'!R62),"",'RESUMEN VIGILANCIA'!R62)</f>
        <v/>
      </c>
      <c r="S46" s="124" t="str">
        <f>IF(ISBLANK('RESUMEN VIGILANCIA'!S62),"",'RESUMEN VIGILANCIA'!S62)</f>
        <v/>
      </c>
      <c r="T46" s="124" t="str">
        <f>IF(ISBLANK('RESUMEN VIGILANCIA'!T62),"",'RESUMEN VIGILANCIA'!T62)</f>
        <v/>
      </c>
      <c r="U46" s="124" t="str">
        <f>IF(ISBLANK('RESUMEN VIGILANCIA'!U62),"",'RESUMEN VIGILANCIA'!U62)</f>
        <v/>
      </c>
      <c r="V46" s="124" t="str">
        <f>IF(ISBLANK('RESUMEN VIGILANCIA'!V62),"",'RESUMEN VIGILANCIA'!V62)</f>
        <v/>
      </c>
      <c r="W46" s="124" t="str">
        <f>IF(ISBLANK('RESUMEN VIGILANCIA'!W62),"",'RESUMEN VIGILANCIA'!W62)</f>
        <v/>
      </c>
      <c r="X46" s="124" t="str">
        <f>IF(ISBLANK('RESUMEN VIGILANCIA'!X62),"",'RESUMEN VIGILANCIA'!X62)</f>
        <v/>
      </c>
      <c r="Y46" s="124" t="str">
        <f>IF(ISBLANK('RESUMEN VIGILANCIA'!Y62),"",'RESUMEN VIGILANCIA'!Y62)</f>
        <v/>
      </c>
      <c r="Z46" s="124" t="str">
        <f>IF(ISBLANK('RESUMEN VIGILANCIA'!Z62),"",'RESUMEN VIGILANCIA'!Z62)</f>
        <v/>
      </c>
      <c r="AA46" s="124" t="str">
        <f>IF(ISBLANK('RESUMEN VIGILANCIA'!AA62),"",'RESUMEN VIGILANCIA'!AA62)</f>
        <v/>
      </c>
      <c r="AB46" s="99" t="str">
        <f>IF(ISBLANK('RESUMEN VIGILANCIA'!AB62),"",'RESUMEN VIGILANCIA'!AB62)</f>
        <v/>
      </c>
      <c r="AC46" s="115">
        <f t="shared" si="0"/>
        <v>0</v>
      </c>
      <c r="AD46" s="292"/>
      <c r="AE46" s="292"/>
    </row>
    <row r="47" spans="1:31" s="52" customFormat="1" ht="20.100000000000001" customHeight="1" x14ac:dyDescent="0.25">
      <c r="A47" s="56" t="s">
        <v>398</v>
      </c>
      <c r="B47" s="57" t="s">
        <v>399</v>
      </c>
      <c r="C47" s="150" t="s">
        <v>938</v>
      </c>
      <c r="D47" s="100">
        <f>IF(ISBLANK('RESUMEN VIGILANCIA'!D64),"",'RESUMEN VIGILANCIA'!D64)</f>
        <v>4000</v>
      </c>
      <c r="E47" s="151">
        <f>IF(ISBLANK('RESUMEN VIGILANCIA'!E64),"",'RESUMEN VIGILANCIA'!E64)</f>
        <v>3000</v>
      </c>
      <c r="F47" s="43">
        <f>IF(ISBLANK('RESUMEN VIGILANCIA'!F64),"",'RESUMEN VIGILANCIA'!F64)</f>
        <v>3000</v>
      </c>
      <c r="G47" s="43">
        <f>IF(ISBLANK('RESUMEN VIGILANCIA'!G64),"",'RESUMEN VIGILANCIA'!G64)</f>
        <v>3000</v>
      </c>
      <c r="H47" s="43">
        <f>IF(ISBLANK('RESUMEN VIGILANCIA'!H64),"",'RESUMEN VIGILANCIA'!H64)</f>
        <v>3000</v>
      </c>
      <c r="I47" s="43">
        <f>IF(ISBLANK('RESUMEN VIGILANCIA'!I64),"",'RESUMEN VIGILANCIA'!I64)</f>
        <v>3000</v>
      </c>
      <c r="J47" s="43">
        <f>IF(ISBLANK('RESUMEN VIGILANCIA'!J64),"",'RESUMEN VIGILANCIA'!J64)</f>
        <v>3000</v>
      </c>
      <c r="K47" s="43">
        <f>IF(ISBLANK('RESUMEN VIGILANCIA'!K64),"",'RESUMEN VIGILANCIA'!K64)</f>
        <v>6000</v>
      </c>
      <c r="L47" s="43">
        <f>IF(ISBLANK('RESUMEN VIGILANCIA'!L64),"",'RESUMEN VIGILANCIA'!L64)</f>
        <v>6500</v>
      </c>
      <c r="M47" s="43">
        <f>IF(ISBLANK('RESUMEN VIGILANCIA'!M64),"",'RESUMEN VIGILANCIA'!M64)</f>
        <v>14900</v>
      </c>
      <c r="N47" s="43">
        <f>IF(ISBLANK('RESUMEN VIGILANCIA'!N64),"",'RESUMEN VIGILANCIA'!N64)</f>
        <v>20000</v>
      </c>
      <c r="O47" s="123">
        <f>IF(ISBLANK('RESUMEN VIGILANCIA'!O64),"",'RESUMEN VIGILANCIA'!O64)</f>
        <v>18000</v>
      </c>
      <c r="P47" s="100">
        <f>IF(ISBLANK('RESUMEN VIGILANCIA'!P64),"",'RESUMEN VIGILANCIA'!P64)</f>
        <v>20000</v>
      </c>
      <c r="Q47" s="130">
        <f>IF(ISBLANK('RESUMEN VIGILANCIA'!Q64),"",'RESUMEN VIGILANCIA'!Q64)</f>
        <v>20000</v>
      </c>
      <c r="R47" s="123">
        <f>IF(ISBLANK('RESUMEN VIGILANCIA'!R64),"",'RESUMEN VIGILANCIA'!R64)</f>
        <v>20000</v>
      </c>
      <c r="S47" s="123">
        <f>IF(ISBLANK('RESUMEN VIGILANCIA'!S64),"",'RESUMEN VIGILANCIA'!S64)</f>
        <v>140000</v>
      </c>
      <c r="T47" s="123">
        <f>IF(ISBLANK('RESUMEN VIGILANCIA'!T64),"",'RESUMEN VIGILANCIA'!T64)</f>
        <v>140000</v>
      </c>
      <c r="U47" s="123" t="str">
        <f>IF(ISBLANK('RESUMEN VIGILANCIA'!U64),"",'RESUMEN VIGILANCIA'!U64)</f>
        <v/>
      </c>
      <c r="V47" s="123" t="str">
        <f>IF(ISBLANK('RESUMEN VIGILANCIA'!V64),"",'RESUMEN VIGILANCIA'!V64)</f>
        <v/>
      </c>
      <c r="W47" s="123" t="str">
        <f>IF(ISBLANK('RESUMEN VIGILANCIA'!W64),"",'RESUMEN VIGILANCIA'!W64)</f>
        <v/>
      </c>
      <c r="X47" s="123" t="str">
        <f>IF(ISBLANK('RESUMEN VIGILANCIA'!X64),"",'RESUMEN VIGILANCIA'!X64)</f>
        <v/>
      </c>
      <c r="Y47" s="123" t="str">
        <f>IF(ISBLANK('RESUMEN VIGILANCIA'!Y64),"",'RESUMEN VIGILANCIA'!Y64)</f>
        <v/>
      </c>
      <c r="Z47" s="123" t="str">
        <f>IF(ISBLANK('RESUMEN VIGILANCIA'!Z64),"",'RESUMEN VIGILANCIA'!Z64)</f>
        <v/>
      </c>
      <c r="AA47" s="123" t="str">
        <f>IF(ISBLANK('RESUMEN VIGILANCIA'!AA64),"",'RESUMEN VIGILANCIA'!AA64)</f>
        <v/>
      </c>
      <c r="AB47" s="100" t="str">
        <f>IF(ISBLANK('RESUMEN VIGILANCIA'!AB64),"",'RESUMEN VIGILANCIA'!AB64)</f>
        <v/>
      </c>
      <c r="AC47" s="114">
        <f t="shared" si="0"/>
        <v>427400</v>
      </c>
      <c r="AD47" s="291"/>
      <c r="AE47" s="291"/>
    </row>
    <row r="48" spans="1:31" s="52" customFormat="1" ht="20.100000000000001" customHeight="1" x14ac:dyDescent="0.25">
      <c r="A48" s="53" t="s">
        <v>90</v>
      </c>
      <c r="B48" s="54" t="s">
        <v>92</v>
      </c>
      <c r="C48" s="152" t="s">
        <v>940</v>
      </c>
      <c r="D48" s="99" t="str">
        <f>IF(ISBLANK('RESUMEN VIGILANCIA'!D63),"",'RESUMEN VIGILANCIA'!D63)</f>
        <v/>
      </c>
      <c r="E48" s="153">
        <f>IF(ISBLANK('RESUMEN VIGILANCIA'!E63),"",'RESUMEN VIGILANCIA'!E63)</f>
        <v>17000</v>
      </c>
      <c r="F48" s="41">
        <f>IF(ISBLANK('RESUMEN VIGILANCIA'!F63),"",'RESUMEN VIGILANCIA'!F63)</f>
        <v>17000</v>
      </c>
      <c r="G48" s="41">
        <f>IF(ISBLANK('RESUMEN VIGILANCIA'!G63),"",'RESUMEN VIGILANCIA'!G63)</f>
        <v>19000</v>
      </c>
      <c r="H48" s="41">
        <f>IF(ISBLANK('RESUMEN VIGILANCIA'!H63),"",'RESUMEN VIGILANCIA'!H63)</f>
        <v>17000</v>
      </c>
      <c r="I48" s="41">
        <f>IF(ISBLANK('RESUMEN VIGILANCIA'!I63),"",'RESUMEN VIGILANCIA'!I63)</f>
        <v>26000</v>
      </c>
      <c r="J48" s="41">
        <f>IF(ISBLANK('RESUMEN VIGILANCIA'!J63),"",'RESUMEN VIGILANCIA'!J63)</f>
        <v>26000</v>
      </c>
      <c r="K48" s="41">
        <f>IF(ISBLANK('RESUMEN VIGILANCIA'!K63),"",'RESUMEN VIGILANCIA'!K63)</f>
        <v>35000</v>
      </c>
      <c r="L48" s="41">
        <f>IF(ISBLANK('RESUMEN VIGILANCIA'!L63),"",'RESUMEN VIGILANCIA'!L63)</f>
        <v>35000</v>
      </c>
      <c r="M48" s="41">
        <f>IF(ISBLANK('RESUMEN VIGILANCIA'!M63),"",'RESUMEN VIGILANCIA'!M63)</f>
        <v>35000</v>
      </c>
      <c r="N48" s="41">
        <f>IF(ISBLANK('RESUMEN VIGILANCIA'!N63),"",'RESUMEN VIGILANCIA'!N63)</f>
        <v>35000</v>
      </c>
      <c r="O48" s="124">
        <f>IF(ISBLANK('RESUMEN VIGILANCIA'!O63),"",'RESUMEN VIGILANCIA'!O63)</f>
        <v>50000</v>
      </c>
      <c r="P48" s="99">
        <f>IF(ISBLANK('RESUMEN VIGILANCIA'!P63),"",'RESUMEN VIGILANCIA'!P63)</f>
        <v>50000</v>
      </c>
      <c r="Q48" s="128">
        <f>IF(ISBLANK('RESUMEN VIGILANCIA'!Q63),"",'RESUMEN VIGILANCIA'!Q63)</f>
        <v>80000</v>
      </c>
      <c r="R48" s="124">
        <f>IF(ISBLANK('RESUMEN VIGILANCIA'!R63),"",'RESUMEN VIGILANCIA'!R63)</f>
        <v>100000</v>
      </c>
      <c r="S48" s="124">
        <f>IF(ISBLANK('RESUMEN VIGILANCIA'!S63),"",'RESUMEN VIGILANCIA'!S63)</f>
        <v>140000</v>
      </c>
      <c r="T48" s="124">
        <f>IF(ISBLANK('RESUMEN VIGILANCIA'!T63),"",'RESUMEN VIGILANCIA'!T63)</f>
        <v>140000</v>
      </c>
      <c r="U48" s="124">
        <f>IF(ISBLANK('RESUMEN VIGILANCIA'!U63),"",'RESUMEN VIGILANCIA'!U63)</f>
        <v>400000</v>
      </c>
      <c r="V48" s="124">
        <f>IF(ISBLANK('RESUMEN VIGILANCIA'!V63),"",'RESUMEN VIGILANCIA'!V63)</f>
        <v>625000</v>
      </c>
      <c r="W48" s="124">
        <f>IF(ISBLANK('RESUMEN VIGILANCIA'!W63),"",'RESUMEN VIGILANCIA'!W63)</f>
        <v>1000000</v>
      </c>
      <c r="X48" s="124">
        <f>IF(ISBLANK('RESUMEN VIGILANCIA'!X63),"",'RESUMEN VIGILANCIA'!X63)</f>
        <v>50000</v>
      </c>
      <c r="Y48" s="124" t="str">
        <f>IF(ISBLANK('RESUMEN VIGILANCIA'!Y63),"",'RESUMEN VIGILANCIA'!Y63)</f>
        <v/>
      </c>
      <c r="Z48" s="124" t="str">
        <f>IF(ISBLANK('RESUMEN VIGILANCIA'!Z63),"",'RESUMEN VIGILANCIA'!Z63)</f>
        <v/>
      </c>
      <c r="AA48" s="124" t="str">
        <f>IF(ISBLANK('RESUMEN VIGILANCIA'!AA63),"",'RESUMEN VIGILANCIA'!AA63)</f>
        <v/>
      </c>
      <c r="AB48" s="99" t="str">
        <f>IF(ISBLANK('RESUMEN VIGILANCIA'!AB63),"",'RESUMEN VIGILANCIA'!AB63)</f>
        <v/>
      </c>
      <c r="AC48" s="115">
        <f t="shared" si="0"/>
        <v>2897000</v>
      </c>
      <c r="AD48" s="292"/>
      <c r="AE48" s="292"/>
    </row>
    <row r="49" spans="1:31" s="52" customFormat="1" ht="20.100000000000001" customHeight="1" x14ac:dyDescent="0.25">
      <c r="A49" s="53" t="s">
        <v>103</v>
      </c>
      <c r="B49" s="54" t="s">
        <v>105</v>
      </c>
      <c r="C49" s="152" t="s">
        <v>940</v>
      </c>
      <c r="D49" s="99" t="str">
        <f>IF(ISBLANK('RESUMEN VIGILANCIA'!D58),"",'RESUMEN VIGILANCIA'!D58)</f>
        <v/>
      </c>
      <c r="E49" s="153">
        <f>IF(ISBLANK('RESUMEN VIGILANCIA'!E58),"",'RESUMEN VIGILANCIA'!E58)</f>
        <v>17000</v>
      </c>
      <c r="F49" s="41">
        <f>IF(ISBLANK('RESUMEN VIGILANCIA'!F58),"",'RESUMEN VIGILANCIA'!F58)</f>
        <v>17000</v>
      </c>
      <c r="G49" s="41">
        <f>IF(ISBLANK('RESUMEN VIGILANCIA'!G58),"",'RESUMEN VIGILANCIA'!G58)</f>
        <v>17000</v>
      </c>
      <c r="H49" s="41">
        <f>IF(ISBLANK('RESUMEN VIGILANCIA'!H58),"",'RESUMEN VIGILANCIA'!H58)</f>
        <v>17000</v>
      </c>
      <c r="I49" s="41">
        <f>IF(ISBLANK('RESUMEN VIGILANCIA'!I58),"",'RESUMEN VIGILANCIA'!I58)</f>
        <v>26000</v>
      </c>
      <c r="J49" s="41">
        <f>IF(ISBLANK('RESUMEN VIGILANCIA'!J58),"",'RESUMEN VIGILANCIA'!J58)</f>
        <v>26000</v>
      </c>
      <c r="K49" s="41">
        <f>IF(ISBLANK('RESUMEN VIGILANCIA'!K58),"",'RESUMEN VIGILANCIA'!K58)</f>
        <v>35000</v>
      </c>
      <c r="L49" s="41">
        <f>IF(ISBLANK('RESUMEN VIGILANCIA'!L58),"",'RESUMEN VIGILANCIA'!L58)</f>
        <v>35000</v>
      </c>
      <c r="M49" s="41">
        <f>IF(ISBLANK('RESUMEN VIGILANCIA'!M58),"",'RESUMEN VIGILANCIA'!M58)</f>
        <v>35000</v>
      </c>
      <c r="N49" s="41">
        <f>IF(ISBLANK('RESUMEN VIGILANCIA'!N58),"",'RESUMEN VIGILANCIA'!N58)</f>
        <v>35000</v>
      </c>
      <c r="O49" s="124">
        <f>IF(ISBLANK('RESUMEN VIGILANCIA'!O58),"",'RESUMEN VIGILANCIA'!O58)</f>
        <v>50000</v>
      </c>
      <c r="P49" s="99">
        <f>IF(ISBLANK('RESUMEN VIGILANCIA'!P58),"",'RESUMEN VIGILANCIA'!P58)</f>
        <v>50000</v>
      </c>
      <c r="Q49" s="128">
        <f>IF(ISBLANK('RESUMEN VIGILANCIA'!Q58),"",'RESUMEN VIGILANCIA'!Q58)</f>
        <v>80000</v>
      </c>
      <c r="R49" s="124">
        <f>IF(ISBLANK('RESUMEN VIGILANCIA'!R58),"",'RESUMEN VIGILANCIA'!R58)</f>
        <v>80000</v>
      </c>
      <c r="S49" s="124">
        <f>IF(ISBLANK('RESUMEN VIGILANCIA'!S58),"",'RESUMEN VIGILANCIA'!S58)</f>
        <v>140000</v>
      </c>
      <c r="T49" s="124">
        <f>IF(ISBLANK('RESUMEN VIGILANCIA'!T58),"",'RESUMEN VIGILANCIA'!T58)</f>
        <v>140000</v>
      </c>
      <c r="U49" s="124">
        <f>IF(ISBLANK('RESUMEN VIGILANCIA'!U58),"",'RESUMEN VIGILANCIA'!U58)</f>
        <v>400000</v>
      </c>
      <c r="V49" s="124">
        <f>IF(ISBLANK('RESUMEN VIGILANCIA'!V58),"",'RESUMEN VIGILANCIA'!V58)</f>
        <v>650000</v>
      </c>
      <c r="W49" s="124">
        <f>IF(ISBLANK('RESUMEN VIGILANCIA'!W58),"",'RESUMEN VIGILANCIA'!W58)</f>
        <v>1000000</v>
      </c>
      <c r="X49" s="124">
        <f>IF(ISBLANK('RESUMEN VIGILANCIA'!X58),"",'RESUMEN VIGILANCIA'!X58)</f>
        <v>1200000</v>
      </c>
      <c r="Y49" s="124" t="str">
        <f>IF(ISBLANK('RESUMEN VIGILANCIA'!Y58),"",'RESUMEN VIGILANCIA'!Y58)</f>
        <v/>
      </c>
      <c r="Z49" s="124" t="str">
        <f>IF(ISBLANK('RESUMEN VIGILANCIA'!Z58),"",'RESUMEN VIGILANCIA'!Z58)</f>
        <v/>
      </c>
      <c r="AA49" s="124" t="str">
        <f>IF(ISBLANK('RESUMEN VIGILANCIA'!AA58),"",'RESUMEN VIGILANCIA'!AA58)</f>
        <v/>
      </c>
      <c r="AB49" s="99" t="str">
        <f>IF(ISBLANK('RESUMEN VIGILANCIA'!AB58),"",'RESUMEN VIGILANCIA'!AB58)</f>
        <v/>
      </c>
      <c r="AC49" s="115">
        <f t="shared" si="0"/>
        <v>4050000</v>
      </c>
      <c r="AD49" s="292"/>
      <c r="AE49" s="292"/>
    </row>
    <row r="50" spans="1:31" s="52" customFormat="1" ht="20.100000000000001" customHeight="1" x14ac:dyDescent="0.25">
      <c r="A50" s="53" t="s">
        <v>856</v>
      </c>
      <c r="B50" s="54" t="s">
        <v>857</v>
      </c>
      <c r="C50" s="152" t="s">
        <v>940</v>
      </c>
      <c r="D50" s="99" t="str">
        <f>IF(ISBLANK('RESUMEN VIGILANCIA'!D67),"",'RESUMEN VIGILANCIA'!D67)</f>
        <v/>
      </c>
      <c r="E50" s="153" t="str">
        <f>IF(ISBLANK('RESUMEN VIGILANCIA'!E67),"",'RESUMEN VIGILANCIA'!E67)</f>
        <v/>
      </c>
      <c r="F50" s="41" t="str">
        <f>IF(ISBLANK('RESUMEN VIGILANCIA'!F67),"",'RESUMEN VIGILANCIA'!F67)</f>
        <v/>
      </c>
      <c r="G50" s="41" t="str">
        <f>IF(ISBLANK('RESUMEN VIGILANCIA'!G67),"",'RESUMEN VIGILANCIA'!G67)</f>
        <v/>
      </c>
      <c r="H50" s="41" t="str">
        <f>IF(ISBLANK('RESUMEN VIGILANCIA'!H67),"",'RESUMEN VIGILANCIA'!H67)</f>
        <v/>
      </c>
      <c r="I50" s="41" t="str">
        <f>IF(ISBLANK('RESUMEN VIGILANCIA'!I67),"",'RESUMEN VIGILANCIA'!I67)</f>
        <v/>
      </c>
      <c r="J50" s="41" t="str">
        <f>IF(ISBLANK('RESUMEN VIGILANCIA'!J67),"",'RESUMEN VIGILANCIA'!J67)</f>
        <v/>
      </c>
      <c r="K50" s="41" t="str">
        <f>IF(ISBLANK('RESUMEN VIGILANCIA'!K67),"",'RESUMEN VIGILANCIA'!K67)</f>
        <v/>
      </c>
      <c r="L50" s="41" t="str">
        <f>IF(ISBLANK('RESUMEN VIGILANCIA'!L67),"",'RESUMEN VIGILANCIA'!L67)</f>
        <v/>
      </c>
      <c r="M50" s="41" t="str">
        <f>IF(ISBLANK('RESUMEN VIGILANCIA'!M67),"",'RESUMEN VIGILANCIA'!M67)</f>
        <v/>
      </c>
      <c r="N50" s="41" t="str">
        <f>IF(ISBLANK('RESUMEN VIGILANCIA'!N67),"",'RESUMEN VIGILANCIA'!N67)</f>
        <v/>
      </c>
      <c r="O50" s="124" t="str">
        <f>IF(ISBLANK('RESUMEN VIGILANCIA'!O67),"",'RESUMEN VIGILANCIA'!O67)</f>
        <v/>
      </c>
      <c r="P50" s="99" t="str">
        <f>IF(ISBLANK('RESUMEN VIGILANCIA'!P67),"",'RESUMEN VIGILANCIA'!P67)</f>
        <v/>
      </c>
      <c r="Q50" s="128" t="str">
        <f>IF(ISBLANK('RESUMEN VIGILANCIA'!Q67),"",'RESUMEN VIGILANCIA'!Q67)</f>
        <v/>
      </c>
      <c r="R50" s="124" t="str">
        <f>IF(ISBLANK('RESUMEN VIGILANCIA'!R67),"",'RESUMEN VIGILANCIA'!R67)</f>
        <v/>
      </c>
      <c r="S50" s="124" t="str">
        <f>IF(ISBLANK('RESUMEN VIGILANCIA'!S67),"",'RESUMEN VIGILANCIA'!S67)</f>
        <v/>
      </c>
      <c r="T50" s="124" t="str">
        <f>IF(ISBLANK('RESUMEN VIGILANCIA'!T67),"",'RESUMEN VIGILANCIA'!T67)</f>
        <v/>
      </c>
      <c r="U50" s="124" t="str">
        <f>IF(ISBLANK('RESUMEN VIGILANCIA'!U67),"",'RESUMEN VIGILANCIA'!U67)</f>
        <v/>
      </c>
      <c r="V50" s="124" t="str">
        <f>IF(ISBLANK('RESUMEN VIGILANCIA'!V67),"",'RESUMEN VIGILANCIA'!V67)</f>
        <v/>
      </c>
      <c r="W50" s="124" t="str">
        <f>IF(ISBLANK('RESUMEN VIGILANCIA'!W67),"",'RESUMEN VIGILANCIA'!W67)</f>
        <v/>
      </c>
      <c r="X50" s="124" t="str">
        <f>IF(ISBLANK('RESUMEN VIGILANCIA'!X67),"",'RESUMEN VIGILANCIA'!X67)</f>
        <v/>
      </c>
      <c r="Y50" s="124" t="str">
        <f>IF(ISBLANK('RESUMEN VIGILANCIA'!Y67),"",'RESUMEN VIGILANCIA'!Y67)</f>
        <v/>
      </c>
      <c r="Z50" s="124" t="str">
        <f>IF(ISBLANK('RESUMEN VIGILANCIA'!Z67),"",'RESUMEN VIGILANCIA'!Z67)</f>
        <v/>
      </c>
      <c r="AA50" s="124" t="str">
        <f>IF(ISBLANK('RESUMEN VIGILANCIA'!AA67),"",'RESUMEN VIGILANCIA'!AA67)</f>
        <v/>
      </c>
      <c r="AB50" s="99" t="str">
        <f>IF(ISBLANK('RESUMEN VIGILANCIA'!AB67),"",'RESUMEN VIGILANCIA'!AB67)</f>
        <v/>
      </c>
      <c r="AC50" s="115">
        <f t="shared" si="0"/>
        <v>0</v>
      </c>
      <c r="AD50" s="292"/>
      <c r="AE50" s="292"/>
    </row>
    <row r="51" spans="1:31" s="52" customFormat="1" ht="20.100000000000001" customHeight="1" x14ac:dyDescent="0.25">
      <c r="A51" s="53" t="s">
        <v>850</v>
      </c>
      <c r="B51" s="54" t="s">
        <v>851</v>
      </c>
      <c r="C51" s="152" t="s">
        <v>941</v>
      </c>
      <c r="D51" s="99" t="str">
        <f>IF(ISBLANK('RESUMEN VIGILANCIA'!D57),"",'RESUMEN VIGILANCIA'!D57)</f>
        <v/>
      </c>
      <c r="E51" s="153" t="str">
        <f>IF(ISBLANK('RESUMEN VIGILANCIA'!E57),"",'RESUMEN VIGILANCIA'!E57)</f>
        <v/>
      </c>
      <c r="F51" s="41" t="str">
        <f>IF(ISBLANK('RESUMEN VIGILANCIA'!F57),"",'RESUMEN VIGILANCIA'!F57)</f>
        <v/>
      </c>
      <c r="G51" s="41" t="str">
        <f>IF(ISBLANK('RESUMEN VIGILANCIA'!G57),"",'RESUMEN VIGILANCIA'!G57)</f>
        <v/>
      </c>
      <c r="H51" s="41" t="str">
        <f>IF(ISBLANK('RESUMEN VIGILANCIA'!H57),"",'RESUMEN VIGILANCIA'!H57)</f>
        <v/>
      </c>
      <c r="I51" s="41" t="str">
        <f>IF(ISBLANK('RESUMEN VIGILANCIA'!I57),"",'RESUMEN VIGILANCIA'!I57)</f>
        <v/>
      </c>
      <c r="J51" s="41" t="str">
        <f>IF(ISBLANK('RESUMEN VIGILANCIA'!J57),"",'RESUMEN VIGILANCIA'!J57)</f>
        <v/>
      </c>
      <c r="K51" s="41" t="str">
        <f>IF(ISBLANK('RESUMEN VIGILANCIA'!K57),"",'RESUMEN VIGILANCIA'!K57)</f>
        <v/>
      </c>
      <c r="L51" s="41" t="str">
        <f>IF(ISBLANK('RESUMEN VIGILANCIA'!L57),"",'RESUMEN VIGILANCIA'!L57)</f>
        <v/>
      </c>
      <c r="M51" s="41" t="str">
        <f>IF(ISBLANK('RESUMEN VIGILANCIA'!M57),"",'RESUMEN VIGILANCIA'!M57)</f>
        <v/>
      </c>
      <c r="N51" s="41" t="str">
        <f>IF(ISBLANK('RESUMEN VIGILANCIA'!N57),"",'RESUMEN VIGILANCIA'!N57)</f>
        <v/>
      </c>
      <c r="O51" s="124" t="str">
        <f>IF(ISBLANK('RESUMEN VIGILANCIA'!O57),"",'RESUMEN VIGILANCIA'!O57)</f>
        <v/>
      </c>
      <c r="P51" s="99" t="str">
        <f>IF(ISBLANK('RESUMEN VIGILANCIA'!P57),"",'RESUMEN VIGILANCIA'!P57)</f>
        <v/>
      </c>
      <c r="Q51" s="128" t="str">
        <f>IF(ISBLANK('RESUMEN VIGILANCIA'!Q57),"",'RESUMEN VIGILANCIA'!Q57)</f>
        <v/>
      </c>
      <c r="R51" s="124" t="str">
        <f>IF(ISBLANK('RESUMEN VIGILANCIA'!R57),"",'RESUMEN VIGILANCIA'!R57)</f>
        <v/>
      </c>
      <c r="S51" s="124" t="str">
        <f>IF(ISBLANK('RESUMEN VIGILANCIA'!S57),"",'RESUMEN VIGILANCIA'!S57)</f>
        <v/>
      </c>
      <c r="T51" s="124" t="str">
        <f>IF(ISBLANK('RESUMEN VIGILANCIA'!T57),"",'RESUMEN VIGILANCIA'!T57)</f>
        <v/>
      </c>
      <c r="U51" s="124" t="str">
        <f>IF(ISBLANK('RESUMEN VIGILANCIA'!U57),"",'RESUMEN VIGILANCIA'!U57)</f>
        <v/>
      </c>
      <c r="V51" s="124" t="str">
        <f>IF(ISBLANK('RESUMEN VIGILANCIA'!V57),"",'RESUMEN VIGILANCIA'!V57)</f>
        <v/>
      </c>
      <c r="W51" s="124" t="str">
        <f>IF(ISBLANK('RESUMEN VIGILANCIA'!W57),"",'RESUMEN VIGILANCIA'!W57)</f>
        <v/>
      </c>
      <c r="X51" s="124" t="str">
        <f>IF(ISBLANK('RESUMEN VIGILANCIA'!X57),"",'RESUMEN VIGILANCIA'!X57)</f>
        <v/>
      </c>
      <c r="Y51" s="124" t="str">
        <f>IF(ISBLANK('RESUMEN VIGILANCIA'!Y57),"",'RESUMEN VIGILANCIA'!Y57)</f>
        <v/>
      </c>
      <c r="Z51" s="124" t="str">
        <f>IF(ISBLANK('RESUMEN VIGILANCIA'!Z57),"",'RESUMEN VIGILANCIA'!Z57)</f>
        <v/>
      </c>
      <c r="AA51" s="124" t="str">
        <f>IF(ISBLANK('RESUMEN VIGILANCIA'!AA57),"",'RESUMEN VIGILANCIA'!AA57)</f>
        <v/>
      </c>
      <c r="AB51" s="99" t="str">
        <f>IF(ISBLANK('RESUMEN VIGILANCIA'!AB57),"",'RESUMEN VIGILANCIA'!AB57)</f>
        <v/>
      </c>
      <c r="AC51" s="115">
        <f t="shared" si="0"/>
        <v>0</v>
      </c>
      <c r="AD51" s="292"/>
      <c r="AE51" s="292"/>
    </row>
    <row r="52" spans="1:31" s="52" customFormat="1" ht="20.100000000000001" customHeight="1" x14ac:dyDescent="0.25">
      <c r="A52" s="53" t="s">
        <v>817</v>
      </c>
      <c r="B52" s="54" t="s">
        <v>816</v>
      </c>
      <c r="C52" s="152" t="s">
        <v>941</v>
      </c>
      <c r="D52" s="99" t="str">
        <f>IF(ISBLANK('RESUMEN VIGILANCIA'!D16),"",'RESUMEN VIGILANCIA'!D16)</f>
        <v/>
      </c>
      <c r="E52" s="153" t="str">
        <f>IF(ISBLANK('RESUMEN VIGILANCIA'!E16),"",'RESUMEN VIGILANCIA'!E16)</f>
        <v/>
      </c>
      <c r="F52" s="41" t="str">
        <f>IF(ISBLANK('RESUMEN VIGILANCIA'!F16),"",'RESUMEN VIGILANCIA'!F16)</f>
        <v/>
      </c>
      <c r="G52" s="41" t="str">
        <f>IF(ISBLANK('RESUMEN VIGILANCIA'!G16),"",'RESUMEN VIGILANCIA'!G16)</f>
        <v/>
      </c>
      <c r="H52" s="41" t="str">
        <f>IF(ISBLANK('RESUMEN VIGILANCIA'!H16),"",'RESUMEN VIGILANCIA'!H16)</f>
        <v/>
      </c>
      <c r="I52" s="41" t="str">
        <f>IF(ISBLANK('RESUMEN VIGILANCIA'!I16),"",'RESUMEN VIGILANCIA'!I16)</f>
        <v/>
      </c>
      <c r="J52" s="41" t="str">
        <f>IF(ISBLANK('RESUMEN VIGILANCIA'!J16),"",'RESUMEN VIGILANCIA'!J16)</f>
        <v/>
      </c>
      <c r="K52" s="41" t="str">
        <f>IF(ISBLANK('RESUMEN VIGILANCIA'!K16),"",'RESUMEN VIGILANCIA'!K16)</f>
        <v/>
      </c>
      <c r="L52" s="41" t="str">
        <f>IF(ISBLANK('RESUMEN VIGILANCIA'!L16),"",'RESUMEN VIGILANCIA'!L16)</f>
        <v/>
      </c>
      <c r="M52" s="41" t="str">
        <f>IF(ISBLANK('RESUMEN VIGILANCIA'!M16),"",'RESUMEN VIGILANCIA'!M16)</f>
        <v/>
      </c>
      <c r="N52" s="41" t="str">
        <f>IF(ISBLANK('RESUMEN VIGILANCIA'!N16),"",'RESUMEN VIGILANCIA'!N16)</f>
        <v/>
      </c>
      <c r="O52" s="124" t="str">
        <f>IF(ISBLANK('RESUMEN VIGILANCIA'!O16),"",'RESUMEN VIGILANCIA'!O16)</f>
        <v/>
      </c>
      <c r="P52" s="99" t="str">
        <f>IF(ISBLANK('RESUMEN VIGILANCIA'!P16),"",'RESUMEN VIGILANCIA'!P16)</f>
        <v/>
      </c>
      <c r="Q52" s="128" t="str">
        <f>IF(ISBLANK('RESUMEN VIGILANCIA'!Q16),"",'RESUMEN VIGILANCIA'!Q16)</f>
        <v/>
      </c>
      <c r="R52" s="124" t="str">
        <f>IF(ISBLANK('RESUMEN VIGILANCIA'!R16),"",'RESUMEN VIGILANCIA'!R16)</f>
        <v/>
      </c>
      <c r="S52" s="124" t="str">
        <f>IF(ISBLANK('RESUMEN VIGILANCIA'!S16),"",'RESUMEN VIGILANCIA'!S16)</f>
        <v/>
      </c>
      <c r="T52" s="124" t="str">
        <f>IF(ISBLANK('RESUMEN VIGILANCIA'!T16),"",'RESUMEN VIGILANCIA'!T16)</f>
        <v/>
      </c>
      <c r="U52" s="124" t="str">
        <f>IF(ISBLANK('RESUMEN VIGILANCIA'!U16),"",'RESUMEN VIGILANCIA'!U16)</f>
        <v/>
      </c>
      <c r="V52" s="124" t="str">
        <f>IF(ISBLANK('RESUMEN VIGILANCIA'!V16),"",'RESUMEN VIGILANCIA'!V16)</f>
        <v/>
      </c>
      <c r="W52" s="124" t="str">
        <f>IF(ISBLANK('RESUMEN VIGILANCIA'!W16),"",'RESUMEN VIGILANCIA'!W16)</f>
        <v/>
      </c>
      <c r="X52" s="124" t="str">
        <f>IF(ISBLANK('RESUMEN VIGILANCIA'!X16),"",'RESUMEN VIGILANCIA'!X16)</f>
        <v/>
      </c>
      <c r="Y52" s="124" t="str">
        <f>IF(ISBLANK('RESUMEN VIGILANCIA'!Y16),"",'RESUMEN VIGILANCIA'!Y16)</f>
        <v/>
      </c>
      <c r="Z52" s="124" t="str">
        <f>IF(ISBLANK('RESUMEN VIGILANCIA'!Z16),"",'RESUMEN VIGILANCIA'!Z16)</f>
        <v/>
      </c>
      <c r="AA52" s="124" t="str">
        <f>IF(ISBLANK('RESUMEN VIGILANCIA'!AA16),"",'RESUMEN VIGILANCIA'!AA16)</f>
        <v/>
      </c>
      <c r="AB52" s="99" t="str">
        <f>IF(ISBLANK('RESUMEN VIGILANCIA'!AB16),"",'RESUMEN VIGILANCIA'!AB16)</f>
        <v/>
      </c>
      <c r="AC52" s="115">
        <f t="shared" si="0"/>
        <v>0</v>
      </c>
      <c r="AD52" s="292"/>
      <c r="AE52" s="292"/>
    </row>
    <row r="53" spans="1:31" s="52" customFormat="1" ht="20.100000000000001" customHeight="1" x14ac:dyDescent="0.25">
      <c r="A53" s="163" t="s">
        <v>846</v>
      </c>
      <c r="B53" s="164" t="s">
        <v>775</v>
      </c>
      <c r="C53" s="152"/>
      <c r="D53" s="99" t="str">
        <f>IF(ISBLANK('RESUMEN VIGILANCIA'!D45),"",'RESUMEN VIGILANCIA'!D45)</f>
        <v/>
      </c>
      <c r="E53" s="153" t="str">
        <f>IF(ISBLANK('RESUMEN VIGILANCIA'!E45),"",'RESUMEN VIGILANCIA'!E45)</f>
        <v/>
      </c>
      <c r="F53" s="41" t="str">
        <f>IF(ISBLANK('RESUMEN VIGILANCIA'!F45),"",'RESUMEN VIGILANCIA'!F45)</f>
        <v/>
      </c>
      <c r="G53" s="41" t="str">
        <f>IF(ISBLANK('RESUMEN VIGILANCIA'!G45),"",'RESUMEN VIGILANCIA'!G45)</f>
        <v/>
      </c>
      <c r="H53" s="41" t="str">
        <f>IF(ISBLANK('RESUMEN VIGILANCIA'!H45),"",'RESUMEN VIGILANCIA'!H45)</f>
        <v/>
      </c>
      <c r="I53" s="41" t="str">
        <f>IF(ISBLANK('RESUMEN VIGILANCIA'!I45),"",'RESUMEN VIGILANCIA'!I45)</f>
        <v/>
      </c>
      <c r="J53" s="41" t="str">
        <f>IF(ISBLANK('RESUMEN VIGILANCIA'!J45),"",'RESUMEN VIGILANCIA'!J45)</f>
        <v/>
      </c>
      <c r="K53" s="41" t="str">
        <f>IF(ISBLANK('RESUMEN VIGILANCIA'!K45),"",'RESUMEN VIGILANCIA'!K45)</f>
        <v/>
      </c>
      <c r="L53" s="41" t="str">
        <f>IF(ISBLANK('RESUMEN VIGILANCIA'!L45),"",'RESUMEN VIGILANCIA'!L45)</f>
        <v/>
      </c>
      <c r="M53" s="41" t="str">
        <f>IF(ISBLANK('RESUMEN VIGILANCIA'!M45),"",'RESUMEN VIGILANCIA'!M45)</f>
        <v/>
      </c>
      <c r="N53" s="41" t="str">
        <f>IF(ISBLANK('RESUMEN VIGILANCIA'!N45),"",'RESUMEN VIGILANCIA'!N45)</f>
        <v/>
      </c>
      <c r="O53" s="124" t="str">
        <f>IF(ISBLANK('RESUMEN VIGILANCIA'!O45),"",'RESUMEN VIGILANCIA'!O45)</f>
        <v/>
      </c>
      <c r="P53" s="99" t="str">
        <f>IF(ISBLANK('RESUMEN VIGILANCIA'!P45),"",'RESUMEN VIGILANCIA'!P45)</f>
        <v/>
      </c>
      <c r="Q53" s="128" t="str">
        <f>IF(ISBLANK('RESUMEN VIGILANCIA'!Q45),"",'RESUMEN VIGILANCIA'!Q45)</f>
        <v/>
      </c>
      <c r="R53" s="124" t="str">
        <f>IF(ISBLANK('RESUMEN VIGILANCIA'!R45),"",'RESUMEN VIGILANCIA'!R45)</f>
        <v/>
      </c>
      <c r="S53" s="124" t="str">
        <f>IF(ISBLANK('RESUMEN VIGILANCIA'!S45),"",'RESUMEN VIGILANCIA'!S45)</f>
        <v/>
      </c>
      <c r="T53" s="124" t="str">
        <f>IF(ISBLANK('RESUMEN VIGILANCIA'!T45),"",'RESUMEN VIGILANCIA'!T45)</f>
        <v/>
      </c>
      <c r="U53" s="124" t="str">
        <f>IF(ISBLANK('RESUMEN VIGILANCIA'!U45),"",'RESUMEN VIGILANCIA'!U45)</f>
        <v/>
      </c>
      <c r="V53" s="124" t="str">
        <f>IF(ISBLANK('RESUMEN VIGILANCIA'!V45),"",'RESUMEN VIGILANCIA'!V45)</f>
        <v/>
      </c>
      <c r="W53" s="211" t="str">
        <f>IF(ISBLANK('RESUMEN VIGILANCIA'!W45),"",'RESUMEN VIGILANCIA'!W45)</f>
        <v>VENDIDA</v>
      </c>
      <c r="X53" s="247" t="str">
        <f>IF(ISBLANK('RESUMEN VIGILANCIA'!X45),"",'RESUMEN VIGILANCIA'!X45)</f>
        <v/>
      </c>
      <c r="Y53" s="247" t="str">
        <f>IF(ISBLANK('RESUMEN VIGILANCIA'!Y45),"",'RESUMEN VIGILANCIA'!Y45)</f>
        <v/>
      </c>
      <c r="Z53" s="247" t="str">
        <f>IF(ISBLANK('RESUMEN VIGILANCIA'!Z45),"",'RESUMEN VIGILANCIA'!Z45)</f>
        <v/>
      </c>
      <c r="AA53" s="247" t="str">
        <f>IF(ISBLANK('RESUMEN VIGILANCIA'!AA45),"",'RESUMEN VIGILANCIA'!AA45)</f>
        <v/>
      </c>
      <c r="AB53" s="199" t="str">
        <f>IF(ISBLANK('RESUMEN VIGILANCIA'!AB45),"",'RESUMEN VIGILANCIA'!AB45)</f>
        <v/>
      </c>
      <c r="AC53" s="115">
        <f>SUM(D53:AB53)</f>
        <v>0</v>
      </c>
      <c r="AD53" s="292"/>
      <c r="AE53" s="292">
        <v>43252</v>
      </c>
    </row>
    <row r="54" spans="1:31" s="52" customFormat="1" ht="20.100000000000001" customHeight="1" x14ac:dyDescent="0.25">
      <c r="A54" s="53" t="s">
        <v>773</v>
      </c>
      <c r="B54" s="54" t="s">
        <v>775</v>
      </c>
      <c r="C54" s="152" t="s">
        <v>940</v>
      </c>
      <c r="D54" s="182" t="str">
        <f>IF(ISBLANK('RESUMEN VIGILANCIA'!D46),"",'RESUMEN VIGILANCIA'!D46)</f>
        <v/>
      </c>
      <c r="E54" s="215" t="str">
        <f>IF(ISBLANK('RESUMEN VIGILANCIA'!E46),"",'RESUMEN VIGILANCIA'!E46)</f>
        <v/>
      </c>
      <c r="F54" s="184" t="str">
        <f>IF(ISBLANK('RESUMEN VIGILANCIA'!F46),"",'RESUMEN VIGILANCIA'!F46)</f>
        <v/>
      </c>
      <c r="G54" s="184" t="str">
        <f>IF(ISBLANK('RESUMEN VIGILANCIA'!G46),"",'RESUMEN VIGILANCIA'!G46)</f>
        <v/>
      </c>
      <c r="H54" s="180" t="str">
        <f>IF(ISBLANK('RESUMEN VIGILANCIA'!H46),"",'RESUMEN VIGILANCIA'!H46)</f>
        <v/>
      </c>
      <c r="I54" s="180" t="str">
        <f>IF(ISBLANK('RESUMEN VIGILANCIA'!I46),"",'RESUMEN VIGILANCIA'!I46)</f>
        <v/>
      </c>
      <c r="J54" s="180" t="str">
        <f>IF(ISBLANK('RESUMEN VIGILANCIA'!J46),"",'RESUMEN VIGILANCIA'!J46)</f>
        <v/>
      </c>
      <c r="K54" s="180" t="str">
        <f>IF(ISBLANK('RESUMEN VIGILANCIA'!K46),"",'RESUMEN VIGILANCIA'!K46)</f>
        <v/>
      </c>
      <c r="L54" s="180" t="str">
        <f>IF(ISBLANK('RESUMEN VIGILANCIA'!L46),"",'RESUMEN VIGILANCIA'!L46)</f>
        <v/>
      </c>
      <c r="M54" s="180" t="str">
        <f>IF(ISBLANK('RESUMEN VIGILANCIA'!M46),"",'RESUMEN VIGILANCIA'!M46)</f>
        <v/>
      </c>
      <c r="N54" s="180" t="str">
        <f>IF(ISBLANK('RESUMEN VIGILANCIA'!N46),"",'RESUMEN VIGILANCIA'!N46)</f>
        <v/>
      </c>
      <c r="O54" s="287" t="str">
        <f>IF(ISBLANK('RESUMEN VIGILANCIA'!O46),"",'RESUMEN VIGILANCIA'!O46)</f>
        <v/>
      </c>
      <c r="P54" s="179" t="str">
        <f>IF(ISBLANK('RESUMEN VIGILANCIA'!P46),"",'RESUMEN VIGILANCIA'!P46)</f>
        <v/>
      </c>
      <c r="Q54" s="288" t="str">
        <f>IF(ISBLANK('RESUMEN VIGILANCIA'!Q46),"",'RESUMEN VIGILANCIA'!Q46)</f>
        <v/>
      </c>
      <c r="R54" s="287" t="str">
        <f>IF(ISBLANK('RESUMEN VIGILANCIA'!R46),"",'RESUMEN VIGILANCIA'!R46)</f>
        <v/>
      </c>
      <c r="S54" s="287" t="str">
        <f>IF(ISBLANK('RESUMEN VIGILANCIA'!S46),"",'RESUMEN VIGILANCIA'!S46)</f>
        <v/>
      </c>
      <c r="T54" s="287" t="str">
        <f>IF(ISBLANK('RESUMEN VIGILANCIA'!T46),"",'RESUMEN VIGILANCIA'!T46)</f>
        <v/>
      </c>
      <c r="U54" s="287" t="str">
        <f>IF(ISBLANK('RESUMEN VIGILANCIA'!U46),"",'RESUMEN VIGILANCIA'!U46)</f>
        <v/>
      </c>
      <c r="V54" s="287" t="str">
        <f>IF(ISBLANK('RESUMEN VIGILANCIA'!V46),"",'RESUMEN VIGILANCIA'!V46)</f>
        <v/>
      </c>
      <c r="W54" s="124">
        <f>IF(ISBLANK('RESUMEN VIGILANCIA'!W46),"",'RESUMEN VIGILANCIA'!W46)</f>
        <v>1000000</v>
      </c>
      <c r="X54" s="124">
        <f>IF(ISBLANK('RESUMEN VIGILANCIA'!X46),"",'RESUMEN VIGILANCIA'!X46)</f>
        <v>1200000</v>
      </c>
      <c r="Y54" s="124" t="str">
        <f>IF(ISBLANK('RESUMEN VIGILANCIA'!Y46),"",'RESUMEN VIGILANCIA'!Y46)</f>
        <v/>
      </c>
      <c r="Z54" s="124" t="str">
        <f>IF(ISBLANK('RESUMEN VIGILANCIA'!Z46),"",'RESUMEN VIGILANCIA'!Z46)</f>
        <v/>
      </c>
      <c r="AA54" s="124" t="str">
        <f>IF(ISBLANK('RESUMEN VIGILANCIA'!AA46),"",'RESUMEN VIGILANCIA'!AA46)</f>
        <v/>
      </c>
      <c r="AB54" s="99" t="str">
        <f>IF(ISBLANK('RESUMEN VIGILANCIA'!AB46),"",'RESUMEN VIGILANCIA'!AB46)</f>
        <v/>
      </c>
      <c r="AC54" s="115">
        <f>SUM(D54:AB54)</f>
        <v>2200000</v>
      </c>
      <c r="AD54" s="292">
        <v>43282</v>
      </c>
      <c r="AE54" s="292"/>
    </row>
    <row r="55" spans="1:31" s="52" customFormat="1" ht="20.100000000000001" customHeight="1" x14ac:dyDescent="0.25">
      <c r="A55" s="56" t="s">
        <v>94</v>
      </c>
      <c r="B55" s="57" t="s">
        <v>96</v>
      </c>
      <c r="C55" s="150" t="s">
        <v>940</v>
      </c>
      <c r="D55" s="100" t="str">
        <f>IF(ISBLANK('RESUMEN VIGILANCIA'!D7),"",'RESUMEN VIGILANCIA'!D7)</f>
        <v/>
      </c>
      <c r="E55" s="151">
        <f>IF(ISBLANK('RESUMEN VIGILANCIA'!E7),"",'RESUMEN VIGILANCIA'!E7)</f>
        <v>2000</v>
      </c>
      <c r="F55" s="43">
        <f>IF(ISBLANK('RESUMEN VIGILANCIA'!F7),"",'RESUMEN VIGILANCIA'!F7)</f>
        <v>2000</v>
      </c>
      <c r="G55" s="43">
        <f>IF(ISBLANK('RESUMEN VIGILANCIA'!G7),"",'RESUMEN VIGILANCIA'!G7)</f>
        <v>3000</v>
      </c>
      <c r="H55" s="43">
        <f>IF(ISBLANK('RESUMEN VIGILANCIA'!H7),"",'RESUMEN VIGILANCIA'!H7)</f>
        <v>3000</v>
      </c>
      <c r="I55" s="43">
        <f>IF(ISBLANK('RESUMEN VIGILANCIA'!I7),"",'RESUMEN VIGILANCIA'!I7)</f>
        <v>4000</v>
      </c>
      <c r="J55" s="43">
        <f>IF(ISBLANK('RESUMEN VIGILANCIA'!J7),"",'RESUMEN VIGILANCIA'!J7)</f>
        <v>4000</v>
      </c>
      <c r="K55" s="43">
        <f>IF(ISBLANK('RESUMEN VIGILANCIA'!K7),"",'RESUMEN VIGILANCIA'!K7)</f>
        <v>4000</v>
      </c>
      <c r="L55" s="43">
        <f>IF(ISBLANK('RESUMEN VIGILANCIA'!L7),"",'RESUMEN VIGILANCIA'!L7)</f>
        <v>4000</v>
      </c>
      <c r="M55" s="43">
        <f>IF(ISBLANK('RESUMEN VIGILANCIA'!M7),"",'RESUMEN VIGILANCIA'!M7)</f>
        <v>3000</v>
      </c>
      <c r="N55" s="43">
        <f>IF(ISBLANK('RESUMEN VIGILANCIA'!N7),"",'RESUMEN VIGILANCIA'!N7)</f>
        <v>5000</v>
      </c>
      <c r="O55" s="123" t="str">
        <f>IF(ISBLANK('RESUMEN VIGILANCIA'!O7),"",'RESUMEN VIGILANCIA'!O7)</f>
        <v>- - -</v>
      </c>
      <c r="P55" s="100" t="str">
        <f>IF(ISBLANK('RESUMEN VIGILANCIA'!P7),"",'RESUMEN VIGILANCIA'!P7)</f>
        <v>- - -</v>
      </c>
      <c r="Q55" s="128">
        <f>IF(ISBLANK('RESUMEN VIGILANCIA'!Q7),"",'RESUMEN VIGILANCIA'!Q7)</f>
        <v>80000</v>
      </c>
      <c r="R55" s="124">
        <f>IF(ISBLANK('RESUMEN VIGILANCIA'!R7),"",'RESUMEN VIGILANCIA'!R7)</f>
        <v>80000</v>
      </c>
      <c r="S55" s="124">
        <f>IF(ISBLANK('RESUMEN VIGILANCIA'!S7),"",'RESUMEN VIGILANCIA'!S7)</f>
        <v>140000</v>
      </c>
      <c r="T55" s="124">
        <f>IF(ISBLANK('RESUMEN VIGILANCIA'!T7),"",'RESUMEN VIGILANCIA'!T7)</f>
        <v>140000</v>
      </c>
      <c r="U55" s="124">
        <f>IF(ISBLANK('RESUMEN VIGILANCIA'!U7),"",'RESUMEN VIGILANCIA'!U7)</f>
        <v>400000</v>
      </c>
      <c r="V55" s="124">
        <f>IF(ISBLANK('RESUMEN VIGILANCIA'!V7),"",'RESUMEN VIGILANCIA'!V7)</f>
        <v>625000</v>
      </c>
      <c r="W55" s="124">
        <f>IF(ISBLANK('RESUMEN VIGILANCIA'!W7),"",'RESUMEN VIGILANCIA'!W7)</f>
        <v>1000000</v>
      </c>
      <c r="X55" s="124">
        <f>IF(ISBLANK('RESUMEN VIGILANCIA'!X7),"",'RESUMEN VIGILANCIA'!X7)</f>
        <v>1200000</v>
      </c>
      <c r="Y55" s="124" t="str">
        <f>IF(ISBLANK('RESUMEN VIGILANCIA'!Y7),"",'RESUMEN VIGILANCIA'!Y7)</f>
        <v/>
      </c>
      <c r="Z55" s="124" t="str">
        <f>IF(ISBLANK('RESUMEN VIGILANCIA'!Z7),"",'RESUMEN VIGILANCIA'!Z7)</f>
        <v/>
      </c>
      <c r="AA55" s="124" t="str">
        <f>IF(ISBLANK('RESUMEN VIGILANCIA'!AA7),"",'RESUMEN VIGILANCIA'!AA7)</f>
        <v/>
      </c>
      <c r="AB55" s="99" t="str">
        <f>IF(ISBLANK('RESUMEN VIGILANCIA'!AB7),"",'RESUMEN VIGILANCIA'!AB7)</f>
        <v/>
      </c>
      <c r="AC55" s="115">
        <f t="shared" si="0"/>
        <v>3699000</v>
      </c>
      <c r="AD55" s="292"/>
      <c r="AE55" s="292"/>
    </row>
    <row r="56" spans="1:31" s="52" customFormat="1" ht="20.100000000000001" customHeight="1" x14ac:dyDescent="0.25">
      <c r="A56" s="56" t="s">
        <v>177</v>
      </c>
      <c r="B56" s="57" t="s">
        <v>179</v>
      </c>
      <c r="C56" s="150" t="s">
        <v>940</v>
      </c>
      <c r="D56" s="100" t="str">
        <f>IF(ISBLANK('RESUMEN VIGILANCIA'!D13),"",'RESUMEN VIGILANCIA'!D13)</f>
        <v/>
      </c>
      <c r="E56" s="151">
        <f>IF(ISBLANK('RESUMEN VIGILANCIA'!E13),"",'RESUMEN VIGILANCIA'!E13)</f>
        <v>10500</v>
      </c>
      <c r="F56" s="43">
        <f>IF(ISBLANK('RESUMEN VIGILANCIA'!F13),"",'RESUMEN VIGILANCIA'!F13)</f>
        <v>17000</v>
      </c>
      <c r="G56" s="43">
        <f>IF(ISBLANK('RESUMEN VIGILANCIA'!G13),"",'RESUMEN VIGILANCIA'!G13)</f>
        <v>10500</v>
      </c>
      <c r="H56" s="43">
        <f>IF(ISBLANK('RESUMEN VIGILANCIA'!H13),"",'RESUMEN VIGILANCIA'!H13)</f>
        <v>17000</v>
      </c>
      <c r="I56" s="43">
        <f>IF(ISBLANK('RESUMEN VIGILANCIA'!I13),"",'RESUMEN VIGILANCIA'!I13)</f>
        <v>26000</v>
      </c>
      <c r="J56" s="43">
        <f>IF(ISBLANK('RESUMEN VIGILANCIA'!J13),"",'RESUMEN VIGILANCIA'!J13)</f>
        <v>26000</v>
      </c>
      <c r="K56" s="43">
        <f>IF(ISBLANK('RESUMEN VIGILANCIA'!K13),"",'RESUMEN VIGILANCIA'!K13)</f>
        <v>35000</v>
      </c>
      <c r="L56" s="41">
        <f>IF(ISBLANK('RESUMEN VIGILANCIA'!L13),"",'RESUMEN VIGILANCIA'!L13)</f>
        <v>35000</v>
      </c>
      <c r="M56" s="41">
        <f>IF(ISBLANK('RESUMEN VIGILANCIA'!M13),"",'RESUMEN VIGILANCIA'!M13)</f>
        <v>35000</v>
      </c>
      <c r="N56" s="41">
        <f>IF(ISBLANK('RESUMEN VIGILANCIA'!N13),"",'RESUMEN VIGILANCIA'!N13)</f>
        <v>35000</v>
      </c>
      <c r="O56" s="124">
        <f>IF(ISBLANK('RESUMEN VIGILANCIA'!O13),"",'RESUMEN VIGILANCIA'!O13)</f>
        <v>50000</v>
      </c>
      <c r="P56" s="99">
        <f>IF(ISBLANK('RESUMEN VIGILANCIA'!P13),"",'RESUMEN VIGILANCIA'!P13)</f>
        <v>50000</v>
      </c>
      <c r="Q56" s="128">
        <f>IF(ISBLANK('RESUMEN VIGILANCIA'!Q13),"",'RESUMEN VIGILANCIA'!Q13)</f>
        <v>80000</v>
      </c>
      <c r="R56" s="124">
        <f>IF(ISBLANK('RESUMEN VIGILANCIA'!R13),"",'RESUMEN VIGILANCIA'!R13)</f>
        <v>80000</v>
      </c>
      <c r="S56" s="124">
        <f>IF(ISBLANK('RESUMEN VIGILANCIA'!S13),"",'RESUMEN VIGILANCIA'!S13)</f>
        <v>140000</v>
      </c>
      <c r="T56" s="124">
        <f>IF(ISBLANK('RESUMEN VIGILANCIA'!T13),"",'RESUMEN VIGILANCIA'!T13)</f>
        <v>140000</v>
      </c>
      <c r="U56" s="124">
        <f>IF(ISBLANK('RESUMEN VIGILANCIA'!U13),"",'RESUMEN VIGILANCIA'!U13)</f>
        <v>400000</v>
      </c>
      <c r="V56" s="124">
        <f>IF(ISBLANK('RESUMEN VIGILANCIA'!V13),"",'RESUMEN VIGILANCIA'!V13)</f>
        <v>625000</v>
      </c>
      <c r="W56" s="124">
        <f>IF(ISBLANK('RESUMEN VIGILANCIA'!W13),"",'RESUMEN VIGILANCIA'!W13)</f>
        <v>1000000</v>
      </c>
      <c r="X56" s="124">
        <f>IF(ISBLANK('RESUMEN VIGILANCIA'!X13),"",'RESUMEN VIGILANCIA'!X13)</f>
        <v>1000000</v>
      </c>
      <c r="Y56" s="124" t="str">
        <f>IF(ISBLANK('RESUMEN VIGILANCIA'!Y13),"",'RESUMEN VIGILANCIA'!Y13)</f>
        <v/>
      </c>
      <c r="Z56" s="124" t="str">
        <f>IF(ISBLANK('RESUMEN VIGILANCIA'!Z13),"",'RESUMEN VIGILANCIA'!Z13)</f>
        <v/>
      </c>
      <c r="AA56" s="124" t="str">
        <f>IF(ISBLANK('RESUMEN VIGILANCIA'!AA13),"",'RESUMEN VIGILANCIA'!AA13)</f>
        <v/>
      </c>
      <c r="AB56" s="99" t="str">
        <f>IF(ISBLANK('RESUMEN VIGILANCIA'!AB13),"",'RESUMEN VIGILANCIA'!AB13)</f>
        <v/>
      </c>
      <c r="AC56" s="115">
        <f t="shared" si="0"/>
        <v>3812000</v>
      </c>
      <c r="AD56" s="292"/>
      <c r="AE56" s="292"/>
    </row>
    <row r="57" spans="1:31" s="52" customFormat="1" ht="20.100000000000001" customHeight="1" x14ac:dyDescent="0.25">
      <c r="A57" s="53" t="s">
        <v>809</v>
      </c>
      <c r="B57" s="54" t="s">
        <v>810</v>
      </c>
      <c r="C57" s="152" t="s">
        <v>939</v>
      </c>
      <c r="D57" s="99" t="str">
        <f>IF(ISBLANK('RESUMEN VIGILANCIA'!D8),"",'RESUMEN VIGILANCIA'!D8)</f>
        <v/>
      </c>
      <c r="E57" s="153" t="str">
        <f>IF(ISBLANK('RESUMEN VIGILANCIA'!E8),"",'RESUMEN VIGILANCIA'!E8)</f>
        <v/>
      </c>
      <c r="F57" s="41" t="str">
        <f>IF(ISBLANK('RESUMEN VIGILANCIA'!F8),"",'RESUMEN VIGILANCIA'!F8)</f>
        <v/>
      </c>
      <c r="G57" s="41" t="str">
        <f>IF(ISBLANK('RESUMEN VIGILANCIA'!G8),"",'RESUMEN VIGILANCIA'!G8)</f>
        <v/>
      </c>
      <c r="H57" s="41" t="str">
        <f>IF(ISBLANK('RESUMEN VIGILANCIA'!H8),"",'RESUMEN VIGILANCIA'!H8)</f>
        <v/>
      </c>
      <c r="I57" s="41" t="str">
        <f>IF(ISBLANK('RESUMEN VIGILANCIA'!I8),"",'RESUMEN VIGILANCIA'!I8)</f>
        <v/>
      </c>
      <c r="J57" s="41" t="str">
        <f>IF(ISBLANK('RESUMEN VIGILANCIA'!J8),"",'RESUMEN VIGILANCIA'!J8)</f>
        <v/>
      </c>
      <c r="K57" s="41" t="str">
        <f>IF(ISBLANK('RESUMEN VIGILANCIA'!K8),"",'RESUMEN VIGILANCIA'!K8)</f>
        <v/>
      </c>
      <c r="L57" s="41" t="str">
        <f>IF(ISBLANK('RESUMEN VIGILANCIA'!L8),"",'RESUMEN VIGILANCIA'!L8)</f>
        <v/>
      </c>
      <c r="M57" s="41" t="str">
        <f>IF(ISBLANK('RESUMEN VIGILANCIA'!M8),"",'RESUMEN VIGILANCIA'!M8)</f>
        <v/>
      </c>
      <c r="N57" s="41" t="str">
        <f>IF(ISBLANK('RESUMEN VIGILANCIA'!N8),"",'RESUMEN VIGILANCIA'!N8)</f>
        <v/>
      </c>
      <c r="O57" s="124" t="str">
        <f>IF(ISBLANK('RESUMEN VIGILANCIA'!O8),"",'RESUMEN VIGILANCIA'!O8)</f>
        <v/>
      </c>
      <c r="P57" s="99" t="str">
        <f>IF(ISBLANK('RESUMEN VIGILANCIA'!P8),"",'RESUMEN VIGILANCIA'!P8)</f>
        <v/>
      </c>
      <c r="Q57" s="128" t="str">
        <f>IF(ISBLANK('RESUMEN VIGILANCIA'!Q8),"",'RESUMEN VIGILANCIA'!Q8)</f>
        <v/>
      </c>
      <c r="R57" s="124" t="str">
        <f>IF(ISBLANK('RESUMEN VIGILANCIA'!R8),"",'RESUMEN VIGILANCIA'!R8)</f>
        <v/>
      </c>
      <c r="S57" s="124" t="str">
        <f>IF(ISBLANK('RESUMEN VIGILANCIA'!S8),"",'RESUMEN VIGILANCIA'!S8)</f>
        <v/>
      </c>
      <c r="T57" s="124" t="str">
        <f>IF(ISBLANK('RESUMEN VIGILANCIA'!T8),"",'RESUMEN VIGILANCIA'!T8)</f>
        <v/>
      </c>
      <c r="U57" s="124" t="str">
        <f>IF(ISBLANK('RESUMEN VIGILANCIA'!U8),"",'RESUMEN VIGILANCIA'!U8)</f>
        <v/>
      </c>
      <c r="V57" s="124" t="str">
        <f>IF(ISBLANK('RESUMEN VIGILANCIA'!V8),"",'RESUMEN VIGILANCIA'!V8)</f>
        <v/>
      </c>
      <c r="W57" s="124" t="str">
        <f>IF(ISBLANK('RESUMEN VIGILANCIA'!W8),"",'RESUMEN VIGILANCIA'!W8)</f>
        <v/>
      </c>
      <c r="X57" s="124" t="str">
        <f>IF(ISBLANK('RESUMEN VIGILANCIA'!X8),"",'RESUMEN VIGILANCIA'!X8)</f>
        <v/>
      </c>
      <c r="Y57" s="124" t="str">
        <f>IF(ISBLANK('RESUMEN VIGILANCIA'!Y8),"",'RESUMEN VIGILANCIA'!Y8)</f>
        <v/>
      </c>
      <c r="Z57" s="124" t="str">
        <f>IF(ISBLANK('RESUMEN VIGILANCIA'!Z8),"",'RESUMEN VIGILANCIA'!Z8)</f>
        <v/>
      </c>
      <c r="AA57" s="124" t="str">
        <f>IF(ISBLANK('RESUMEN VIGILANCIA'!AA8),"",'RESUMEN VIGILANCIA'!AA8)</f>
        <v/>
      </c>
      <c r="AB57" s="99" t="str">
        <f>IF(ISBLANK('RESUMEN VIGILANCIA'!AB8),"",'RESUMEN VIGILANCIA'!AB8)</f>
        <v/>
      </c>
      <c r="AC57" s="115">
        <f t="shared" si="0"/>
        <v>0</v>
      </c>
      <c r="AD57" s="292"/>
      <c r="AE57" s="292"/>
    </row>
    <row r="58" spans="1:31" s="52" customFormat="1" ht="20.100000000000001" customHeight="1" x14ac:dyDescent="0.25">
      <c r="A58" s="53" t="s">
        <v>62</v>
      </c>
      <c r="B58" s="54" t="s">
        <v>64</v>
      </c>
      <c r="C58" s="152" t="s">
        <v>940</v>
      </c>
      <c r="D58" s="99" t="str">
        <f>IF(ISBLANK('RESUMEN VIGILANCIA'!D6),"",'RESUMEN VIGILANCIA'!D6)</f>
        <v/>
      </c>
      <c r="E58" s="153">
        <f>IF(ISBLANK('RESUMEN VIGILANCIA'!E6),"",'RESUMEN VIGILANCIA'!E6)</f>
        <v>17000</v>
      </c>
      <c r="F58" s="41">
        <f>IF(ISBLANK('RESUMEN VIGILANCIA'!F6),"",'RESUMEN VIGILANCIA'!F6)</f>
        <v>17000</v>
      </c>
      <c r="G58" s="41">
        <f>IF(ISBLANK('RESUMEN VIGILANCIA'!G6),"",'RESUMEN VIGILANCIA'!G6)</f>
        <v>17000</v>
      </c>
      <c r="H58" s="41">
        <f>IF(ISBLANK('RESUMEN VIGILANCIA'!H6),"",'RESUMEN VIGILANCIA'!H6)</f>
        <v>17000</v>
      </c>
      <c r="I58" s="41">
        <f>IF(ISBLANK('RESUMEN VIGILANCIA'!I6),"",'RESUMEN VIGILANCIA'!I6)</f>
        <v>26000</v>
      </c>
      <c r="J58" s="41">
        <f>IF(ISBLANK('RESUMEN VIGILANCIA'!J6),"",'RESUMEN VIGILANCIA'!J6)</f>
        <v>26000</v>
      </c>
      <c r="K58" s="41">
        <f>IF(ISBLANK('RESUMEN VIGILANCIA'!K6),"",'RESUMEN VIGILANCIA'!K6)</f>
        <v>35000</v>
      </c>
      <c r="L58" s="41">
        <f>IF(ISBLANK('RESUMEN VIGILANCIA'!L6),"",'RESUMEN VIGILANCIA'!L6)</f>
        <v>35000</v>
      </c>
      <c r="M58" s="41">
        <f>IF(ISBLANK('RESUMEN VIGILANCIA'!M6),"",'RESUMEN VIGILANCIA'!M6)</f>
        <v>35000</v>
      </c>
      <c r="N58" s="41">
        <f>IF(ISBLANK('RESUMEN VIGILANCIA'!N6),"",'RESUMEN VIGILANCIA'!N6)</f>
        <v>35000</v>
      </c>
      <c r="O58" s="124">
        <f>IF(ISBLANK('RESUMEN VIGILANCIA'!O6),"",'RESUMEN VIGILANCIA'!O6)</f>
        <v>50000</v>
      </c>
      <c r="P58" s="99">
        <f>IF(ISBLANK('RESUMEN VIGILANCIA'!P6),"",'RESUMEN VIGILANCIA'!P6)</f>
        <v>50000</v>
      </c>
      <c r="Q58" s="128">
        <f>IF(ISBLANK('RESUMEN VIGILANCIA'!Q6),"",'RESUMEN VIGILANCIA'!Q6)</f>
        <v>80000</v>
      </c>
      <c r="R58" s="124">
        <f>IF(ISBLANK('RESUMEN VIGILANCIA'!R6),"",'RESUMEN VIGILANCIA'!R6)</f>
        <v>80000</v>
      </c>
      <c r="S58" s="124">
        <f>IF(ISBLANK('RESUMEN VIGILANCIA'!S6),"",'RESUMEN VIGILANCIA'!S6)</f>
        <v>140000</v>
      </c>
      <c r="T58" s="124">
        <f>IF(ISBLANK('RESUMEN VIGILANCIA'!T6),"",'RESUMEN VIGILANCIA'!T6)</f>
        <v>140000</v>
      </c>
      <c r="U58" s="124">
        <f>IF(ISBLANK('RESUMEN VIGILANCIA'!U6),"",'RESUMEN VIGILANCIA'!U6)</f>
        <v>400000</v>
      </c>
      <c r="V58" s="124">
        <f>IF(ISBLANK('RESUMEN VIGILANCIA'!V6),"",'RESUMEN VIGILANCIA'!V6)</f>
        <v>625000</v>
      </c>
      <c r="W58" s="124">
        <f>IF(ISBLANK('RESUMEN VIGILANCIA'!W6),"",'RESUMEN VIGILANCIA'!W6)</f>
        <v>1000000</v>
      </c>
      <c r="X58" s="124">
        <f>IF(ISBLANK('RESUMEN VIGILANCIA'!X6),"",'RESUMEN VIGILANCIA'!X6)</f>
        <v>1200000</v>
      </c>
      <c r="Y58" s="124" t="str">
        <f>IF(ISBLANK('RESUMEN VIGILANCIA'!Y6),"",'RESUMEN VIGILANCIA'!Y6)</f>
        <v/>
      </c>
      <c r="Z58" s="124" t="str">
        <f>IF(ISBLANK('RESUMEN VIGILANCIA'!Z6),"",'RESUMEN VIGILANCIA'!Z6)</f>
        <v/>
      </c>
      <c r="AA58" s="124" t="str">
        <f>IF(ISBLANK('RESUMEN VIGILANCIA'!AA6),"",'RESUMEN VIGILANCIA'!AA6)</f>
        <v/>
      </c>
      <c r="AB58" s="99" t="str">
        <f>IF(ISBLANK('RESUMEN VIGILANCIA'!AB6),"",'RESUMEN VIGILANCIA'!AB6)</f>
        <v/>
      </c>
      <c r="AC58" s="115">
        <f t="shared" si="0"/>
        <v>4025000</v>
      </c>
      <c r="AD58" s="292"/>
      <c r="AE58" s="292"/>
    </row>
    <row r="59" spans="1:31" s="52" customFormat="1" ht="20.100000000000001" customHeight="1" x14ac:dyDescent="0.25">
      <c r="A59" s="53" t="s">
        <v>813</v>
      </c>
      <c r="B59" s="54" t="s">
        <v>814</v>
      </c>
      <c r="C59" s="152" t="s">
        <v>939</v>
      </c>
      <c r="D59" s="99" t="str">
        <f>IF(ISBLANK('RESUMEN VIGILANCIA'!D12),"",'RESUMEN VIGILANCIA'!D12)</f>
        <v/>
      </c>
      <c r="E59" s="153" t="str">
        <f>IF(ISBLANK('RESUMEN VIGILANCIA'!E12),"",'RESUMEN VIGILANCIA'!E12)</f>
        <v/>
      </c>
      <c r="F59" s="41" t="str">
        <f>IF(ISBLANK('RESUMEN VIGILANCIA'!F12),"",'RESUMEN VIGILANCIA'!F12)</f>
        <v/>
      </c>
      <c r="G59" s="41" t="str">
        <f>IF(ISBLANK('RESUMEN VIGILANCIA'!G12),"",'RESUMEN VIGILANCIA'!G12)</f>
        <v/>
      </c>
      <c r="H59" s="41" t="str">
        <f>IF(ISBLANK('RESUMEN VIGILANCIA'!H12),"",'RESUMEN VIGILANCIA'!H12)</f>
        <v/>
      </c>
      <c r="I59" s="41" t="str">
        <f>IF(ISBLANK('RESUMEN VIGILANCIA'!I12),"",'RESUMEN VIGILANCIA'!I12)</f>
        <v/>
      </c>
      <c r="J59" s="41" t="str">
        <f>IF(ISBLANK('RESUMEN VIGILANCIA'!J12),"",'RESUMEN VIGILANCIA'!J12)</f>
        <v/>
      </c>
      <c r="K59" s="41" t="str">
        <f>IF(ISBLANK('RESUMEN VIGILANCIA'!K12),"",'RESUMEN VIGILANCIA'!K12)</f>
        <v/>
      </c>
      <c r="L59" s="41" t="str">
        <f>IF(ISBLANK('RESUMEN VIGILANCIA'!L12),"",'RESUMEN VIGILANCIA'!L12)</f>
        <v/>
      </c>
      <c r="M59" s="41" t="str">
        <f>IF(ISBLANK('RESUMEN VIGILANCIA'!M12),"",'RESUMEN VIGILANCIA'!M12)</f>
        <v/>
      </c>
      <c r="N59" s="41" t="str">
        <f>IF(ISBLANK('RESUMEN VIGILANCIA'!N12),"",'RESUMEN VIGILANCIA'!N12)</f>
        <v/>
      </c>
      <c r="O59" s="124" t="str">
        <f>IF(ISBLANK('RESUMEN VIGILANCIA'!O12),"",'RESUMEN VIGILANCIA'!O12)</f>
        <v/>
      </c>
      <c r="P59" s="99" t="str">
        <f>IF(ISBLANK('RESUMEN VIGILANCIA'!P12),"",'RESUMEN VIGILANCIA'!P12)</f>
        <v/>
      </c>
      <c r="Q59" s="128" t="str">
        <f>IF(ISBLANK('RESUMEN VIGILANCIA'!Q12),"",'RESUMEN VIGILANCIA'!Q12)</f>
        <v/>
      </c>
      <c r="R59" s="124" t="str">
        <f>IF(ISBLANK('RESUMEN VIGILANCIA'!R12),"",'RESUMEN VIGILANCIA'!R12)</f>
        <v/>
      </c>
      <c r="S59" s="124" t="str">
        <f>IF(ISBLANK('RESUMEN VIGILANCIA'!S12),"",'RESUMEN VIGILANCIA'!S12)</f>
        <v/>
      </c>
      <c r="T59" s="124" t="str">
        <f>IF(ISBLANK('RESUMEN VIGILANCIA'!T12),"",'RESUMEN VIGILANCIA'!T12)</f>
        <v/>
      </c>
      <c r="U59" s="124" t="str">
        <f>IF(ISBLANK('RESUMEN VIGILANCIA'!U12),"",'RESUMEN VIGILANCIA'!U12)</f>
        <v/>
      </c>
      <c r="V59" s="124" t="str">
        <f>IF(ISBLANK('RESUMEN VIGILANCIA'!V12),"",'RESUMEN VIGILANCIA'!V12)</f>
        <v/>
      </c>
      <c r="W59" s="124" t="str">
        <f>IF(ISBLANK('RESUMEN VIGILANCIA'!W12),"",'RESUMEN VIGILANCIA'!W12)</f>
        <v/>
      </c>
      <c r="X59" s="124" t="str">
        <f>IF(ISBLANK('RESUMEN VIGILANCIA'!X12),"",'RESUMEN VIGILANCIA'!X12)</f>
        <v/>
      </c>
      <c r="Y59" s="124" t="str">
        <f>IF(ISBLANK('RESUMEN VIGILANCIA'!Y12),"",'RESUMEN VIGILANCIA'!Y12)</f>
        <v/>
      </c>
      <c r="Z59" s="124" t="str">
        <f>IF(ISBLANK('RESUMEN VIGILANCIA'!Z12),"",'RESUMEN VIGILANCIA'!Z12)</f>
        <v/>
      </c>
      <c r="AA59" s="124" t="str">
        <f>IF(ISBLANK('RESUMEN VIGILANCIA'!AA12),"",'RESUMEN VIGILANCIA'!AA12)</f>
        <v/>
      </c>
      <c r="AB59" s="99" t="str">
        <f>IF(ISBLANK('RESUMEN VIGILANCIA'!AB12),"",'RESUMEN VIGILANCIA'!AB12)</f>
        <v/>
      </c>
      <c r="AC59" s="115">
        <f t="shared" si="0"/>
        <v>0</v>
      </c>
      <c r="AD59" s="292"/>
      <c r="AE59" s="292"/>
    </row>
    <row r="60" spans="1:31" s="52" customFormat="1" ht="20.100000000000001" customHeight="1" x14ac:dyDescent="0.25">
      <c r="A60" s="53" t="s">
        <v>248</v>
      </c>
      <c r="B60" s="54" t="s">
        <v>250</v>
      </c>
      <c r="C60" s="152" t="s">
        <v>940</v>
      </c>
      <c r="D60" s="99" t="str">
        <f>IF(ISBLANK('RESUMEN VIGILANCIA'!D2),"",'RESUMEN VIGILANCIA'!D2)</f>
        <v/>
      </c>
      <c r="E60" s="153">
        <f>IF(ISBLANK('RESUMEN VIGILANCIA'!E2),"",'RESUMEN VIGILANCIA'!E2)</f>
        <v>17000</v>
      </c>
      <c r="F60" s="41">
        <f>IF(ISBLANK('RESUMEN VIGILANCIA'!F2),"",'RESUMEN VIGILANCIA'!F2)</f>
        <v>17000</v>
      </c>
      <c r="G60" s="41">
        <f>IF(ISBLANK('RESUMEN VIGILANCIA'!G2),"",'RESUMEN VIGILANCIA'!G2)</f>
        <v>17000</v>
      </c>
      <c r="H60" s="41">
        <f>IF(ISBLANK('RESUMEN VIGILANCIA'!H2),"",'RESUMEN VIGILANCIA'!H2)</f>
        <v>17000</v>
      </c>
      <c r="I60" s="42">
        <f>IF(ISBLANK('RESUMEN VIGILANCIA'!I2),"",'RESUMEN VIGILANCIA'!I2)</f>
        <v>17000</v>
      </c>
      <c r="J60" s="41">
        <f>IF(ISBLANK('RESUMEN VIGILANCIA'!J2),"",'RESUMEN VIGILANCIA'!J2)</f>
        <v>26000</v>
      </c>
      <c r="K60" s="41">
        <f>IF(ISBLANK('RESUMEN VIGILANCIA'!K2),"",'RESUMEN VIGILANCIA'!K2)</f>
        <v>35000</v>
      </c>
      <c r="L60" s="41">
        <f>IF(ISBLANK('RESUMEN VIGILANCIA'!L2),"",'RESUMEN VIGILANCIA'!L2)</f>
        <v>35000</v>
      </c>
      <c r="M60" s="41">
        <f>IF(ISBLANK('RESUMEN VIGILANCIA'!M2),"",'RESUMEN VIGILANCIA'!M2)</f>
        <v>35000</v>
      </c>
      <c r="N60" s="41">
        <f>IF(ISBLANK('RESUMEN VIGILANCIA'!N2),"",'RESUMEN VIGILANCIA'!N2)</f>
        <v>35000</v>
      </c>
      <c r="O60" s="124">
        <f>IF(ISBLANK('RESUMEN VIGILANCIA'!O2),"",'RESUMEN VIGILANCIA'!O2)</f>
        <v>50000</v>
      </c>
      <c r="P60" s="99">
        <f>IF(ISBLANK('RESUMEN VIGILANCIA'!P2),"",'RESUMEN VIGILANCIA'!P2)</f>
        <v>50000</v>
      </c>
      <c r="Q60" s="128">
        <f>IF(ISBLANK('RESUMEN VIGILANCIA'!Q2),"",'RESUMEN VIGILANCIA'!Q2)</f>
        <v>80000</v>
      </c>
      <c r="R60" s="124">
        <f>IF(ISBLANK('RESUMEN VIGILANCIA'!R2),"",'RESUMEN VIGILANCIA'!R2)</f>
        <v>80000</v>
      </c>
      <c r="S60" s="124">
        <f>IF(ISBLANK('RESUMEN VIGILANCIA'!S2),"",'RESUMEN VIGILANCIA'!S2)</f>
        <v>140000</v>
      </c>
      <c r="T60" s="124">
        <f>IF(ISBLANK('RESUMEN VIGILANCIA'!T2),"",'RESUMEN VIGILANCIA'!T2)</f>
        <v>140000</v>
      </c>
      <c r="U60" s="124">
        <f>IF(ISBLANK('RESUMEN VIGILANCIA'!U2),"",'RESUMEN VIGILANCIA'!U2)</f>
        <v>400000</v>
      </c>
      <c r="V60" s="124">
        <f>IF(ISBLANK('RESUMEN VIGILANCIA'!V2),"",'RESUMEN VIGILANCIA'!V2)</f>
        <v>625000</v>
      </c>
      <c r="W60" s="124">
        <f>IF(ISBLANK('RESUMEN VIGILANCIA'!W2),"",'RESUMEN VIGILANCIA'!W2)</f>
        <v>1000000</v>
      </c>
      <c r="X60" s="124">
        <f>IF(ISBLANK('RESUMEN VIGILANCIA'!X2),"",'RESUMEN VIGILANCIA'!X2)</f>
        <v>1200000</v>
      </c>
      <c r="Y60" s="124" t="str">
        <f>IF(ISBLANK('RESUMEN VIGILANCIA'!Y2),"",'RESUMEN VIGILANCIA'!Y2)</f>
        <v/>
      </c>
      <c r="Z60" s="124" t="str">
        <f>IF(ISBLANK('RESUMEN VIGILANCIA'!Z2),"",'RESUMEN VIGILANCIA'!Z2)</f>
        <v/>
      </c>
      <c r="AA60" s="124" t="str">
        <f>IF(ISBLANK('RESUMEN VIGILANCIA'!AA2),"",'RESUMEN VIGILANCIA'!AA2)</f>
        <v/>
      </c>
      <c r="AB60" s="99" t="str">
        <f>IF(ISBLANK('RESUMEN VIGILANCIA'!AB2),"",'RESUMEN VIGILANCIA'!AB2)</f>
        <v/>
      </c>
      <c r="AC60" s="113">
        <f t="shared" si="0"/>
        <v>4016000</v>
      </c>
      <c r="AD60" s="294"/>
      <c r="AE60" s="294"/>
    </row>
    <row r="61" spans="1:31" s="52" customFormat="1" ht="20.100000000000001" customHeight="1" x14ac:dyDescent="0.25">
      <c r="A61" s="56" t="s">
        <v>270</v>
      </c>
      <c r="B61" s="57" t="s">
        <v>272</v>
      </c>
      <c r="C61" s="150" t="s">
        <v>938</v>
      </c>
      <c r="D61" s="100" t="str">
        <f>IF(ISBLANK('RESUMEN VIGILANCIA'!D3),"",'RESUMEN VIGILANCIA'!D3)</f>
        <v/>
      </c>
      <c r="E61" s="151">
        <f>IF(ISBLANK('RESUMEN VIGILANCIA'!E3),"",'RESUMEN VIGILANCIA'!E3)</f>
        <v>10500</v>
      </c>
      <c r="F61" s="43">
        <f>IF(ISBLANK('RESUMEN VIGILANCIA'!F3),"",'RESUMEN VIGILANCIA'!F3)</f>
        <v>10500</v>
      </c>
      <c r="G61" s="43">
        <f>IF(ISBLANK('RESUMEN VIGILANCIA'!G3),"",'RESUMEN VIGILANCIA'!G3)</f>
        <v>10500</v>
      </c>
      <c r="H61" s="43" t="str">
        <f>IF(ISBLANK('RESUMEN VIGILANCIA'!H3),"",'RESUMEN VIGILANCIA'!H3)</f>
        <v/>
      </c>
      <c r="I61" s="43" t="str">
        <f>IF(ISBLANK('RESUMEN VIGILANCIA'!I3),"",'RESUMEN VIGILANCIA'!I3)</f>
        <v/>
      </c>
      <c r="J61" s="43" t="str">
        <f>IF(ISBLANK('RESUMEN VIGILANCIA'!J3),"",'RESUMEN VIGILANCIA'!J3)</f>
        <v/>
      </c>
      <c r="K61" s="43" t="str">
        <f>IF(ISBLANK('RESUMEN VIGILANCIA'!K3),"",'RESUMEN VIGILANCIA'!K3)</f>
        <v/>
      </c>
      <c r="L61" s="43" t="str">
        <f>IF(ISBLANK('RESUMEN VIGILANCIA'!L3),"",'RESUMEN VIGILANCIA'!L3)</f>
        <v/>
      </c>
      <c r="M61" s="43" t="str">
        <f>IF(ISBLANK('RESUMEN VIGILANCIA'!M3),"",'RESUMEN VIGILANCIA'!M3)</f>
        <v/>
      </c>
      <c r="N61" s="43" t="str">
        <f>IF(ISBLANK('RESUMEN VIGILANCIA'!N3),"",'RESUMEN VIGILANCIA'!N3)</f>
        <v/>
      </c>
      <c r="O61" s="123" t="str">
        <f>IF(ISBLANK('RESUMEN VIGILANCIA'!O3),"",'RESUMEN VIGILANCIA'!O3)</f>
        <v/>
      </c>
      <c r="P61" s="100" t="str">
        <f>IF(ISBLANK('RESUMEN VIGILANCIA'!P3),"",'RESUMEN VIGILANCIA'!P3)</f>
        <v/>
      </c>
      <c r="Q61" s="130" t="str">
        <f>IF(ISBLANK('RESUMEN VIGILANCIA'!Q3),"",'RESUMEN VIGILANCIA'!Q3)</f>
        <v/>
      </c>
      <c r="R61" s="123" t="str">
        <f>IF(ISBLANK('RESUMEN VIGILANCIA'!R3),"",'RESUMEN VIGILANCIA'!R3)</f>
        <v/>
      </c>
      <c r="S61" s="123" t="str">
        <f>IF(ISBLANK('RESUMEN VIGILANCIA'!S3),"",'RESUMEN VIGILANCIA'!S3)</f>
        <v/>
      </c>
      <c r="T61" s="123" t="str">
        <f>IF(ISBLANK('RESUMEN VIGILANCIA'!T3),"",'RESUMEN VIGILANCIA'!T3)</f>
        <v/>
      </c>
      <c r="U61" s="123" t="str">
        <f>IF(ISBLANK('RESUMEN VIGILANCIA'!U3),"",'RESUMEN VIGILANCIA'!U3)</f>
        <v/>
      </c>
      <c r="V61" s="123" t="str">
        <f>IF(ISBLANK('RESUMEN VIGILANCIA'!V3),"",'RESUMEN VIGILANCIA'!V3)</f>
        <v/>
      </c>
      <c r="W61" s="123" t="str">
        <f>IF(ISBLANK('RESUMEN VIGILANCIA'!W3),"",'RESUMEN VIGILANCIA'!W3)</f>
        <v/>
      </c>
      <c r="X61" s="123" t="str">
        <f>IF(ISBLANK('RESUMEN VIGILANCIA'!X3),"",'RESUMEN VIGILANCIA'!X3)</f>
        <v/>
      </c>
      <c r="Y61" s="123" t="str">
        <f>IF(ISBLANK('RESUMEN VIGILANCIA'!Y3),"",'RESUMEN VIGILANCIA'!Y3)</f>
        <v/>
      </c>
      <c r="Z61" s="123" t="str">
        <f>IF(ISBLANK('RESUMEN VIGILANCIA'!Z3),"",'RESUMEN VIGILANCIA'!Z3)</f>
        <v/>
      </c>
      <c r="AA61" s="123" t="str">
        <f>IF(ISBLANK('RESUMEN VIGILANCIA'!AA3),"",'RESUMEN VIGILANCIA'!AA3)</f>
        <v/>
      </c>
      <c r="AB61" s="100" t="str">
        <f>IF(ISBLANK('RESUMEN VIGILANCIA'!AB3),"",'RESUMEN VIGILANCIA'!AB3)</f>
        <v/>
      </c>
      <c r="AC61" s="114">
        <f t="shared" si="0"/>
        <v>31500</v>
      </c>
      <c r="AD61" s="291"/>
      <c r="AE61" s="291"/>
    </row>
    <row r="62" spans="1:31" s="52" customFormat="1" ht="20.100000000000001" customHeight="1" x14ac:dyDescent="0.25">
      <c r="A62" s="53" t="s">
        <v>197</v>
      </c>
      <c r="B62" s="54" t="s">
        <v>199</v>
      </c>
      <c r="C62" s="152" t="s">
        <v>940</v>
      </c>
      <c r="D62" s="99" t="str">
        <f>IF(ISBLANK('RESUMEN VIGILANCIA'!D4),"",'RESUMEN VIGILANCIA'!D4)</f>
        <v/>
      </c>
      <c r="E62" s="153">
        <f>IF(ISBLANK('RESUMEN VIGILANCIA'!E4),"",'RESUMEN VIGILANCIA'!E4)</f>
        <v>17000</v>
      </c>
      <c r="F62" s="41">
        <f>IF(ISBLANK('RESUMEN VIGILANCIA'!F4),"",'RESUMEN VIGILANCIA'!F4)</f>
        <v>17000</v>
      </c>
      <c r="G62" s="41">
        <f>IF(ISBLANK('RESUMEN VIGILANCIA'!G4),"",'RESUMEN VIGILANCIA'!G4)</f>
        <v>17000</v>
      </c>
      <c r="H62" s="41">
        <f>IF(ISBLANK('RESUMEN VIGILANCIA'!H4),"",'RESUMEN VIGILANCIA'!H4)</f>
        <v>17000</v>
      </c>
      <c r="I62" s="41">
        <f>IF(ISBLANK('RESUMEN VIGILANCIA'!I4),"",'RESUMEN VIGILANCIA'!I4)</f>
        <v>26000</v>
      </c>
      <c r="J62" s="41">
        <f>IF(ISBLANK('RESUMEN VIGILANCIA'!J4),"",'RESUMEN VIGILANCIA'!J4)</f>
        <v>26000</v>
      </c>
      <c r="K62" s="41">
        <f>IF(ISBLANK('RESUMEN VIGILANCIA'!K4),"",'RESUMEN VIGILANCIA'!K4)</f>
        <v>35000</v>
      </c>
      <c r="L62" s="41">
        <f>IF(ISBLANK('RESUMEN VIGILANCIA'!L4),"",'RESUMEN VIGILANCIA'!L4)</f>
        <v>35000</v>
      </c>
      <c r="M62" s="41">
        <f>IF(ISBLANK('RESUMEN VIGILANCIA'!M4),"",'RESUMEN VIGILANCIA'!M4)</f>
        <v>35000</v>
      </c>
      <c r="N62" s="41">
        <f>IF(ISBLANK('RESUMEN VIGILANCIA'!N4),"",'RESUMEN VIGILANCIA'!N4)</f>
        <v>35000</v>
      </c>
      <c r="O62" s="124">
        <f>IF(ISBLANK('RESUMEN VIGILANCIA'!O4),"",'RESUMEN VIGILANCIA'!O4)</f>
        <v>50000</v>
      </c>
      <c r="P62" s="99">
        <f>IF(ISBLANK('RESUMEN VIGILANCIA'!P4),"",'RESUMEN VIGILANCIA'!P4)</f>
        <v>50000</v>
      </c>
      <c r="Q62" s="128">
        <f>IF(ISBLANK('RESUMEN VIGILANCIA'!Q4),"",'RESUMEN VIGILANCIA'!Q4)</f>
        <v>80000</v>
      </c>
      <c r="R62" s="124">
        <f>IF(ISBLANK('RESUMEN VIGILANCIA'!R4),"",'RESUMEN VIGILANCIA'!R4)</f>
        <v>80000</v>
      </c>
      <c r="S62" s="124">
        <f>IF(ISBLANK('RESUMEN VIGILANCIA'!S4),"",'RESUMEN VIGILANCIA'!S4)</f>
        <v>140000</v>
      </c>
      <c r="T62" s="124">
        <f>IF(ISBLANK('RESUMEN VIGILANCIA'!T4),"",'RESUMEN VIGILANCIA'!T4)</f>
        <v>140000</v>
      </c>
      <c r="U62" s="124">
        <f>IF(ISBLANK('RESUMEN VIGILANCIA'!U4),"",'RESUMEN VIGILANCIA'!U4)</f>
        <v>400000</v>
      </c>
      <c r="V62" s="124">
        <f>IF(ISBLANK('RESUMEN VIGILANCIA'!V4),"",'RESUMEN VIGILANCIA'!V4)</f>
        <v>625000</v>
      </c>
      <c r="W62" s="124">
        <f>IF(ISBLANK('RESUMEN VIGILANCIA'!W4),"",'RESUMEN VIGILANCIA'!W4)</f>
        <v>1000000</v>
      </c>
      <c r="X62" s="124">
        <f>IF(ISBLANK('RESUMEN VIGILANCIA'!X4),"",'RESUMEN VIGILANCIA'!X4)</f>
        <v>1200000</v>
      </c>
      <c r="Y62" s="124">
        <f>IF(ISBLANK('RESUMEN VIGILANCIA'!Y4),"",'RESUMEN VIGILANCIA'!Y4)</f>
        <v>1000</v>
      </c>
      <c r="Z62" s="124" t="str">
        <f>IF(ISBLANK('RESUMEN VIGILANCIA'!Z4),"",'RESUMEN VIGILANCIA'!Z4)</f>
        <v/>
      </c>
      <c r="AA62" s="124" t="str">
        <f>IF(ISBLANK('RESUMEN VIGILANCIA'!AA4),"",'RESUMEN VIGILANCIA'!AA4)</f>
        <v/>
      </c>
      <c r="AB62" s="99" t="str">
        <f>IF(ISBLANK('RESUMEN VIGILANCIA'!AB4),"",'RESUMEN VIGILANCIA'!AB4)</f>
        <v/>
      </c>
      <c r="AC62" s="115">
        <f t="shared" si="0"/>
        <v>4026000</v>
      </c>
      <c r="AD62" s="292"/>
      <c r="AE62" s="292"/>
    </row>
    <row r="63" spans="1:31" s="52" customFormat="1" ht="20.100000000000001" customHeight="1" x14ac:dyDescent="0.25">
      <c r="A63" s="53" t="s">
        <v>811</v>
      </c>
      <c r="B63" s="54" t="s">
        <v>812</v>
      </c>
      <c r="C63" s="152" t="s">
        <v>939</v>
      </c>
      <c r="D63" s="99" t="str">
        <f>IF(ISBLANK('RESUMEN VIGILANCIA'!D11),"",'RESUMEN VIGILANCIA'!D11)</f>
        <v/>
      </c>
      <c r="E63" s="153" t="str">
        <f>IF(ISBLANK('RESUMEN VIGILANCIA'!E11),"",'RESUMEN VIGILANCIA'!E11)</f>
        <v/>
      </c>
      <c r="F63" s="41" t="str">
        <f>IF(ISBLANK('RESUMEN VIGILANCIA'!F11),"",'RESUMEN VIGILANCIA'!F11)</f>
        <v/>
      </c>
      <c r="G63" s="41" t="str">
        <f>IF(ISBLANK('RESUMEN VIGILANCIA'!G11),"",'RESUMEN VIGILANCIA'!G11)</f>
        <v/>
      </c>
      <c r="H63" s="41" t="str">
        <f>IF(ISBLANK('RESUMEN VIGILANCIA'!H11),"",'RESUMEN VIGILANCIA'!H11)</f>
        <v/>
      </c>
      <c r="I63" s="41" t="str">
        <f>IF(ISBLANK('RESUMEN VIGILANCIA'!I11),"",'RESUMEN VIGILANCIA'!I11)</f>
        <v/>
      </c>
      <c r="J63" s="41" t="str">
        <f>IF(ISBLANK('RESUMEN VIGILANCIA'!J11),"",'RESUMEN VIGILANCIA'!J11)</f>
        <v/>
      </c>
      <c r="K63" s="41" t="str">
        <f>IF(ISBLANK('RESUMEN VIGILANCIA'!K11),"",'RESUMEN VIGILANCIA'!K11)</f>
        <v/>
      </c>
      <c r="L63" s="41" t="str">
        <f>IF(ISBLANK('RESUMEN VIGILANCIA'!L11),"",'RESUMEN VIGILANCIA'!L11)</f>
        <v/>
      </c>
      <c r="M63" s="41" t="str">
        <f>IF(ISBLANK('RESUMEN VIGILANCIA'!M11),"",'RESUMEN VIGILANCIA'!M11)</f>
        <v/>
      </c>
      <c r="N63" s="41" t="str">
        <f>IF(ISBLANK('RESUMEN VIGILANCIA'!N11),"",'RESUMEN VIGILANCIA'!N11)</f>
        <v/>
      </c>
      <c r="O63" s="124" t="str">
        <f>IF(ISBLANK('RESUMEN VIGILANCIA'!O11),"",'RESUMEN VIGILANCIA'!O11)</f>
        <v/>
      </c>
      <c r="P63" s="99" t="str">
        <f>IF(ISBLANK('RESUMEN VIGILANCIA'!P11),"",'RESUMEN VIGILANCIA'!P11)</f>
        <v/>
      </c>
      <c r="Q63" s="128" t="str">
        <f>IF(ISBLANK('RESUMEN VIGILANCIA'!Q11),"",'RESUMEN VIGILANCIA'!Q11)</f>
        <v/>
      </c>
      <c r="R63" s="124" t="str">
        <f>IF(ISBLANK('RESUMEN VIGILANCIA'!R11),"",'RESUMEN VIGILANCIA'!R11)</f>
        <v/>
      </c>
      <c r="S63" s="124" t="str">
        <f>IF(ISBLANK('RESUMEN VIGILANCIA'!S11),"",'RESUMEN VIGILANCIA'!S11)</f>
        <v/>
      </c>
      <c r="T63" s="124" t="str">
        <f>IF(ISBLANK('RESUMEN VIGILANCIA'!T11),"",'RESUMEN VIGILANCIA'!T11)</f>
        <v/>
      </c>
      <c r="U63" s="124" t="str">
        <f>IF(ISBLANK('RESUMEN VIGILANCIA'!U11),"",'RESUMEN VIGILANCIA'!U11)</f>
        <v/>
      </c>
      <c r="V63" s="124" t="str">
        <f>IF(ISBLANK('RESUMEN VIGILANCIA'!V11),"",'RESUMEN VIGILANCIA'!V11)</f>
        <v/>
      </c>
      <c r="W63" s="124" t="str">
        <f>IF(ISBLANK('RESUMEN VIGILANCIA'!W11),"",'RESUMEN VIGILANCIA'!W11)</f>
        <v/>
      </c>
      <c r="X63" s="124" t="str">
        <f>IF(ISBLANK('RESUMEN VIGILANCIA'!X11),"",'RESUMEN VIGILANCIA'!X11)</f>
        <v/>
      </c>
      <c r="Y63" s="124" t="str">
        <f>IF(ISBLANK('RESUMEN VIGILANCIA'!Y11),"",'RESUMEN VIGILANCIA'!Y11)</f>
        <v/>
      </c>
      <c r="Z63" s="124" t="str">
        <f>IF(ISBLANK('RESUMEN VIGILANCIA'!Z11),"",'RESUMEN VIGILANCIA'!Z11)</f>
        <v/>
      </c>
      <c r="AA63" s="124" t="str">
        <f>IF(ISBLANK('RESUMEN VIGILANCIA'!AA11),"",'RESUMEN VIGILANCIA'!AA11)</f>
        <v/>
      </c>
      <c r="AB63" s="99" t="str">
        <f>IF(ISBLANK('RESUMEN VIGILANCIA'!AB11),"",'RESUMEN VIGILANCIA'!AB11)</f>
        <v/>
      </c>
      <c r="AC63" s="115">
        <f t="shared" si="0"/>
        <v>0</v>
      </c>
      <c r="AD63" s="292"/>
      <c r="AE63" s="292"/>
    </row>
    <row r="64" spans="1:31" s="52" customFormat="1" ht="20.100000000000001" customHeight="1" x14ac:dyDescent="0.25">
      <c r="A64" s="86" t="s">
        <v>57</v>
      </c>
      <c r="B64" s="87" t="s">
        <v>59</v>
      </c>
      <c r="C64" s="152" t="s">
        <v>940</v>
      </c>
      <c r="D64" s="99" t="str">
        <f>IF(ISBLANK('RESUMEN VIGILANCIA'!D9),"",'RESUMEN VIGILANCIA'!D9)</f>
        <v/>
      </c>
      <c r="E64" s="154">
        <f>IF(ISBLANK('RESUMEN VIGILANCIA'!E9),"",'RESUMEN VIGILANCIA'!E9)</f>
        <v>12000</v>
      </c>
      <c r="F64" s="41">
        <f>IF(ISBLANK('RESUMEN VIGILANCIA'!F9),"",'RESUMEN VIGILANCIA'!F9)</f>
        <v>20000</v>
      </c>
      <c r="G64" s="41">
        <f>IF(ISBLANK('RESUMEN VIGILANCIA'!G9),"",'RESUMEN VIGILANCIA'!G9)</f>
        <v>20000</v>
      </c>
      <c r="H64" s="41">
        <f>IF(ISBLANK('RESUMEN VIGILANCIA'!H9),"",'RESUMEN VIGILANCIA'!H9)</f>
        <v>20000</v>
      </c>
      <c r="I64" s="41">
        <f>IF(ISBLANK('RESUMEN VIGILANCIA'!I9),"",'RESUMEN VIGILANCIA'!I9)</f>
        <v>30000</v>
      </c>
      <c r="J64" s="41">
        <f>IF(ISBLANK('RESUMEN VIGILANCIA'!J9),"",'RESUMEN VIGILANCIA'!J9)</f>
        <v>30000</v>
      </c>
      <c r="K64" s="41">
        <f>IF(ISBLANK('RESUMEN VIGILANCIA'!K9),"",'RESUMEN VIGILANCIA'!K9)</f>
        <v>40000</v>
      </c>
      <c r="L64" s="41">
        <f>IF(ISBLANK('RESUMEN VIGILANCIA'!L9),"",'RESUMEN VIGILANCIA'!L9)</f>
        <v>40000</v>
      </c>
      <c r="M64" s="41">
        <f>IF(ISBLANK('RESUMEN VIGILANCIA'!M9),"",'RESUMEN VIGILANCIA'!M9)</f>
        <v>40000</v>
      </c>
      <c r="N64" s="41">
        <f>IF(ISBLANK('RESUMEN VIGILANCIA'!N9),"",'RESUMEN VIGILANCIA'!N9)</f>
        <v>40000</v>
      </c>
      <c r="O64" s="124">
        <f>IF(ISBLANK('RESUMEN VIGILANCIA'!O9),"",'RESUMEN VIGILANCIA'!O9)</f>
        <v>54000</v>
      </c>
      <c r="P64" s="99">
        <f>IF(ISBLANK('RESUMEN VIGILANCIA'!P9),"",'RESUMEN VIGILANCIA'!P9)</f>
        <v>54000</v>
      </c>
      <c r="Q64" s="128">
        <f>IF(ISBLANK('RESUMEN VIGILANCIA'!Q9),"",'RESUMEN VIGILANCIA'!Q9)</f>
        <v>86400</v>
      </c>
      <c r="R64" s="124">
        <f>IF(ISBLANK('RESUMEN VIGILANCIA'!R9),"",'RESUMEN VIGILANCIA'!R9)</f>
        <v>86400</v>
      </c>
      <c r="S64" s="124">
        <f>IF(ISBLANK('RESUMEN VIGILANCIA'!S9),"",'RESUMEN VIGILANCIA'!S9)</f>
        <v>155000</v>
      </c>
      <c r="T64" s="124">
        <f>IF(ISBLANK('RESUMEN VIGILANCIA'!T9),"",'RESUMEN VIGILANCIA'!T9)</f>
        <v>155000</v>
      </c>
      <c r="U64" s="124">
        <f>IF(ISBLANK('RESUMEN VIGILANCIA'!U9),"",'RESUMEN VIGILANCIA'!U9)</f>
        <v>400000</v>
      </c>
      <c r="V64" s="124">
        <f>IF(ISBLANK('RESUMEN VIGILANCIA'!V9),"",'RESUMEN VIGILANCIA'!V9)</f>
        <v>690000</v>
      </c>
      <c r="W64" s="124">
        <f>IF(ISBLANK('RESUMEN VIGILANCIA'!W9),"",'RESUMEN VIGILANCIA'!W9)</f>
        <v>1100000</v>
      </c>
      <c r="X64" s="124">
        <f>IF(ISBLANK('RESUMEN VIGILANCIA'!X9),"",'RESUMEN VIGILANCIA'!X9)</f>
        <v>1100000</v>
      </c>
      <c r="Y64" s="124" t="str">
        <f>IF(ISBLANK('RESUMEN VIGILANCIA'!Y9),"",'RESUMEN VIGILANCIA'!Y9)</f>
        <v/>
      </c>
      <c r="Z64" s="124" t="str">
        <f>IF(ISBLANK('RESUMEN VIGILANCIA'!Z9),"",'RESUMEN VIGILANCIA'!Z9)</f>
        <v/>
      </c>
      <c r="AA64" s="124" t="str">
        <f>IF(ISBLANK('RESUMEN VIGILANCIA'!AA9),"",'RESUMEN VIGILANCIA'!AA9)</f>
        <v/>
      </c>
      <c r="AB64" s="99" t="str">
        <f>IF(ISBLANK('RESUMEN VIGILANCIA'!AB9),"",'RESUMEN VIGILANCIA'!AB9)</f>
        <v/>
      </c>
      <c r="AC64" s="115">
        <f t="shared" si="0"/>
        <v>4172800</v>
      </c>
      <c r="AD64" s="292"/>
      <c r="AE64" s="292"/>
    </row>
    <row r="65" spans="1:31" s="52" customFormat="1" ht="20.100000000000001" customHeight="1" x14ac:dyDescent="0.25">
      <c r="A65" s="53" t="s">
        <v>337</v>
      </c>
      <c r="B65" s="54" t="s">
        <v>339</v>
      </c>
      <c r="C65" s="152" t="s">
        <v>940</v>
      </c>
      <c r="D65" s="99" t="str">
        <f>IF(ISBLANK('RESUMEN VIGILANCIA'!D5),"",'RESUMEN VIGILANCIA'!D5)</f>
        <v/>
      </c>
      <c r="E65" s="153">
        <f>IF(ISBLANK('RESUMEN VIGILANCIA'!E5),"",'RESUMEN VIGILANCIA'!E5)</f>
        <v>17000</v>
      </c>
      <c r="F65" s="41">
        <f>IF(ISBLANK('RESUMEN VIGILANCIA'!F5),"",'RESUMEN VIGILANCIA'!F5)</f>
        <v>17000</v>
      </c>
      <c r="G65" s="41">
        <f>IF(ISBLANK('RESUMEN VIGILANCIA'!G5),"",'RESUMEN VIGILANCIA'!G5)</f>
        <v>17000</v>
      </c>
      <c r="H65" s="41">
        <f>IF(ISBLANK('RESUMEN VIGILANCIA'!H5),"",'RESUMEN VIGILANCIA'!H5)</f>
        <v>17000</v>
      </c>
      <c r="I65" s="41">
        <f>IF(ISBLANK('RESUMEN VIGILANCIA'!I5),"",'RESUMEN VIGILANCIA'!I5)</f>
        <v>26000</v>
      </c>
      <c r="J65" s="41">
        <f>IF(ISBLANK('RESUMEN VIGILANCIA'!J5),"",'RESUMEN VIGILANCIA'!J5)</f>
        <v>26000</v>
      </c>
      <c r="K65" s="41">
        <f>IF(ISBLANK('RESUMEN VIGILANCIA'!K5),"",'RESUMEN VIGILANCIA'!K5)</f>
        <v>35000</v>
      </c>
      <c r="L65" s="41">
        <f>IF(ISBLANK('RESUMEN VIGILANCIA'!L5),"",'RESUMEN VIGILANCIA'!L5)</f>
        <v>35000</v>
      </c>
      <c r="M65" s="41">
        <f>IF(ISBLANK('RESUMEN VIGILANCIA'!M5),"",'RESUMEN VIGILANCIA'!M5)</f>
        <v>35000</v>
      </c>
      <c r="N65" s="41">
        <f>IF(ISBLANK('RESUMEN VIGILANCIA'!N5),"",'RESUMEN VIGILANCIA'!N5)</f>
        <v>35000</v>
      </c>
      <c r="O65" s="124">
        <f>IF(ISBLANK('RESUMEN VIGILANCIA'!O5),"",'RESUMEN VIGILANCIA'!O5)</f>
        <v>50000</v>
      </c>
      <c r="P65" s="99">
        <f>IF(ISBLANK('RESUMEN VIGILANCIA'!P5),"",'RESUMEN VIGILANCIA'!P5)</f>
        <v>50000</v>
      </c>
      <c r="Q65" s="128">
        <f>IF(ISBLANK('RESUMEN VIGILANCIA'!Q5),"",'RESUMEN VIGILANCIA'!Q5)</f>
        <v>80000</v>
      </c>
      <c r="R65" s="124">
        <f>IF(ISBLANK('RESUMEN VIGILANCIA'!R5),"",'RESUMEN VIGILANCIA'!R5)</f>
        <v>80000</v>
      </c>
      <c r="S65" s="124">
        <f>IF(ISBLANK('RESUMEN VIGILANCIA'!S5),"",'RESUMEN VIGILANCIA'!S5)</f>
        <v>140000</v>
      </c>
      <c r="T65" s="124">
        <f>IF(ISBLANK('RESUMEN VIGILANCIA'!T5),"",'RESUMEN VIGILANCIA'!T5)</f>
        <v>140000</v>
      </c>
      <c r="U65" s="124">
        <f>IF(ISBLANK('RESUMEN VIGILANCIA'!U5),"",'RESUMEN VIGILANCIA'!U5)</f>
        <v>400000</v>
      </c>
      <c r="V65" s="124">
        <f>IF(ISBLANK('RESUMEN VIGILANCIA'!V5),"",'RESUMEN VIGILANCIA'!V5)</f>
        <v>625000</v>
      </c>
      <c r="W65" s="124">
        <f>IF(ISBLANK('RESUMEN VIGILANCIA'!W5),"",'RESUMEN VIGILANCIA'!W5)</f>
        <v>1000000</v>
      </c>
      <c r="X65" s="124">
        <f>IF(ISBLANK('RESUMEN VIGILANCIA'!X5),"",'RESUMEN VIGILANCIA'!X5)</f>
        <v>1200000</v>
      </c>
      <c r="Y65" s="124" t="str">
        <f>IF(ISBLANK('RESUMEN VIGILANCIA'!Y5),"",'RESUMEN VIGILANCIA'!Y5)</f>
        <v/>
      </c>
      <c r="Z65" s="124" t="str">
        <f>IF(ISBLANK('RESUMEN VIGILANCIA'!Z5),"",'RESUMEN VIGILANCIA'!Z5)</f>
        <v/>
      </c>
      <c r="AA65" s="124" t="str">
        <f>IF(ISBLANK('RESUMEN VIGILANCIA'!AA5),"",'RESUMEN VIGILANCIA'!AA5)</f>
        <v/>
      </c>
      <c r="AB65" s="99" t="str">
        <f>IF(ISBLANK('RESUMEN VIGILANCIA'!AB5),"",'RESUMEN VIGILANCIA'!AB5)</f>
        <v/>
      </c>
      <c r="AC65" s="115">
        <f t="shared" si="0"/>
        <v>4025000</v>
      </c>
      <c r="AD65" s="292"/>
      <c r="AE65" s="292"/>
    </row>
    <row r="66" spans="1:31" s="52" customFormat="1" ht="20.100000000000001" customHeight="1" x14ac:dyDescent="0.25">
      <c r="A66" s="53" t="s">
        <v>264</v>
      </c>
      <c r="B66" s="54" t="s">
        <v>266</v>
      </c>
      <c r="C66" s="152" t="s">
        <v>940</v>
      </c>
      <c r="D66" s="99" t="str">
        <f>IF(ISBLANK('RESUMEN VIGILANCIA'!D14),"",'RESUMEN VIGILANCIA'!D14)</f>
        <v/>
      </c>
      <c r="E66" s="153">
        <f>IF(ISBLANK('RESUMEN VIGILANCIA'!E14),"",'RESUMEN VIGILANCIA'!E14)</f>
        <v>17000</v>
      </c>
      <c r="F66" s="41">
        <f>IF(ISBLANK('RESUMEN VIGILANCIA'!F14),"",'RESUMEN VIGILANCIA'!F14)</f>
        <v>17000</v>
      </c>
      <c r="G66" s="41">
        <f>IF(ISBLANK('RESUMEN VIGILANCIA'!G14),"",'RESUMEN VIGILANCIA'!G14)</f>
        <v>17000</v>
      </c>
      <c r="H66" s="41">
        <f>IF(ISBLANK('RESUMEN VIGILANCIA'!H14),"",'RESUMEN VIGILANCIA'!H14)</f>
        <v>17000</v>
      </c>
      <c r="I66" s="41">
        <f>IF(ISBLANK('RESUMEN VIGILANCIA'!I14),"",'RESUMEN VIGILANCIA'!I14)</f>
        <v>26000</v>
      </c>
      <c r="J66" s="41">
        <f>IF(ISBLANK('RESUMEN VIGILANCIA'!J14),"",'RESUMEN VIGILANCIA'!J14)</f>
        <v>26000</v>
      </c>
      <c r="K66" s="41">
        <f>IF(ISBLANK('RESUMEN VIGILANCIA'!K14),"",'RESUMEN VIGILANCIA'!K14)</f>
        <v>35000</v>
      </c>
      <c r="L66" s="41">
        <f>IF(ISBLANK('RESUMEN VIGILANCIA'!L14),"",'RESUMEN VIGILANCIA'!L14)</f>
        <v>35000</v>
      </c>
      <c r="M66" s="41">
        <f>IF(ISBLANK('RESUMEN VIGILANCIA'!M14),"",'RESUMEN VIGILANCIA'!M14)</f>
        <v>35000</v>
      </c>
      <c r="N66" s="41">
        <f>IF(ISBLANK('RESUMEN VIGILANCIA'!N14),"",'RESUMEN VIGILANCIA'!N14)</f>
        <v>35000</v>
      </c>
      <c r="O66" s="124">
        <f>IF(ISBLANK('RESUMEN VIGILANCIA'!O14),"",'RESUMEN VIGILANCIA'!O14)</f>
        <v>50000</v>
      </c>
      <c r="P66" s="99">
        <f>IF(ISBLANK('RESUMEN VIGILANCIA'!P14),"",'RESUMEN VIGILANCIA'!P14)</f>
        <v>50000</v>
      </c>
      <c r="Q66" s="128">
        <f>IF(ISBLANK('RESUMEN VIGILANCIA'!Q14),"",'RESUMEN VIGILANCIA'!Q14)</f>
        <v>80000</v>
      </c>
      <c r="R66" s="124">
        <f>IF(ISBLANK('RESUMEN VIGILANCIA'!R14),"",'RESUMEN VIGILANCIA'!R14)</f>
        <v>80000</v>
      </c>
      <c r="S66" s="124">
        <f>IF(ISBLANK('RESUMEN VIGILANCIA'!S14),"",'RESUMEN VIGILANCIA'!S14)</f>
        <v>140000</v>
      </c>
      <c r="T66" s="124">
        <f>IF(ISBLANK('RESUMEN VIGILANCIA'!T14),"",'RESUMEN VIGILANCIA'!T14)</f>
        <v>140000</v>
      </c>
      <c r="U66" s="124">
        <f>IF(ISBLANK('RESUMEN VIGILANCIA'!U14),"",'RESUMEN VIGILANCIA'!U14)</f>
        <v>400000</v>
      </c>
      <c r="V66" s="124">
        <f>IF(ISBLANK('RESUMEN VIGILANCIA'!V14),"",'RESUMEN VIGILANCIA'!V14)</f>
        <v>625000</v>
      </c>
      <c r="W66" s="124">
        <f>IF(ISBLANK('RESUMEN VIGILANCIA'!W14),"",'RESUMEN VIGILANCIA'!W14)</f>
        <v>1000000</v>
      </c>
      <c r="X66" s="124" t="str">
        <f>IF(ISBLANK('RESUMEN VIGILANCIA'!X14),"",'RESUMEN VIGILANCIA'!X14)</f>
        <v/>
      </c>
      <c r="Y66" s="124" t="str">
        <f>IF(ISBLANK('RESUMEN VIGILANCIA'!Y14),"",'RESUMEN VIGILANCIA'!Y14)</f>
        <v/>
      </c>
      <c r="Z66" s="124" t="str">
        <f>IF(ISBLANK('RESUMEN VIGILANCIA'!Z14),"",'RESUMEN VIGILANCIA'!Z14)</f>
        <v/>
      </c>
      <c r="AA66" s="124" t="str">
        <f>IF(ISBLANK('RESUMEN VIGILANCIA'!AA14),"",'RESUMEN VIGILANCIA'!AA14)</f>
        <v/>
      </c>
      <c r="AB66" s="99" t="str">
        <f>IF(ISBLANK('RESUMEN VIGILANCIA'!AB14),"",'RESUMEN VIGILANCIA'!AB14)</f>
        <v/>
      </c>
      <c r="AC66" s="115">
        <f t="shared" si="0"/>
        <v>2825000</v>
      </c>
      <c r="AD66" s="292"/>
      <c r="AE66" s="292"/>
    </row>
    <row r="67" spans="1:31" s="52" customFormat="1" ht="20.100000000000001" customHeight="1" x14ac:dyDescent="0.25">
      <c r="A67" s="53" t="s">
        <v>439</v>
      </c>
      <c r="B67" s="54" t="s">
        <v>441</v>
      </c>
      <c r="C67" s="152" t="s">
        <v>940</v>
      </c>
      <c r="D67" s="99" t="str">
        <f>IF(ISBLANK('RESUMEN VIGILANCIA'!D10),"",'RESUMEN VIGILANCIA'!D10)</f>
        <v/>
      </c>
      <c r="E67" s="153">
        <f>IF(ISBLANK('RESUMEN VIGILANCIA'!E10),"",'RESUMEN VIGILANCIA'!E10)</f>
        <v>17000</v>
      </c>
      <c r="F67" s="41">
        <f>IF(ISBLANK('RESUMEN VIGILANCIA'!F10),"",'RESUMEN VIGILANCIA'!F10)</f>
        <v>17000</v>
      </c>
      <c r="G67" s="41">
        <f>IF(ISBLANK('RESUMEN VIGILANCIA'!G10),"",'RESUMEN VIGILANCIA'!G10)</f>
        <v>17000</v>
      </c>
      <c r="H67" s="41">
        <f>IF(ISBLANK('RESUMEN VIGILANCIA'!H10),"",'RESUMEN VIGILANCIA'!H10)</f>
        <v>17000</v>
      </c>
      <c r="I67" s="41">
        <f>IF(ISBLANK('RESUMEN VIGILANCIA'!I10),"",'RESUMEN VIGILANCIA'!I10)</f>
        <v>26000</v>
      </c>
      <c r="J67" s="41">
        <f>IF(ISBLANK('RESUMEN VIGILANCIA'!J10),"",'RESUMEN VIGILANCIA'!J10)</f>
        <v>26000</v>
      </c>
      <c r="K67" s="41">
        <f>IF(ISBLANK('RESUMEN VIGILANCIA'!K10),"",'RESUMEN VIGILANCIA'!K10)</f>
        <v>35000</v>
      </c>
      <c r="L67" s="41">
        <f>IF(ISBLANK('RESUMEN VIGILANCIA'!L10),"",'RESUMEN VIGILANCIA'!L10)</f>
        <v>35000</v>
      </c>
      <c r="M67" s="41">
        <f>IF(ISBLANK('RESUMEN VIGILANCIA'!M10),"",'RESUMEN VIGILANCIA'!M10)</f>
        <v>35000</v>
      </c>
      <c r="N67" s="41">
        <f>IF(ISBLANK('RESUMEN VIGILANCIA'!N10),"",'RESUMEN VIGILANCIA'!N10)</f>
        <v>35000</v>
      </c>
      <c r="O67" s="124">
        <f>IF(ISBLANK('RESUMEN VIGILANCIA'!O10),"",'RESUMEN VIGILANCIA'!O10)</f>
        <v>50000</v>
      </c>
      <c r="P67" s="99">
        <f>IF(ISBLANK('RESUMEN VIGILANCIA'!P10),"",'RESUMEN VIGILANCIA'!P10)</f>
        <v>50000</v>
      </c>
      <c r="Q67" s="128">
        <f>IF(ISBLANK('RESUMEN VIGILANCIA'!Q10),"",'RESUMEN VIGILANCIA'!Q10)</f>
        <v>80000</v>
      </c>
      <c r="R67" s="124">
        <f>IF(ISBLANK('RESUMEN VIGILANCIA'!R10),"",'RESUMEN VIGILANCIA'!R10)</f>
        <v>80000</v>
      </c>
      <c r="S67" s="124">
        <f>IF(ISBLANK('RESUMEN VIGILANCIA'!S10),"",'RESUMEN VIGILANCIA'!S10)</f>
        <v>140000</v>
      </c>
      <c r="T67" s="124">
        <f>IF(ISBLANK('RESUMEN VIGILANCIA'!T10),"",'RESUMEN VIGILANCIA'!T10)</f>
        <v>140000</v>
      </c>
      <c r="U67" s="124">
        <f>IF(ISBLANK('RESUMEN VIGILANCIA'!U10),"",'RESUMEN VIGILANCIA'!U10)</f>
        <v>400000</v>
      </c>
      <c r="V67" s="124">
        <f>IF(ISBLANK('RESUMEN VIGILANCIA'!V10),"",'RESUMEN VIGILANCIA'!V10)</f>
        <v>625000</v>
      </c>
      <c r="W67" s="124">
        <f>IF(ISBLANK('RESUMEN VIGILANCIA'!W10),"",'RESUMEN VIGILANCIA'!W10)</f>
        <v>1000000</v>
      </c>
      <c r="X67" s="124">
        <f>IF(ISBLANK('RESUMEN VIGILANCIA'!X10),"",'RESUMEN VIGILANCIA'!X10)</f>
        <v>1200000</v>
      </c>
      <c r="Y67" s="124" t="str">
        <f>IF(ISBLANK('RESUMEN VIGILANCIA'!Y10),"",'RESUMEN VIGILANCIA'!Y10)</f>
        <v/>
      </c>
      <c r="Z67" s="124" t="str">
        <f>IF(ISBLANK('RESUMEN VIGILANCIA'!Z10),"",'RESUMEN VIGILANCIA'!Z10)</f>
        <v/>
      </c>
      <c r="AA67" s="124" t="str">
        <f>IF(ISBLANK('RESUMEN VIGILANCIA'!AA10),"",'RESUMEN VIGILANCIA'!AA10)</f>
        <v/>
      </c>
      <c r="AB67" s="99" t="str">
        <f>IF(ISBLANK('RESUMEN VIGILANCIA'!AB10),"",'RESUMEN VIGILANCIA'!AB10)</f>
        <v/>
      </c>
      <c r="AC67" s="115">
        <f t="shared" si="0"/>
        <v>4025000</v>
      </c>
      <c r="AD67" s="292"/>
      <c r="AE67" s="292"/>
    </row>
    <row r="68" spans="1:31" s="52" customFormat="1" ht="20.100000000000001" customHeight="1" x14ac:dyDescent="0.25">
      <c r="A68" s="53" t="s">
        <v>873</v>
      </c>
      <c r="B68" s="54" t="s">
        <v>874</v>
      </c>
      <c r="C68" s="152" t="s">
        <v>940</v>
      </c>
      <c r="D68" s="99" t="str">
        <f>IF(ISBLANK('RESUMEN VIGILANCIA'!D129),"",'RESUMEN VIGILANCIA'!D129)</f>
        <v/>
      </c>
      <c r="E68" s="153" t="str">
        <f>IF(ISBLANK('RESUMEN VIGILANCIA'!E129),"",'RESUMEN VIGILANCIA'!E129)</f>
        <v/>
      </c>
      <c r="F68" s="41" t="str">
        <f>IF(ISBLANK('RESUMEN VIGILANCIA'!F129),"",'RESUMEN VIGILANCIA'!F129)</f>
        <v/>
      </c>
      <c r="G68" s="41" t="str">
        <f>IF(ISBLANK('RESUMEN VIGILANCIA'!G129),"",'RESUMEN VIGILANCIA'!G129)</f>
        <v/>
      </c>
      <c r="H68" s="41" t="str">
        <f>IF(ISBLANK('RESUMEN VIGILANCIA'!H129),"",'RESUMEN VIGILANCIA'!H129)</f>
        <v/>
      </c>
      <c r="I68" s="41" t="str">
        <f>IF(ISBLANK('RESUMEN VIGILANCIA'!I129),"",'RESUMEN VIGILANCIA'!I129)</f>
        <v/>
      </c>
      <c r="J68" s="41" t="str">
        <f>IF(ISBLANK('RESUMEN VIGILANCIA'!J129),"",'RESUMEN VIGILANCIA'!J129)</f>
        <v/>
      </c>
      <c r="K68" s="41" t="str">
        <f>IF(ISBLANK('RESUMEN VIGILANCIA'!K129),"",'RESUMEN VIGILANCIA'!K129)</f>
        <v/>
      </c>
      <c r="L68" s="41" t="str">
        <f>IF(ISBLANK('RESUMEN VIGILANCIA'!L129),"",'RESUMEN VIGILANCIA'!L129)</f>
        <v/>
      </c>
      <c r="M68" s="41" t="str">
        <f>IF(ISBLANK('RESUMEN VIGILANCIA'!M129),"",'RESUMEN VIGILANCIA'!M129)</f>
        <v/>
      </c>
      <c r="N68" s="41" t="str">
        <f>IF(ISBLANK('RESUMEN VIGILANCIA'!N129),"",'RESUMEN VIGILANCIA'!N129)</f>
        <v/>
      </c>
      <c r="O68" s="124" t="str">
        <f>IF(ISBLANK('RESUMEN VIGILANCIA'!O129),"",'RESUMEN VIGILANCIA'!O129)</f>
        <v/>
      </c>
      <c r="P68" s="99" t="str">
        <f>IF(ISBLANK('RESUMEN VIGILANCIA'!P129),"",'RESUMEN VIGILANCIA'!P129)</f>
        <v/>
      </c>
      <c r="Q68" s="128" t="str">
        <f>IF(ISBLANK('RESUMEN VIGILANCIA'!Q129),"",'RESUMEN VIGILANCIA'!Q129)</f>
        <v/>
      </c>
      <c r="R68" s="124" t="str">
        <f>IF(ISBLANK('RESUMEN VIGILANCIA'!R129),"",'RESUMEN VIGILANCIA'!R129)</f>
        <v/>
      </c>
      <c r="S68" s="124" t="str">
        <f>IF(ISBLANK('RESUMEN VIGILANCIA'!S129),"",'RESUMEN VIGILANCIA'!S129)</f>
        <v/>
      </c>
      <c r="T68" s="124" t="str">
        <f>IF(ISBLANK('RESUMEN VIGILANCIA'!T129),"",'RESUMEN VIGILANCIA'!T129)</f>
        <v/>
      </c>
      <c r="U68" s="124" t="str">
        <f>IF(ISBLANK('RESUMEN VIGILANCIA'!U129),"",'RESUMEN VIGILANCIA'!U129)</f>
        <v/>
      </c>
      <c r="V68" s="124" t="str">
        <f>IF(ISBLANK('RESUMEN VIGILANCIA'!V129),"",'RESUMEN VIGILANCIA'!V129)</f>
        <v/>
      </c>
      <c r="W68" s="124" t="str">
        <f>IF(ISBLANK('RESUMEN VIGILANCIA'!W129),"",'RESUMEN VIGILANCIA'!W129)</f>
        <v/>
      </c>
      <c r="X68" s="124" t="str">
        <f>IF(ISBLANK('RESUMEN VIGILANCIA'!X129),"",'RESUMEN VIGILANCIA'!X129)</f>
        <v/>
      </c>
      <c r="Y68" s="124" t="str">
        <f>IF(ISBLANK('RESUMEN VIGILANCIA'!Y129),"",'RESUMEN VIGILANCIA'!Y129)</f>
        <v/>
      </c>
      <c r="Z68" s="124" t="str">
        <f>IF(ISBLANK('RESUMEN VIGILANCIA'!Z129),"",'RESUMEN VIGILANCIA'!Z129)</f>
        <v/>
      </c>
      <c r="AA68" s="124" t="str">
        <f>IF(ISBLANK('RESUMEN VIGILANCIA'!AA129),"",'RESUMEN VIGILANCIA'!AA129)</f>
        <v/>
      </c>
      <c r="AB68" s="99" t="str">
        <f>IF(ISBLANK('RESUMEN VIGILANCIA'!AB129),"",'RESUMEN VIGILANCIA'!AB129)</f>
        <v/>
      </c>
      <c r="AC68" s="115">
        <f t="shared" ref="AC68:AC130" si="1">SUM(D68:AB68)</f>
        <v>0</v>
      </c>
      <c r="AD68" s="292"/>
      <c r="AE68" s="292"/>
    </row>
    <row r="69" spans="1:31" s="52" customFormat="1" ht="20.100000000000001" customHeight="1" x14ac:dyDescent="0.25">
      <c r="A69" s="52" t="s">
        <v>243</v>
      </c>
      <c r="B69" s="54" t="s">
        <v>245</v>
      </c>
      <c r="C69" s="152" t="s">
        <v>940</v>
      </c>
      <c r="D69" s="99" t="str">
        <f>IF(ISBLANK('RESUMEN VIGILANCIA'!D68),"",'RESUMEN VIGILANCIA'!D68)</f>
        <v/>
      </c>
      <c r="E69" s="153">
        <f>IF(ISBLANK('RESUMEN VIGILANCIA'!E68),"",'RESUMEN VIGILANCIA'!E68)</f>
        <v>17000</v>
      </c>
      <c r="F69" s="41">
        <f>IF(ISBLANK('RESUMEN VIGILANCIA'!F68),"",'RESUMEN VIGILANCIA'!F68)</f>
        <v>17000</v>
      </c>
      <c r="G69" s="41">
        <f>IF(ISBLANK('RESUMEN VIGILANCIA'!G68),"",'RESUMEN VIGILANCIA'!G68)</f>
        <v>17000</v>
      </c>
      <c r="H69" s="41">
        <f>IF(ISBLANK('RESUMEN VIGILANCIA'!H68),"",'RESUMEN VIGILANCIA'!H68)</f>
        <v>17000</v>
      </c>
      <c r="I69" s="41">
        <f>IF(ISBLANK('RESUMEN VIGILANCIA'!I68),"",'RESUMEN VIGILANCIA'!I68)</f>
        <v>26000</v>
      </c>
      <c r="J69" s="41">
        <f>IF(ISBLANK('RESUMEN VIGILANCIA'!J68),"",'RESUMEN VIGILANCIA'!J68)</f>
        <v>26000</v>
      </c>
      <c r="K69" s="41">
        <f>IF(ISBLANK('RESUMEN VIGILANCIA'!K68),"",'RESUMEN VIGILANCIA'!K68)</f>
        <v>35000</v>
      </c>
      <c r="L69" s="41">
        <f>IF(ISBLANK('RESUMEN VIGILANCIA'!L68),"",'RESUMEN VIGILANCIA'!L68)</f>
        <v>35000</v>
      </c>
      <c r="M69" s="41">
        <f>IF(ISBLANK('RESUMEN VIGILANCIA'!M68),"",'RESUMEN VIGILANCIA'!M68)</f>
        <v>35000</v>
      </c>
      <c r="N69" s="41">
        <f>IF(ISBLANK('RESUMEN VIGILANCIA'!N68),"",'RESUMEN VIGILANCIA'!N68)</f>
        <v>35000</v>
      </c>
      <c r="O69" s="124">
        <f>IF(ISBLANK('RESUMEN VIGILANCIA'!O68),"",'RESUMEN VIGILANCIA'!O68)</f>
        <v>50000</v>
      </c>
      <c r="P69" s="99">
        <f>IF(ISBLANK('RESUMEN VIGILANCIA'!P68),"",'RESUMEN VIGILANCIA'!P68)</f>
        <v>50000</v>
      </c>
      <c r="Q69" s="128">
        <f>IF(ISBLANK('RESUMEN VIGILANCIA'!Q68),"",'RESUMEN VIGILANCIA'!Q68)</f>
        <v>80000</v>
      </c>
      <c r="R69" s="124">
        <f>IF(ISBLANK('RESUMEN VIGILANCIA'!R68),"",'RESUMEN VIGILANCIA'!R68)</f>
        <v>80000</v>
      </c>
      <c r="S69" s="124">
        <f>IF(ISBLANK('RESUMEN VIGILANCIA'!S68),"",'RESUMEN VIGILANCIA'!S68)</f>
        <v>140000</v>
      </c>
      <c r="T69" s="124">
        <f>IF(ISBLANK('RESUMEN VIGILANCIA'!T68),"",'RESUMEN VIGILANCIA'!T68)</f>
        <v>140000</v>
      </c>
      <c r="U69" s="124">
        <f>IF(ISBLANK('RESUMEN VIGILANCIA'!U68),"",'RESUMEN VIGILANCIA'!U68)</f>
        <v>400000</v>
      </c>
      <c r="V69" s="124">
        <f>IF(ISBLANK('RESUMEN VIGILANCIA'!V68),"",'RESUMEN VIGILANCIA'!V68)</f>
        <v>625000</v>
      </c>
      <c r="W69" s="124">
        <f>IF(ISBLANK('RESUMEN VIGILANCIA'!W68),"",'RESUMEN VIGILANCIA'!W68)</f>
        <v>1000000</v>
      </c>
      <c r="X69" s="124">
        <f>IF(ISBLANK('RESUMEN VIGILANCIA'!X68),"",'RESUMEN VIGILANCIA'!X68)</f>
        <v>1200000</v>
      </c>
      <c r="Y69" s="124" t="str">
        <f>IF(ISBLANK('RESUMEN VIGILANCIA'!Y68),"",'RESUMEN VIGILANCIA'!Y68)</f>
        <v/>
      </c>
      <c r="Z69" s="124" t="str">
        <f>IF(ISBLANK('RESUMEN VIGILANCIA'!Z68),"",'RESUMEN VIGILANCIA'!Z68)</f>
        <v/>
      </c>
      <c r="AA69" s="124" t="str">
        <f>IF(ISBLANK('RESUMEN VIGILANCIA'!AA68),"",'RESUMEN VIGILANCIA'!AA68)</f>
        <v/>
      </c>
      <c r="AB69" s="99" t="str">
        <f>IF(ISBLANK('RESUMEN VIGILANCIA'!AB68),"",'RESUMEN VIGILANCIA'!AB68)</f>
        <v/>
      </c>
      <c r="AC69" s="115">
        <f t="shared" si="1"/>
        <v>4025000</v>
      </c>
      <c r="AD69" s="292"/>
      <c r="AE69" s="292"/>
    </row>
    <row r="70" spans="1:31" s="52" customFormat="1" ht="20.100000000000001" customHeight="1" x14ac:dyDescent="0.25">
      <c r="A70" s="163" t="s">
        <v>858</v>
      </c>
      <c r="B70" s="164" t="s">
        <v>614</v>
      </c>
      <c r="C70" s="152"/>
      <c r="D70" s="99" t="str">
        <f>IF(ISBLANK('RESUMEN VIGILANCIA'!D69),"",'RESUMEN VIGILANCIA'!D69)</f>
        <v/>
      </c>
      <c r="E70" s="153" t="str">
        <f>IF(ISBLANK('RESUMEN VIGILANCIA'!E69),"",'RESUMEN VIGILANCIA'!E69)</f>
        <v/>
      </c>
      <c r="F70" s="41" t="str">
        <f>IF(ISBLANK('RESUMEN VIGILANCIA'!F69),"",'RESUMEN VIGILANCIA'!F69)</f>
        <v/>
      </c>
      <c r="G70" s="41" t="str">
        <f>IF(ISBLANK('RESUMEN VIGILANCIA'!G69),"",'RESUMEN VIGILANCIA'!G69)</f>
        <v/>
      </c>
      <c r="H70" s="41" t="str">
        <f>IF(ISBLANK('RESUMEN VIGILANCIA'!H69),"",'RESUMEN VIGILANCIA'!H69)</f>
        <v/>
      </c>
      <c r="I70" s="41" t="str">
        <f>IF(ISBLANK('RESUMEN VIGILANCIA'!I69),"",'RESUMEN VIGILANCIA'!I69)</f>
        <v/>
      </c>
      <c r="J70" s="41" t="str">
        <f>IF(ISBLANK('RESUMEN VIGILANCIA'!J69),"",'RESUMEN VIGILANCIA'!J69)</f>
        <v/>
      </c>
      <c r="K70" s="41" t="str">
        <f>IF(ISBLANK('RESUMEN VIGILANCIA'!K69),"",'RESUMEN VIGILANCIA'!K69)</f>
        <v/>
      </c>
      <c r="L70" s="41" t="str">
        <f>IF(ISBLANK('RESUMEN VIGILANCIA'!L69),"",'RESUMEN VIGILANCIA'!L69)</f>
        <v/>
      </c>
      <c r="M70" s="41" t="str">
        <f>IF(ISBLANK('RESUMEN VIGILANCIA'!M69),"",'RESUMEN VIGILANCIA'!M69)</f>
        <v/>
      </c>
      <c r="N70" s="41" t="str">
        <f>IF(ISBLANK('RESUMEN VIGILANCIA'!N69),"",'RESUMEN VIGILANCIA'!N69)</f>
        <v/>
      </c>
      <c r="O70" s="211" t="str">
        <f>IF(ISBLANK('RESUMEN VIGILANCIA'!O69),"",'RESUMEN VIGILANCIA'!O69)</f>
        <v>VENDIDA</v>
      </c>
      <c r="P70" s="213" t="str">
        <f>IF(ISBLANK('RESUMEN VIGILANCIA'!P69),"",'RESUMEN VIGILANCIA'!P69)</f>
        <v/>
      </c>
      <c r="Q70" s="214" t="str">
        <f>IF(ISBLANK('RESUMEN VIGILANCIA'!Q69),"",'RESUMEN VIGILANCIA'!Q69)</f>
        <v/>
      </c>
      <c r="R70" s="211" t="str">
        <f>IF(ISBLANK('RESUMEN VIGILANCIA'!R69),"",'RESUMEN VIGILANCIA'!R69)</f>
        <v/>
      </c>
      <c r="S70" s="211" t="str">
        <f>IF(ISBLANK('RESUMEN VIGILANCIA'!S69),"",'RESUMEN VIGILANCIA'!S69)</f>
        <v/>
      </c>
      <c r="T70" s="211" t="str">
        <f>IF(ISBLANK('RESUMEN VIGILANCIA'!T69),"",'RESUMEN VIGILANCIA'!T69)</f>
        <v/>
      </c>
      <c r="U70" s="211" t="str">
        <f>IF(ISBLANK('RESUMEN VIGILANCIA'!U69),"",'RESUMEN VIGILANCIA'!U69)</f>
        <v/>
      </c>
      <c r="V70" s="211" t="str">
        <f>IF(ISBLANK('RESUMEN VIGILANCIA'!V69),"",'RESUMEN VIGILANCIA'!V69)</f>
        <v/>
      </c>
      <c r="W70" s="211" t="str">
        <f>IF(ISBLANK('RESUMEN VIGILANCIA'!W69),"",'RESUMEN VIGILANCIA'!W69)</f>
        <v/>
      </c>
      <c r="X70" s="211" t="str">
        <f>IF(ISBLANK('RESUMEN VIGILANCIA'!X69),"",'RESUMEN VIGILANCIA'!X69)</f>
        <v/>
      </c>
      <c r="Y70" s="211" t="str">
        <f>IF(ISBLANK('RESUMEN VIGILANCIA'!Y69),"",'RESUMEN VIGILANCIA'!Y69)</f>
        <v/>
      </c>
      <c r="Z70" s="211" t="str">
        <f>IF(ISBLANK('RESUMEN VIGILANCIA'!Z69),"",'RESUMEN VIGILANCIA'!Z69)</f>
        <v/>
      </c>
      <c r="AA70" s="211" t="str">
        <f>IF(ISBLANK('RESUMEN VIGILANCIA'!AA69),"",'RESUMEN VIGILANCIA'!AA69)</f>
        <v/>
      </c>
      <c r="AB70" s="213" t="str">
        <f>IF(ISBLANK('RESUMEN VIGILANCIA'!AB69),"",'RESUMEN VIGILANCIA'!AB69)</f>
        <v/>
      </c>
      <c r="AC70" s="115">
        <f t="shared" si="1"/>
        <v>0</v>
      </c>
      <c r="AD70" s="292"/>
      <c r="AE70" s="292">
        <v>43009</v>
      </c>
    </row>
    <row r="71" spans="1:31" s="52" customFormat="1" ht="20.100000000000001" customHeight="1" x14ac:dyDescent="0.25">
      <c r="A71" s="53" t="s">
        <v>612</v>
      </c>
      <c r="B71" s="54" t="s">
        <v>614</v>
      </c>
      <c r="C71" s="152" t="s">
        <v>940</v>
      </c>
      <c r="D71" s="182" t="str">
        <f>IF(ISBLANK('RESUMEN VIGILANCIA'!D70),"",'RESUMEN VIGILANCIA'!D70)</f>
        <v/>
      </c>
      <c r="E71" s="215" t="str">
        <f>IF(ISBLANK('RESUMEN VIGILANCIA'!E70),"",'RESUMEN VIGILANCIA'!E70)</f>
        <v/>
      </c>
      <c r="F71" s="184" t="str">
        <f>IF(ISBLANK('RESUMEN VIGILANCIA'!F70),"",'RESUMEN VIGILANCIA'!F70)</f>
        <v/>
      </c>
      <c r="G71" s="184" t="str">
        <f>IF(ISBLANK('RESUMEN VIGILANCIA'!G70),"",'RESUMEN VIGILANCIA'!G70)</f>
        <v/>
      </c>
      <c r="H71" s="184" t="str">
        <f>IF(ISBLANK('RESUMEN VIGILANCIA'!H70),"",'RESUMEN VIGILANCIA'!H70)</f>
        <v/>
      </c>
      <c r="I71" s="184" t="str">
        <f>IF(ISBLANK('RESUMEN VIGILANCIA'!I70),"",'RESUMEN VIGILANCIA'!I70)</f>
        <v/>
      </c>
      <c r="J71" s="184" t="str">
        <f>IF(ISBLANK('RESUMEN VIGILANCIA'!J70),"",'RESUMEN VIGILANCIA'!J70)</f>
        <v/>
      </c>
      <c r="K71" s="184" t="str">
        <f>IF(ISBLANK('RESUMEN VIGILANCIA'!K70),"",'RESUMEN VIGILANCIA'!K70)</f>
        <v/>
      </c>
      <c r="L71" s="184" t="str">
        <f>IF(ISBLANK('RESUMEN VIGILANCIA'!L70),"",'RESUMEN VIGILANCIA'!L70)</f>
        <v/>
      </c>
      <c r="M71" s="184" t="str">
        <f>IF(ISBLANK('RESUMEN VIGILANCIA'!M70),"",'RESUMEN VIGILANCIA'!M70)</f>
        <v/>
      </c>
      <c r="N71" s="184">
        <f>IF(ISBLANK('RESUMEN VIGILANCIA'!N70),"",'RESUMEN VIGILANCIA'!N70)</f>
        <v>35000</v>
      </c>
      <c r="O71" s="124">
        <f>IF(ISBLANK('RESUMEN VIGILANCIA'!O70),"",'RESUMEN VIGILANCIA'!O70)</f>
        <v>50000</v>
      </c>
      <c r="P71" s="99">
        <f>IF(ISBLANK('RESUMEN VIGILANCIA'!P70),"",'RESUMEN VIGILANCIA'!P70)</f>
        <v>50000</v>
      </c>
      <c r="Q71" s="128">
        <f>IF(ISBLANK('RESUMEN VIGILANCIA'!Q70),"",'RESUMEN VIGILANCIA'!Q70)</f>
        <v>80000</v>
      </c>
      <c r="R71" s="124">
        <f>IF(ISBLANK('RESUMEN VIGILANCIA'!R70),"",'RESUMEN VIGILANCIA'!R70)</f>
        <v>65000</v>
      </c>
      <c r="S71" s="124">
        <f>IF(ISBLANK('RESUMEN VIGILANCIA'!S70),"",'RESUMEN VIGILANCIA'!S70)</f>
        <v>140000</v>
      </c>
      <c r="T71" s="124">
        <f>IF(ISBLANK('RESUMEN VIGILANCIA'!T70),"",'RESUMEN VIGILANCIA'!T70)</f>
        <v>140000</v>
      </c>
      <c r="U71" s="124">
        <f>IF(ISBLANK('RESUMEN VIGILANCIA'!U70),"",'RESUMEN VIGILANCIA'!U70)</f>
        <v>400000</v>
      </c>
      <c r="V71" s="124">
        <f>IF(ISBLANK('RESUMEN VIGILANCIA'!V70),"",'RESUMEN VIGILANCIA'!V70)</f>
        <v>625000</v>
      </c>
      <c r="W71" s="124">
        <f>IF(ISBLANK('RESUMEN VIGILANCIA'!W70),"",'RESUMEN VIGILANCIA'!W70)</f>
        <v>1000000</v>
      </c>
      <c r="X71" s="124">
        <f>IF(ISBLANK('RESUMEN VIGILANCIA'!X70),"",'RESUMEN VIGILANCIA'!X70)</f>
        <v>1200000</v>
      </c>
      <c r="Y71" s="124" t="str">
        <f>IF(ISBLANK('RESUMEN VIGILANCIA'!Y70),"",'RESUMEN VIGILANCIA'!Y70)</f>
        <v/>
      </c>
      <c r="Z71" s="124" t="str">
        <f>IF(ISBLANK('RESUMEN VIGILANCIA'!Z70),"",'RESUMEN VIGILANCIA'!Z70)</f>
        <v/>
      </c>
      <c r="AA71" s="124" t="str">
        <f>IF(ISBLANK('RESUMEN VIGILANCIA'!AA70),"",'RESUMEN VIGILANCIA'!AA70)</f>
        <v/>
      </c>
      <c r="AB71" s="99" t="str">
        <f>IF(ISBLANK('RESUMEN VIGILANCIA'!AB70),"",'RESUMEN VIGILANCIA'!AB70)</f>
        <v/>
      </c>
      <c r="AC71" s="115">
        <f t="shared" si="1"/>
        <v>3785000</v>
      </c>
      <c r="AD71" s="292">
        <v>43040</v>
      </c>
      <c r="AE71" s="292"/>
    </row>
    <row r="72" spans="1:31" s="52" customFormat="1" ht="20.100000000000001" customHeight="1" x14ac:dyDescent="0.25">
      <c r="A72" s="53" t="s">
        <v>363</v>
      </c>
      <c r="B72" s="54" t="s">
        <v>365</v>
      </c>
      <c r="C72" s="152" t="s">
        <v>940</v>
      </c>
      <c r="D72" s="99" t="str">
        <f>IF(ISBLANK('RESUMEN VIGILANCIA'!D71),"",'RESUMEN VIGILANCIA'!D71)</f>
        <v/>
      </c>
      <c r="E72" s="153">
        <f>IF(ISBLANK('RESUMEN VIGILANCIA'!E71),"",'RESUMEN VIGILANCIA'!E71)</f>
        <v>17000</v>
      </c>
      <c r="F72" s="41">
        <f>IF(ISBLANK('RESUMEN VIGILANCIA'!F71),"",'RESUMEN VIGILANCIA'!F71)</f>
        <v>17000</v>
      </c>
      <c r="G72" s="41">
        <f>IF(ISBLANK('RESUMEN VIGILANCIA'!G71),"",'RESUMEN VIGILANCIA'!G71)</f>
        <v>17000</v>
      </c>
      <c r="H72" s="41">
        <f>IF(ISBLANK('RESUMEN VIGILANCIA'!H71),"",'RESUMEN VIGILANCIA'!H71)</f>
        <v>17000</v>
      </c>
      <c r="I72" s="41">
        <f>IF(ISBLANK('RESUMEN VIGILANCIA'!I71),"",'RESUMEN VIGILANCIA'!I71)</f>
        <v>26000</v>
      </c>
      <c r="J72" s="41">
        <f>IF(ISBLANK('RESUMEN VIGILANCIA'!J71),"",'RESUMEN VIGILANCIA'!J71)</f>
        <v>26000</v>
      </c>
      <c r="K72" s="41">
        <f>IF(ISBLANK('RESUMEN VIGILANCIA'!K71),"",'RESUMEN VIGILANCIA'!K71)</f>
        <v>35000</v>
      </c>
      <c r="L72" s="41">
        <f>IF(ISBLANK('RESUMEN VIGILANCIA'!L71),"",'RESUMEN VIGILANCIA'!L71)</f>
        <v>35000</v>
      </c>
      <c r="M72" s="41">
        <f>IF(ISBLANK('RESUMEN VIGILANCIA'!M71),"",'RESUMEN VIGILANCIA'!M71)</f>
        <v>35000</v>
      </c>
      <c r="N72" s="41">
        <f>IF(ISBLANK('RESUMEN VIGILANCIA'!N71),"",'RESUMEN VIGILANCIA'!N71)</f>
        <v>35000</v>
      </c>
      <c r="O72" s="124">
        <f>IF(ISBLANK('RESUMEN VIGILANCIA'!O71),"",'RESUMEN VIGILANCIA'!O71)</f>
        <v>50000</v>
      </c>
      <c r="P72" s="99">
        <f>IF(ISBLANK('RESUMEN VIGILANCIA'!P71),"",'RESUMEN VIGILANCIA'!P71)</f>
        <v>50000</v>
      </c>
      <c r="Q72" s="128">
        <f>IF(ISBLANK('RESUMEN VIGILANCIA'!Q71),"",'RESUMEN VIGILANCIA'!Q71)</f>
        <v>80000</v>
      </c>
      <c r="R72" s="124">
        <f>IF(ISBLANK('RESUMEN VIGILANCIA'!R71),"",'RESUMEN VIGILANCIA'!R71)</f>
        <v>80000</v>
      </c>
      <c r="S72" s="124">
        <f>IF(ISBLANK('RESUMEN VIGILANCIA'!S71),"",'RESUMEN VIGILANCIA'!S71)</f>
        <v>140000</v>
      </c>
      <c r="T72" s="124">
        <f>IF(ISBLANK('RESUMEN VIGILANCIA'!T71),"",'RESUMEN VIGILANCIA'!T71)</f>
        <v>140000</v>
      </c>
      <c r="U72" s="124">
        <f>IF(ISBLANK('RESUMEN VIGILANCIA'!U71),"",'RESUMEN VIGILANCIA'!U71)</f>
        <v>400000</v>
      </c>
      <c r="V72" s="124">
        <f>IF(ISBLANK('RESUMEN VIGILANCIA'!V71),"",'RESUMEN VIGILANCIA'!V71)</f>
        <v>625000</v>
      </c>
      <c r="W72" s="124">
        <f>IF(ISBLANK('RESUMEN VIGILANCIA'!W71),"",'RESUMEN VIGILANCIA'!W71)</f>
        <v>1000000</v>
      </c>
      <c r="X72" s="124">
        <f>IF(ISBLANK('RESUMEN VIGILANCIA'!X71),"",'RESUMEN VIGILANCIA'!X71)</f>
        <v>1200000</v>
      </c>
      <c r="Y72" s="124" t="str">
        <f>IF(ISBLANK('RESUMEN VIGILANCIA'!Y71),"",'RESUMEN VIGILANCIA'!Y71)</f>
        <v/>
      </c>
      <c r="Z72" s="124" t="str">
        <f>IF(ISBLANK('RESUMEN VIGILANCIA'!Z71),"",'RESUMEN VIGILANCIA'!Z71)</f>
        <v/>
      </c>
      <c r="AA72" s="124" t="str">
        <f>IF(ISBLANK('RESUMEN VIGILANCIA'!AA71),"",'RESUMEN VIGILANCIA'!AA71)</f>
        <v/>
      </c>
      <c r="AB72" s="99" t="str">
        <f>IF(ISBLANK('RESUMEN VIGILANCIA'!AB71),"",'RESUMEN VIGILANCIA'!AB71)</f>
        <v/>
      </c>
      <c r="AC72" s="115">
        <f t="shared" si="1"/>
        <v>4025000</v>
      </c>
      <c r="AD72" s="292"/>
      <c r="AE72" s="292"/>
    </row>
    <row r="73" spans="1:31" s="52" customFormat="1" ht="20.100000000000001" customHeight="1" x14ac:dyDescent="0.25">
      <c r="A73" s="53" t="s">
        <v>211</v>
      </c>
      <c r="B73" s="54" t="s">
        <v>213</v>
      </c>
      <c r="C73" s="152" t="s">
        <v>940</v>
      </c>
      <c r="D73" s="99" t="str">
        <f>IF(ISBLANK('RESUMEN VIGILANCIA'!D91),"",'RESUMEN VIGILANCIA'!D91)</f>
        <v/>
      </c>
      <c r="E73" s="153">
        <f>IF(ISBLANK('RESUMEN VIGILANCIA'!E91),"",'RESUMEN VIGILANCIA'!E91)</f>
        <v>17000</v>
      </c>
      <c r="F73" s="41">
        <f>IF(ISBLANK('RESUMEN VIGILANCIA'!F91),"",'RESUMEN VIGILANCIA'!F91)</f>
        <v>17000</v>
      </c>
      <c r="G73" s="41">
        <f>IF(ISBLANK('RESUMEN VIGILANCIA'!G91),"",'RESUMEN VIGILANCIA'!G91)</f>
        <v>17000</v>
      </c>
      <c r="H73" s="41">
        <f>IF(ISBLANK('RESUMEN VIGILANCIA'!H91),"",'RESUMEN VIGILANCIA'!H91)</f>
        <v>17000</v>
      </c>
      <c r="I73" s="41">
        <f>IF(ISBLANK('RESUMEN VIGILANCIA'!I91),"",'RESUMEN VIGILANCIA'!I91)</f>
        <v>26000</v>
      </c>
      <c r="J73" s="41">
        <f>IF(ISBLANK('RESUMEN VIGILANCIA'!J91),"",'RESUMEN VIGILANCIA'!J91)</f>
        <v>26000</v>
      </c>
      <c r="K73" s="41">
        <f>IF(ISBLANK('RESUMEN VIGILANCIA'!K91),"",'RESUMEN VIGILANCIA'!K91)</f>
        <v>35000</v>
      </c>
      <c r="L73" s="41">
        <f>IF(ISBLANK('RESUMEN VIGILANCIA'!L91),"",'RESUMEN VIGILANCIA'!L91)</f>
        <v>35000</v>
      </c>
      <c r="M73" s="41">
        <f>IF(ISBLANK('RESUMEN VIGILANCIA'!M91),"",'RESUMEN VIGILANCIA'!M91)</f>
        <v>35000</v>
      </c>
      <c r="N73" s="41">
        <f>IF(ISBLANK('RESUMEN VIGILANCIA'!N91),"",'RESUMEN VIGILANCIA'!N91)</f>
        <v>35000</v>
      </c>
      <c r="O73" s="124">
        <f>IF(ISBLANK('RESUMEN VIGILANCIA'!O91),"",'RESUMEN VIGILANCIA'!O91)</f>
        <v>50000</v>
      </c>
      <c r="P73" s="99">
        <f>IF(ISBLANK('RESUMEN VIGILANCIA'!P91),"",'RESUMEN VIGILANCIA'!P91)</f>
        <v>50000</v>
      </c>
      <c r="Q73" s="128">
        <f>IF(ISBLANK('RESUMEN VIGILANCIA'!Q91),"",'RESUMEN VIGILANCIA'!Q91)</f>
        <v>80000</v>
      </c>
      <c r="R73" s="124">
        <f>IF(ISBLANK('RESUMEN VIGILANCIA'!R91),"",'RESUMEN VIGILANCIA'!R91)</f>
        <v>80000</v>
      </c>
      <c r="S73" s="124">
        <f>IF(ISBLANK('RESUMEN VIGILANCIA'!S91),"",'RESUMEN VIGILANCIA'!S91)</f>
        <v>140000</v>
      </c>
      <c r="T73" s="124">
        <f>IF(ISBLANK('RESUMEN VIGILANCIA'!T91),"",'RESUMEN VIGILANCIA'!T91)</f>
        <v>140000</v>
      </c>
      <c r="U73" s="124">
        <f>IF(ISBLANK('RESUMEN VIGILANCIA'!U91),"",'RESUMEN VIGILANCIA'!U91)</f>
        <v>400000</v>
      </c>
      <c r="V73" s="124">
        <f>IF(ISBLANK('RESUMEN VIGILANCIA'!V91),"",'RESUMEN VIGILANCIA'!V91)</f>
        <v>625000</v>
      </c>
      <c r="W73" s="124">
        <f>IF(ISBLANK('RESUMEN VIGILANCIA'!W91),"",'RESUMEN VIGILANCIA'!W91)</f>
        <v>1000000</v>
      </c>
      <c r="X73" s="124" t="str">
        <f>IF(ISBLANK('RESUMEN VIGILANCIA'!X91),"",'RESUMEN VIGILANCIA'!X91)</f>
        <v/>
      </c>
      <c r="Y73" s="124" t="str">
        <f>IF(ISBLANK('RESUMEN VIGILANCIA'!Y91),"",'RESUMEN VIGILANCIA'!Y91)</f>
        <v/>
      </c>
      <c r="Z73" s="124" t="str">
        <f>IF(ISBLANK('RESUMEN VIGILANCIA'!Z91),"",'RESUMEN VIGILANCIA'!Z91)</f>
        <v/>
      </c>
      <c r="AA73" s="124" t="str">
        <f>IF(ISBLANK('RESUMEN VIGILANCIA'!AA91),"",'RESUMEN VIGILANCIA'!AA91)</f>
        <v/>
      </c>
      <c r="AB73" s="99" t="str">
        <f>IF(ISBLANK('RESUMEN VIGILANCIA'!AB91),"",'RESUMEN VIGILANCIA'!AB91)</f>
        <v/>
      </c>
      <c r="AC73" s="115">
        <f t="shared" si="1"/>
        <v>2825000</v>
      </c>
      <c r="AD73" s="292"/>
      <c r="AE73" s="292"/>
    </row>
    <row r="74" spans="1:31" s="52" customFormat="1" ht="20.100000000000001" customHeight="1" x14ac:dyDescent="0.25">
      <c r="A74" s="53" t="s">
        <v>865</v>
      </c>
      <c r="B74" s="54" t="s">
        <v>866</v>
      </c>
      <c r="C74" s="152" t="s">
        <v>939</v>
      </c>
      <c r="D74" s="99" t="str">
        <f>IF(ISBLANK('RESUMEN VIGILANCIA'!D92),"",'RESUMEN VIGILANCIA'!D92)</f>
        <v/>
      </c>
      <c r="E74" s="153" t="str">
        <f>IF(ISBLANK('RESUMEN VIGILANCIA'!E92),"",'RESUMEN VIGILANCIA'!E92)</f>
        <v/>
      </c>
      <c r="F74" s="41" t="str">
        <f>IF(ISBLANK('RESUMEN VIGILANCIA'!F92),"",'RESUMEN VIGILANCIA'!F92)</f>
        <v/>
      </c>
      <c r="G74" s="41" t="str">
        <f>IF(ISBLANK('RESUMEN VIGILANCIA'!G92),"",'RESUMEN VIGILANCIA'!G92)</f>
        <v/>
      </c>
      <c r="H74" s="41" t="str">
        <f>IF(ISBLANK('RESUMEN VIGILANCIA'!H92),"",'RESUMEN VIGILANCIA'!H92)</f>
        <v/>
      </c>
      <c r="I74" s="41" t="str">
        <f>IF(ISBLANK('RESUMEN VIGILANCIA'!I92),"",'RESUMEN VIGILANCIA'!I92)</f>
        <v/>
      </c>
      <c r="J74" s="41" t="str">
        <f>IF(ISBLANK('RESUMEN VIGILANCIA'!J92),"",'RESUMEN VIGILANCIA'!J92)</f>
        <v/>
      </c>
      <c r="K74" s="41" t="str">
        <f>IF(ISBLANK('RESUMEN VIGILANCIA'!K92),"",'RESUMEN VIGILANCIA'!K92)</f>
        <v/>
      </c>
      <c r="L74" s="41" t="str">
        <f>IF(ISBLANK('RESUMEN VIGILANCIA'!L92),"",'RESUMEN VIGILANCIA'!L92)</f>
        <v/>
      </c>
      <c r="M74" s="41" t="str">
        <f>IF(ISBLANK('RESUMEN VIGILANCIA'!M92),"",'RESUMEN VIGILANCIA'!M92)</f>
        <v/>
      </c>
      <c r="N74" s="41" t="str">
        <f>IF(ISBLANK('RESUMEN VIGILANCIA'!N92),"",'RESUMEN VIGILANCIA'!N92)</f>
        <v/>
      </c>
      <c r="O74" s="124" t="str">
        <f>IF(ISBLANK('RESUMEN VIGILANCIA'!O92),"",'RESUMEN VIGILANCIA'!O92)</f>
        <v/>
      </c>
      <c r="P74" s="99" t="str">
        <f>IF(ISBLANK('RESUMEN VIGILANCIA'!P92),"",'RESUMEN VIGILANCIA'!P92)</f>
        <v/>
      </c>
      <c r="Q74" s="128" t="str">
        <f>IF(ISBLANK('RESUMEN VIGILANCIA'!Q92),"",'RESUMEN VIGILANCIA'!Q92)</f>
        <v/>
      </c>
      <c r="R74" s="124" t="str">
        <f>IF(ISBLANK('RESUMEN VIGILANCIA'!R92),"",'RESUMEN VIGILANCIA'!R92)</f>
        <v/>
      </c>
      <c r="S74" s="124" t="str">
        <f>IF(ISBLANK('RESUMEN VIGILANCIA'!S92),"",'RESUMEN VIGILANCIA'!S92)</f>
        <v/>
      </c>
      <c r="T74" s="124" t="str">
        <f>IF(ISBLANK('RESUMEN VIGILANCIA'!T92),"",'RESUMEN VIGILANCIA'!T92)</f>
        <v/>
      </c>
      <c r="U74" s="124" t="str">
        <f>IF(ISBLANK('RESUMEN VIGILANCIA'!U92),"",'RESUMEN VIGILANCIA'!U92)</f>
        <v/>
      </c>
      <c r="V74" s="124" t="str">
        <f>IF(ISBLANK('RESUMEN VIGILANCIA'!V92),"",'RESUMEN VIGILANCIA'!V92)</f>
        <v/>
      </c>
      <c r="W74" s="124" t="str">
        <f>IF(ISBLANK('RESUMEN VIGILANCIA'!W92),"",'RESUMEN VIGILANCIA'!W92)</f>
        <v/>
      </c>
      <c r="X74" s="124" t="str">
        <f>IF(ISBLANK('RESUMEN VIGILANCIA'!X92),"",'RESUMEN VIGILANCIA'!X92)</f>
        <v/>
      </c>
      <c r="Y74" s="124" t="str">
        <f>IF(ISBLANK('RESUMEN VIGILANCIA'!Y92),"",'RESUMEN VIGILANCIA'!Y92)</f>
        <v/>
      </c>
      <c r="Z74" s="124" t="str">
        <f>IF(ISBLANK('RESUMEN VIGILANCIA'!Z92),"",'RESUMEN VIGILANCIA'!Z92)</f>
        <v/>
      </c>
      <c r="AA74" s="124" t="str">
        <f>IF(ISBLANK('RESUMEN VIGILANCIA'!AA92),"",'RESUMEN VIGILANCIA'!AA92)</f>
        <v/>
      </c>
      <c r="AB74" s="99" t="str">
        <f>IF(ISBLANK('RESUMEN VIGILANCIA'!AB92),"",'RESUMEN VIGILANCIA'!AB92)</f>
        <v/>
      </c>
      <c r="AC74" s="115">
        <f t="shared" si="1"/>
        <v>0</v>
      </c>
      <c r="AD74" s="292"/>
      <c r="AE74" s="292"/>
    </row>
    <row r="75" spans="1:31" s="52" customFormat="1" ht="20.100000000000001" customHeight="1" x14ac:dyDescent="0.25">
      <c r="A75" s="56" t="s">
        <v>171</v>
      </c>
      <c r="B75" s="57" t="s">
        <v>172</v>
      </c>
      <c r="C75" s="150" t="s">
        <v>939</v>
      </c>
      <c r="D75" s="100" t="str">
        <f>IF(ISBLANK('RESUMEN VIGILANCIA'!D93),"",'RESUMEN VIGILANCIA'!D93)</f>
        <v/>
      </c>
      <c r="E75" s="151">
        <f>IF(ISBLANK('RESUMEN VIGILANCIA'!E93),"",'RESUMEN VIGILANCIA'!E93)</f>
        <v>2000</v>
      </c>
      <c r="F75" s="43" t="str">
        <f>IF(ISBLANK('RESUMEN VIGILANCIA'!F93),"",'RESUMEN VIGILANCIA'!F93)</f>
        <v/>
      </c>
      <c r="G75" s="43" t="str">
        <f>IF(ISBLANK('RESUMEN VIGILANCIA'!G93),"",'RESUMEN VIGILANCIA'!G93)</f>
        <v/>
      </c>
      <c r="H75" s="43" t="str">
        <f>IF(ISBLANK('RESUMEN VIGILANCIA'!H93),"",'RESUMEN VIGILANCIA'!H93)</f>
        <v/>
      </c>
      <c r="I75" s="43" t="str">
        <f>IF(ISBLANK('RESUMEN VIGILANCIA'!I93),"",'RESUMEN VIGILANCIA'!I93)</f>
        <v/>
      </c>
      <c r="J75" s="43" t="str">
        <f>IF(ISBLANK('RESUMEN VIGILANCIA'!J93),"",'RESUMEN VIGILANCIA'!J93)</f>
        <v/>
      </c>
      <c r="K75" s="43" t="str">
        <f>IF(ISBLANK('RESUMEN VIGILANCIA'!K93),"",'RESUMEN VIGILANCIA'!K93)</f>
        <v/>
      </c>
      <c r="L75" s="43" t="str">
        <f>IF(ISBLANK('RESUMEN VIGILANCIA'!L93),"",'RESUMEN VIGILANCIA'!L93)</f>
        <v/>
      </c>
      <c r="M75" s="43" t="str">
        <f>IF(ISBLANK('RESUMEN VIGILANCIA'!M93),"",'RESUMEN VIGILANCIA'!M93)</f>
        <v/>
      </c>
      <c r="N75" s="43" t="str">
        <f>IF(ISBLANK('RESUMEN VIGILANCIA'!N93),"",'RESUMEN VIGILANCIA'!N93)</f>
        <v/>
      </c>
      <c r="O75" s="123" t="str">
        <f>IF(ISBLANK('RESUMEN VIGILANCIA'!O93),"",'RESUMEN VIGILANCIA'!O93)</f>
        <v/>
      </c>
      <c r="P75" s="100" t="str">
        <f>IF(ISBLANK('RESUMEN VIGILANCIA'!P93),"",'RESUMEN VIGILANCIA'!P93)</f>
        <v/>
      </c>
      <c r="Q75" s="130" t="str">
        <f>IF(ISBLANK('RESUMEN VIGILANCIA'!Q93),"",'RESUMEN VIGILANCIA'!Q93)</f>
        <v/>
      </c>
      <c r="R75" s="123" t="str">
        <f>IF(ISBLANK('RESUMEN VIGILANCIA'!R93),"",'RESUMEN VIGILANCIA'!R93)</f>
        <v/>
      </c>
      <c r="S75" s="123" t="str">
        <f>IF(ISBLANK('RESUMEN VIGILANCIA'!S93),"",'RESUMEN VIGILANCIA'!S93)</f>
        <v/>
      </c>
      <c r="T75" s="123" t="str">
        <f>IF(ISBLANK('RESUMEN VIGILANCIA'!T93),"",'RESUMEN VIGILANCIA'!T93)</f>
        <v/>
      </c>
      <c r="U75" s="123" t="str">
        <f>IF(ISBLANK('RESUMEN VIGILANCIA'!U93),"",'RESUMEN VIGILANCIA'!U93)</f>
        <v/>
      </c>
      <c r="V75" s="123" t="str">
        <f>IF(ISBLANK('RESUMEN VIGILANCIA'!V93),"",'RESUMEN VIGILANCIA'!V93)</f>
        <v/>
      </c>
      <c r="W75" s="123" t="str">
        <f>IF(ISBLANK('RESUMEN VIGILANCIA'!W93),"",'RESUMEN VIGILANCIA'!W93)</f>
        <v/>
      </c>
      <c r="X75" s="123" t="str">
        <f>IF(ISBLANK('RESUMEN VIGILANCIA'!X93),"",'RESUMEN VIGILANCIA'!X93)</f>
        <v/>
      </c>
      <c r="Y75" s="123" t="str">
        <f>IF(ISBLANK('RESUMEN VIGILANCIA'!Y93),"",'RESUMEN VIGILANCIA'!Y93)</f>
        <v/>
      </c>
      <c r="Z75" s="123" t="str">
        <f>IF(ISBLANK('RESUMEN VIGILANCIA'!Z93),"",'RESUMEN VIGILANCIA'!Z93)</f>
        <v/>
      </c>
      <c r="AA75" s="123" t="str">
        <f>IF(ISBLANK('RESUMEN VIGILANCIA'!AA93),"",'RESUMEN VIGILANCIA'!AA93)</f>
        <v/>
      </c>
      <c r="AB75" s="100" t="str">
        <f>IF(ISBLANK('RESUMEN VIGILANCIA'!AB93),"",'RESUMEN VIGILANCIA'!AB93)</f>
        <v/>
      </c>
      <c r="AC75" s="114">
        <f t="shared" si="1"/>
        <v>2000</v>
      </c>
      <c r="AD75" s="291"/>
      <c r="AE75" s="291"/>
    </row>
    <row r="76" spans="1:31" s="52" customFormat="1" ht="20.100000000000001" customHeight="1" x14ac:dyDescent="0.25">
      <c r="A76" s="53" t="s">
        <v>206</v>
      </c>
      <c r="B76" s="54" t="s">
        <v>208</v>
      </c>
      <c r="C76" s="152" t="s">
        <v>940</v>
      </c>
      <c r="D76" s="99" t="str">
        <f>IF(ISBLANK('RESUMEN VIGILANCIA'!D94),"",'RESUMEN VIGILANCIA'!D94)</f>
        <v/>
      </c>
      <c r="E76" s="153">
        <f>IF(ISBLANK('RESUMEN VIGILANCIA'!E94),"",'RESUMEN VIGILANCIA'!E94)</f>
        <v>17000</v>
      </c>
      <c r="F76" s="41">
        <f>IF(ISBLANK('RESUMEN VIGILANCIA'!F94),"",'RESUMEN VIGILANCIA'!F94)</f>
        <v>17000</v>
      </c>
      <c r="G76" s="41">
        <f>IF(ISBLANK('RESUMEN VIGILANCIA'!G94),"",'RESUMEN VIGILANCIA'!G94)</f>
        <v>17000</v>
      </c>
      <c r="H76" s="41">
        <f>IF(ISBLANK('RESUMEN VIGILANCIA'!H94),"",'RESUMEN VIGILANCIA'!H94)</f>
        <v>17000</v>
      </c>
      <c r="I76" s="41">
        <f>IF(ISBLANK('RESUMEN VIGILANCIA'!I94),"",'RESUMEN VIGILANCIA'!I94)</f>
        <v>26000</v>
      </c>
      <c r="J76" s="41">
        <f>IF(ISBLANK('RESUMEN VIGILANCIA'!J94),"",'RESUMEN VIGILANCIA'!J94)</f>
        <v>26000</v>
      </c>
      <c r="K76" s="41">
        <f>IF(ISBLANK('RESUMEN VIGILANCIA'!K94),"",'RESUMEN VIGILANCIA'!K94)</f>
        <v>35000</v>
      </c>
      <c r="L76" s="41">
        <f>IF(ISBLANK('RESUMEN VIGILANCIA'!L94),"",'RESUMEN VIGILANCIA'!L94)</f>
        <v>35000</v>
      </c>
      <c r="M76" s="41" t="str">
        <f>IF(ISBLANK('RESUMEN VIGILANCIA'!M94),"",'RESUMEN VIGILANCIA'!M94)</f>
        <v/>
      </c>
      <c r="N76" s="41" t="str">
        <f>IF(ISBLANK('RESUMEN VIGILANCIA'!N94),"",'RESUMEN VIGILANCIA'!N94)</f>
        <v/>
      </c>
      <c r="O76" s="124" t="str">
        <f>IF(ISBLANK('RESUMEN VIGILANCIA'!O94),"",'RESUMEN VIGILANCIA'!O94)</f>
        <v/>
      </c>
      <c r="P76" s="99" t="str">
        <f>IF(ISBLANK('RESUMEN VIGILANCIA'!P94),"",'RESUMEN VIGILANCIA'!P94)</f>
        <v/>
      </c>
      <c r="Q76" s="128">
        <f>IF(ISBLANK('RESUMEN VIGILANCIA'!Q94),"",'RESUMEN VIGILANCIA'!Q94)</f>
        <v>80000</v>
      </c>
      <c r="R76" s="124">
        <f>IF(ISBLANK('RESUMEN VIGILANCIA'!R94),"",'RESUMEN VIGILANCIA'!R94)</f>
        <v>80000</v>
      </c>
      <c r="S76" s="124">
        <f>IF(ISBLANK('RESUMEN VIGILANCIA'!S94),"",'RESUMEN VIGILANCIA'!S94)</f>
        <v>140000</v>
      </c>
      <c r="T76" s="124">
        <f>IF(ISBLANK('RESUMEN VIGILANCIA'!T94),"",'RESUMEN VIGILANCIA'!T94)</f>
        <v>140000</v>
      </c>
      <c r="U76" s="124">
        <f>IF(ISBLANK('RESUMEN VIGILANCIA'!U94),"",'RESUMEN VIGILANCIA'!U94)</f>
        <v>400000</v>
      </c>
      <c r="V76" s="124" t="str">
        <f>IF(ISBLANK('RESUMEN VIGILANCIA'!V94),"",'RESUMEN VIGILANCIA'!V94)</f>
        <v/>
      </c>
      <c r="W76" s="124" t="str">
        <f>IF(ISBLANK('RESUMEN VIGILANCIA'!W94),"",'RESUMEN VIGILANCIA'!W94)</f>
        <v/>
      </c>
      <c r="X76" s="124" t="str">
        <f>IF(ISBLANK('RESUMEN VIGILANCIA'!X94),"",'RESUMEN VIGILANCIA'!X94)</f>
        <v/>
      </c>
      <c r="Y76" s="124" t="str">
        <f>IF(ISBLANK('RESUMEN VIGILANCIA'!Y94),"",'RESUMEN VIGILANCIA'!Y94)</f>
        <v/>
      </c>
      <c r="Z76" s="124" t="str">
        <f>IF(ISBLANK('RESUMEN VIGILANCIA'!Z94),"",'RESUMEN VIGILANCIA'!Z94)</f>
        <v/>
      </c>
      <c r="AA76" s="124" t="str">
        <f>IF(ISBLANK('RESUMEN VIGILANCIA'!AA94),"",'RESUMEN VIGILANCIA'!AA94)</f>
        <v/>
      </c>
      <c r="AB76" s="99" t="str">
        <f>IF(ISBLANK('RESUMEN VIGILANCIA'!AB94),"",'RESUMEN VIGILANCIA'!AB94)</f>
        <v/>
      </c>
      <c r="AC76" s="115">
        <f t="shared" si="1"/>
        <v>1030000</v>
      </c>
      <c r="AD76" s="292"/>
      <c r="AE76" s="292"/>
    </row>
    <row r="77" spans="1:31" s="52" customFormat="1" ht="20.100000000000001" customHeight="1" x14ac:dyDescent="0.25">
      <c r="A77" s="53" t="s">
        <v>122</v>
      </c>
      <c r="B77" s="54" t="s">
        <v>124</v>
      </c>
      <c r="C77" s="152" t="s">
        <v>940</v>
      </c>
      <c r="D77" s="99" t="str">
        <f>IF(ISBLANK('RESUMEN VIGILANCIA'!D95),"",'RESUMEN VIGILANCIA'!D95)</f>
        <v/>
      </c>
      <c r="E77" s="153">
        <f>IF(ISBLANK('RESUMEN VIGILANCIA'!E95),"",'RESUMEN VIGILANCIA'!E95)</f>
        <v>17000</v>
      </c>
      <c r="F77" s="41">
        <f>IF(ISBLANK('RESUMEN VIGILANCIA'!F95),"",'RESUMEN VIGILANCIA'!F95)</f>
        <v>17000</v>
      </c>
      <c r="G77" s="41">
        <f>IF(ISBLANK('RESUMEN VIGILANCIA'!G95),"",'RESUMEN VIGILANCIA'!G95)</f>
        <v>17000</v>
      </c>
      <c r="H77" s="41">
        <f>IF(ISBLANK('RESUMEN VIGILANCIA'!H95),"",'RESUMEN VIGILANCIA'!H95)</f>
        <v>17000</v>
      </c>
      <c r="I77" s="41">
        <f>IF(ISBLANK('RESUMEN VIGILANCIA'!I95),"",'RESUMEN VIGILANCIA'!I95)</f>
        <v>26000</v>
      </c>
      <c r="J77" s="41">
        <f>IF(ISBLANK('RESUMEN VIGILANCIA'!J95),"",'RESUMEN VIGILANCIA'!J95)</f>
        <v>26000</v>
      </c>
      <c r="K77" s="41">
        <f>IF(ISBLANK('RESUMEN VIGILANCIA'!K95),"",'RESUMEN VIGILANCIA'!K95)</f>
        <v>35000</v>
      </c>
      <c r="L77" s="41">
        <f>IF(ISBLANK('RESUMEN VIGILANCIA'!L95),"",'RESUMEN VIGILANCIA'!L95)</f>
        <v>35000</v>
      </c>
      <c r="M77" s="41">
        <f>IF(ISBLANK('RESUMEN VIGILANCIA'!M95),"",'RESUMEN VIGILANCIA'!M95)</f>
        <v>35000</v>
      </c>
      <c r="N77" s="41">
        <f>IF(ISBLANK('RESUMEN VIGILANCIA'!N95),"",'RESUMEN VIGILANCIA'!N95)</f>
        <v>35000</v>
      </c>
      <c r="O77" s="124">
        <f>IF(ISBLANK('RESUMEN VIGILANCIA'!O95),"",'RESUMEN VIGILANCIA'!O95)</f>
        <v>50000</v>
      </c>
      <c r="P77" s="99">
        <f>IF(ISBLANK('RESUMEN VIGILANCIA'!P95),"",'RESUMEN VIGILANCIA'!P95)</f>
        <v>50000</v>
      </c>
      <c r="Q77" s="128">
        <f>IF(ISBLANK('RESUMEN VIGILANCIA'!Q95),"",'RESUMEN VIGILANCIA'!Q95)</f>
        <v>80000</v>
      </c>
      <c r="R77" s="124">
        <f>IF(ISBLANK('RESUMEN VIGILANCIA'!R95),"",'RESUMEN VIGILANCIA'!R95)</f>
        <v>80000</v>
      </c>
      <c r="S77" s="124">
        <f>IF(ISBLANK('RESUMEN VIGILANCIA'!S95),"",'RESUMEN VIGILANCIA'!S95)</f>
        <v>140000</v>
      </c>
      <c r="T77" s="124">
        <f>IF(ISBLANK('RESUMEN VIGILANCIA'!T95),"",'RESUMEN VIGILANCIA'!T95)</f>
        <v>140000</v>
      </c>
      <c r="U77" s="124">
        <f>IF(ISBLANK('RESUMEN VIGILANCIA'!U95),"",'RESUMEN VIGILANCIA'!U95)</f>
        <v>400000</v>
      </c>
      <c r="V77" s="124">
        <f>IF(ISBLANK('RESUMEN VIGILANCIA'!V95),"",'RESUMEN VIGILANCIA'!V95)</f>
        <v>625000</v>
      </c>
      <c r="W77" s="124">
        <f>IF(ISBLANK('RESUMEN VIGILANCIA'!W95),"",'RESUMEN VIGILANCIA'!W95)</f>
        <v>1000000</v>
      </c>
      <c r="X77" s="124">
        <f>IF(ISBLANK('RESUMEN VIGILANCIA'!X95),"",'RESUMEN VIGILANCIA'!X95)</f>
        <v>1200000</v>
      </c>
      <c r="Y77" s="124" t="str">
        <f>IF(ISBLANK('RESUMEN VIGILANCIA'!Y95),"",'RESUMEN VIGILANCIA'!Y95)</f>
        <v/>
      </c>
      <c r="Z77" s="124" t="str">
        <f>IF(ISBLANK('RESUMEN VIGILANCIA'!Z95),"",'RESUMEN VIGILANCIA'!Z95)</f>
        <v/>
      </c>
      <c r="AA77" s="124" t="str">
        <f>IF(ISBLANK('RESUMEN VIGILANCIA'!AA95),"",'RESUMEN VIGILANCIA'!AA95)</f>
        <v/>
      </c>
      <c r="AB77" s="99" t="str">
        <f>IF(ISBLANK('RESUMEN VIGILANCIA'!AB95),"",'RESUMEN VIGILANCIA'!AB95)</f>
        <v/>
      </c>
      <c r="AC77" s="115">
        <f t="shared" si="1"/>
        <v>4025000</v>
      </c>
      <c r="AD77" s="292"/>
      <c r="AE77" s="292"/>
    </row>
    <row r="78" spans="1:31" s="52" customFormat="1" ht="20.100000000000001" customHeight="1" x14ac:dyDescent="0.25">
      <c r="A78" s="53" t="s">
        <v>40</v>
      </c>
      <c r="B78" s="54" t="s">
        <v>42</v>
      </c>
      <c r="C78" s="152" t="s">
        <v>940</v>
      </c>
      <c r="D78" s="99" t="str">
        <f>IF(ISBLANK('RESUMEN VIGILANCIA'!D96),"",'RESUMEN VIGILANCIA'!D96)</f>
        <v/>
      </c>
      <c r="E78" s="154">
        <f>IF(ISBLANK('RESUMEN VIGILANCIA'!E96),"",'RESUMEN VIGILANCIA'!E96)</f>
        <v>10500</v>
      </c>
      <c r="F78" s="41">
        <f>IF(ISBLANK('RESUMEN VIGILANCIA'!F96),"",'RESUMEN VIGILANCIA'!F96)</f>
        <v>17000</v>
      </c>
      <c r="G78" s="41">
        <f>IF(ISBLANK('RESUMEN VIGILANCIA'!G96),"",'RESUMEN VIGILANCIA'!G96)</f>
        <v>17000</v>
      </c>
      <c r="H78" s="41">
        <f>IF(ISBLANK('RESUMEN VIGILANCIA'!H96),"",'RESUMEN VIGILANCIA'!H96)</f>
        <v>17000</v>
      </c>
      <c r="I78" s="41">
        <f>IF(ISBLANK('RESUMEN VIGILANCIA'!I96),"",'RESUMEN VIGILANCIA'!I96)</f>
        <v>26000</v>
      </c>
      <c r="J78" s="41">
        <f>IF(ISBLANK('RESUMEN VIGILANCIA'!J96),"",'RESUMEN VIGILANCIA'!J96)</f>
        <v>26000</v>
      </c>
      <c r="K78" s="77">
        <f>IF(ISBLANK('RESUMEN VIGILANCIA'!K96),"",'RESUMEN VIGILANCIA'!K96)</f>
        <v>26000</v>
      </c>
      <c r="L78" s="41">
        <f>IF(ISBLANK('RESUMEN VIGILANCIA'!L96),"",'RESUMEN VIGILANCIA'!L96)</f>
        <v>35000</v>
      </c>
      <c r="M78" s="41">
        <f>IF(ISBLANK('RESUMEN VIGILANCIA'!M96),"",'RESUMEN VIGILANCIA'!M96)</f>
        <v>35000</v>
      </c>
      <c r="N78" s="41">
        <f>IF(ISBLANK('RESUMEN VIGILANCIA'!N96),"",'RESUMEN VIGILANCIA'!N96)</f>
        <v>35000</v>
      </c>
      <c r="O78" s="124">
        <f>IF(ISBLANK('RESUMEN VIGILANCIA'!O96),"",'RESUMEN VIGILANCIA'!O96)</f>
        <v>50000</v>
      </c>
      <c r="P78" s="99">
        <f>IF(ISBLANK('RESUMEN VIGILANCIA'!P96),"",'RESUMEN VIGILANCIA'!P96)</f>
        <v>50000</v>
      </c>
      <c r="Q78" s="128">
        <f>IF(ISBLANK('RESUMEN VIGILANCIA'!Q96),"",'RESUMEN VIGILANCIA'!Q96)</f>
        <v>80000</v>
      </c>
      <c r="R78" s="124">
        <f>IF(ISBLANK('RESUMEN VIGILANCIA'!R96),"",'RESUMEN VIGILANCIA'!R96)</f>
        <v>80000</v>
      </c>
      <c r="S78" s="124">
        <f>IF(ISBLANK('RESUMEN VIGILANCIA'!S96),"",'RESUMEN VIGILANCIA'!S96)</f>
        <v>140000</v>
      </c>
      <c r="T78" s="124">
        <f>IF(ISBLANK('RESUMEN VIGILANCIA'!T96),"",'RESUMEN VIGILANCIA'!T96)</f>
        <v>140000</v>
      </c>
      <c r="U78" s="124">
        <f>IF(ISBLANK('RESUMEN VIGILANCIA'!U96),"",'RESUMEN VIGILANCIA'!U96)</f>
        <v>400000</v>
      </c>
      <c r="V78" s="124">
        <f>IF(ISBLANK('RESUMEN VIGILANCIA'!V96),"",'RESUMEN VIGILANCIA'!V96)</f>
        <v>625000</v>
      </c>
      <c r="W78" s="124">
        <f>IF(ISBLANK('RESUMEN VIGILANCIA'!W96),"",'RESUMEN VIGILANCIA'!W96)</f>
        <v>1000000</v>
      </c>
      <c r="X78" s="124">
        <f>IF(ISBLANK('RESUMEN VIGILANCIA'!X96),"",'RESUMEN VIGILANCIA'!X96)</f>
        <v>1200000</v>
      </c>
      <c r="Y78" s="124">
        <f>IF(ISBLANK('RESUMEN VIGILANCIA'!Y96),"",'RESUMEN VIGILANCIA'!Y96)</f>
        <v>1200000</v>
      </c>
      <c r="Z78" s="124" t="str">
        <f>IF(ISBLANK('RESUMEN VIGILANCIA'!Z96),"",'RESUMEN VIGILANCIA'!Z96)</f>
        <v/>
      </c>
      <c r="AA78" s="124" t="str">
        <f>IF(ISBLANK('RESUMEN VIGILANCIA'!AA96),"",'RESUMEN VIGILANCIA'!AA96)</f>
        <v/>
      </c>
      <c r="AB78" s="99" t="str">
        <f>IF(ISBLANK('RESUMEN VIGILANCIA'!AB96),"",'RESUMEN VIGILANCIA'!AB96)</f>
        <v/>
      </c>
      <c r="AC78" s="115">
        <f t="shared" si="1"/>
        <v>5209500</v>
      </c>
      <c r="AD78" s="292"/>
      <c r="AE78" s="292"/>
    </row>
    <row r="79" spans="1:31" s="52" customFormat="1" ht="20.100000000000001" customHeight="1" x14ac:dyDescent="0.25">
      <c r="A79" s="56" t="s">
        <v>434</v>
      </c>
      <c r="B79" s="57" t="s">
        <v>436</v>
      </c>
      <c r="C79" s="150" t="s">
        <v>938</v>
      </c>
      <c r="D79" s="100">
        <f>IF(ISBLANK('RESUMEN VIGILANCIA'!D73),"",'RESUMEN VIGILANCIA'!D73)</f>
        <v>6000</v>
      </c>
      <c r="E79" s="151">
        <f>IF(ISBLANK('RESUMEN VIGILANCIA'!E73),"",'RESUMEN VIGILANCIA'!E73)</f>
        <v>3000</v>
      </c>
      <c r="F79" s="43">
        <f>IF(ISBLANK('RESUMEN VIGILANCIA'!F73),"",'RESUMEN VIGILANCIA'!F73)</f>
        <v>3000</v>
      </c>
      <c r="G79" s="43">
        <f>IF(ISBLANK('RESUMEN VIGILANCIA'!G73),"",'RESUMEN VIGILANCIA'!G73)</f>
        <v>3000</v>
      </c>
      <c r="H79" s="43">
        <f>IF(ISBLANK('RESUMEN VIGILANCIA'!H73),"",'RESUMEN VIGILANCIA'!H73)</f>
        <v>3000</v>
      </c>
      <c r="I79" s="43">
        <f>IF(ISBLANK('RESUMEN VIGILANCIA'!I73),"",'RESUMEN VIGILANCIA'!I73)</f>
        <v>3000</v>
      </c>
      <c r="J79" s="43">
        <f>IF(ISBLANK('RESUMEN VIGILANCIA'!J73),"",'RESUMEN VIGILANCIA'!J73)</f>
        <v>3000</v>
      </c>
      <c r="K79" s="43">
        <f>IF(ISBLANK('RESUMEN VIGILANCIA'!K73),"",'RESUMEN VIGILANCIA'!K73)</f>
        <v>3000</v>
      </c>
      <c r="L79" s="43">
        <f>IF(ISBLANK('RESUMEN VIGILANCIA'!L73),"",'RESUMEN VIGILANCIA'!L73)</f>
        <v>3000</v>
      </c>
      <c r="M79" s="43">
        <f>IF(ISBLANK('RESUMEN VIGILANCIA'!M73),"",'RESUMEN VIGILANCIA'!M73)</f>
        <v>3000</v>
      </c>
      <c r="N79" s="43">
        <f>IF(ISBLANK('RESUMEN VIGILANCIA'!N73),"",'RESUMEN VIGILANCIA'!N73)</f>
        <v>3000</v>
      </c>
      <c r="O79" s="123">
        <f>IF(ISBLANK('RESUMEN VIGILANCIA'!O73),"",'RESUMEN VIGILANCIA'!O73)</f>
        <v>10000</v>
      </c>
      <c r="P79" s="100">
        <f>IF(ISBLANK('RESUMEN VIGILANCIA'!P73),"",'RESUMEN VIGILANCIA'!P73)</f>
        <v>10000</v>
      </c>
      <c r="Q79" s="130">
        <f>IF(ISBLANK('RESUMEN VIGILANCIA'!Q73),"",'RESUMEN VIGILANCIA'!Q73)</f>
        <v>10000</v>
      </c>
      <c r="R79" s="123">
        <f>IF(ISBLANK('RESUMEN VIGILANCIA'!R73),"",'RESUMEN VIGILANCIA'!R73)</f>
        <v>10000</v>
      </c>
      <c r="S79" s="123">
        <f>IF(ISBLANK('RESUMEN VIGILANCIA'!S73),"",'RESUMEN VIGILANCIA'!S73)</f>
        <v>30000</v>
      </c>
      <c r="T79" s="123">
        <f>IF(ISBLANK('RESUMEN VIGILANCIA'!T73),"",'RESUMEN VIGILANCIA'!T73)</f>
        <v>30000</v>
      </c>
      <c r="U79" s="123">
        <f>IF(ISBLANK('RESUMEN VIGILANCIA'!U73),"",'RESUMEN VIGILANCIA'!U73)</f>
        <v>50000</v>
      </c>
      <c r="V79" s="123">
        <f>IF(ISBLANK('RESUMEN VIGILANCIA'!V73),"",'RESUMEN VIGILANCIA'!V73)</f>
        <v>50000</v>
      </c>
      <c r="W79" s="123">
        <f>IF(ISBLANK('RESUMEN VIGILANCIA'!W73),"",'RESUMEN VIGILANCIA'!W73)</f>
        <v>100000</v>
      </c>
      <c r="X79" s="123" t="str">
        <f>IF(ISBLANK('RESUMEN VIGILANCIA'!X73),"",'RESUMEN VIGILANCIA'!X73)</f>
        <v/>
      </c>
      <c r="Y79" s="123" t="str">
        <f>IF(ISBLANK('RESUMEN VIGILANCIA'!Y73),"",'RESUMEN VIGILANCIA'!Y73)</f>
        <v/>
      </c>
      <c r="Z79" s="123" t="str">
        <f>IF(ISBLANK('RESUMEN VIGILANCIA'!Z73),"",'RESUMEN VIGILANCIA'!Z73)</f>
        <v/>
      </c>
      <c r="AA79" s="123" t="str">
        <f>IF(ISBLANK('RESUMEN VIGILANCIA'!AA73),"",'RESUMEN VIGILANCIA'!AA73)</f>
        <v/>
      </c>
      <c r="AB79" s="100" t="str">
        <f>IF(ISBLANK('RESUMEN VIGILANCIA'!AB73),"",'RESUMEN VIGILANCIA'!AB73)</f>
        <v/>
      </c>
      <c r="AC79" s="114">
        <f t="shared" si="1"/>
        <v>336000</v>
      </c>
      <c r="AD79" s="291"/>
      <c r="AE79" s="291"/>
    </row>
    <row r="80" spans="1:31" s="52" customFormat="1" ht="20.100000000000001" customHeight="1" x14ac:dyDescent="0.25">
      <c r="A80" s="56" t="s">
        <v>144</v>
      </c>
      <c r="B80" s="57" t="s">
        <v>146</v>
      </c>
      <c r="C80" s="150" t="s">
        <v>938</v>
      </c>
      <c r="D80" s="100" t="str">
        <f>IF(ISBLANK('RESUMEN VIGILANCIA'!D74),"",'RESUMEN VIGILANCIA'!D74)</f>
        <v/>
      </c>
      <c r="E80" s="151">
        <f>IF(ISBLANK('RESUMEN VIGILANCIA'!E74),"",'RESUMEN VIGILANCIA'!E74)</f>
        <v>3000</v>
      </c>
      <c r="F80" s="43">
        <f>IF(ISBLANK('RESUMEN VIGILANCIA'!F74),"",'RESUMEN VIGILANCIA'!F74)</f>
        <v>3000</v>
      </c>
      <c r="G80" s="43">
        <f>IF(ISBLANK('RESUMEN VIGILANCIA'!G74),"",'RESUMEN VIGILANCIA'!G74)</f>
        <v>4000</v>
      </c>
      <c r="H80" s="43">
        <f>IF(ISBLANK('RESUMEN VIGILANCIA'!H74),"",'RESUMEN VIGILANCIA'!H74)</f>
        <v>3000</v>
      </c>
      <c r="I80" s="43">
        <f>IF(ISBLANK('RESUMEN VIGILANCIA'!I74),"",'RESUMEN VIGILANCIA'!I74)</f>
        <v>3000</v>
      </c>
      <c r="J80" s="43">
        <f>IF(ISBLANK('RESUMEN VIGILANCIA'!J74),"",'RESUMEN VIGILANCIA'!J74)</f>
        <v>3000</v>
      </c>
      <c r="K80" s="43">
        <f>IF(ISBLANK('RESUMEN VIGILANCIA'!K74),"",'RESUMEN VIGILANCIA'!K74)</f>
        <v>5000</v>
      </c>
      <c r="L80" s="43">
        <f>IF(ISBLANK('RESUMEN VIGILANCIA'!L74),"",'RESUMEN VIGILANCIA'!L74)</f>
        <v>5000</v>
      </c>
      <c r="M80" s="43">
        <f>IF(ISBLANK('RESUMEN VIGILANCIA'!M74),"",'RESUMEN VIGILANCIA'!M74)</f>
        <v>10000</v>
      </c>
      <c r="N80" s="43">
        <f>IF(ISBLANK('RESUMEN VIGILANCIA'!N74),"",'RESUMEN VIGILANCIA'!N74)</f>
        <v>10000</v>
      </c>
      <c r="O80" s="123">
        <f>IF(ISBLANK('RESUMEN VIGILANCIA'!O74),"",'RESUMEN VIGILANCIA'!O74)</f>
        <v>10000</v>
      </c>
      <c r="P80" s="100">
        <f>IF(ISBLANK('RESUMEN VIGILANCIA'!P74),"",'RESUMEN VIGILANCIA'!P74)</f>
        <v>10000</v>
      </c>
      <c r="Q80" s="130">
        <f>IF(ISBLANK('RESUMEN VIGILANCIA'!Q74),"",'RESUMEN VIGILANCIA'!Q74)</f>
        <v>10000</v>
      </c>
      <c r="R80" s="123">
        <f>IF(ISBLANK('RESUMEN VIGILANCIA'!R74),"",'RESUMEN VIGILANCIA'!R74)</f>
        <v>30000</v>
      </c>
      <c r="S80" s="123">
        <f>IF(ISBLANK('RESUMEN VIGILANCIA'!S74),"",'RESUMEN VIGILANCIA'!S74)</f>
        <v>140000</v>
      </c>
      <c r="T80" s="123">
        <f>IF(ISBLANK('RESUMEN VIGILANCIA'!T74),"",'RESUMEN VIGILANCIA'!T74)</f>
        <v>140000</v>
      </c>
      <c r="U80" s="123">
        <f>IF(ISBLANK('RESUMEN VIGILANCIA'!U74),"",'RESUMEN VIGILANCIA'!U74)</f>
        <v>400000</v>
      </c>
      <c r="V80" s="123">
        <f>IF(ISBLANK('RESUMEN VIGILANCIA'!V74),"",'RESUMEN VIGILANCIA'!V74)</f>
        <v>625000</v>
      </c>
      <c r="W80" s="123">
        <f>IF(ISBLANK('RESUMEN VIGILANCIA'!W74),"",'RESUMEN VIGILANCIA'!W74)</f>
        <v>1000000</v>
      </c>
      <c r="X80" s="123" t="str">
        <f>IF(ISBLANK('RESUMEN VIGILANCIA'!X74),"",'RESUMEN VIGILANCIA'!X74)</f>
        <v/>
      </c>
      <c r="Y80" s="123" t="str">
        <f>IF(ISBLANK('RESUMEN VIGILANCIA'!Y74),"",'RESUMEN VIGILANCIA'!Y74)</f>
        <v/>
      </c>
      <c r="Z80" s="123" t="str">
        <f>IF(ISBLANK('RESUMEN VIGILANCIA'!Z74),"",'RESUMEN VIGILANCIA'!Z74)</f>
        <v/>
      </c>
      <c r="AA80" s="123" t="str">
        <f>IF(ISBLANK('RESUMEN VIGILANCIA'!AA74),"",'RESUMEN VIGILANCIA'!AA74)</f>
        <v/>
      </c>
      <c r="AB80" s="100" t="str">
        <f>IF(ISBLANK('RESUMEN VIGILANCIA'!AB74),"",'RESUMEN VIGILANCIA'!AB74)</f>
        <v/>
      </c>
      <c r="AC80" s="114">
        <f t="shared" si="1"/>
        <v>2414000</v>
      </c>
      <c r="AD80" s="291"/>
      <c r="AE80" s="291"/>
    </row>
    <row r="81" spans="1:31" s="52" customFormat="1" ht="20.100000000000001" customHeight="1" x14ac:dyDescent="0.25">
      <c r="A81" s="56" t="s">
        <v>859</v>
      </c>
      <c r="B81" s="57" t="s">
        <v>860</v>
      </c>
      <c r="C81" s="150" t="s">
        <v>939</v>
      </c>
      <c r="D81" s="100" t="str">
        <f>IF(ISBLANK('RESUMEN VIGILANCIA'!D75),"",'RESUMEN VIGILANCIA'!D75)</f>
        <v/>
      </c>
      <c r="E81" s="151" t="str">
        <f>IF(ISBLANK('RESUMEN VIGILANCIA'!E75),"",'RESUMEN VIGILANCIA'!E75)</f>
        <v/>
      </c>
      <c r="F81" s="43" t="str">
        <f>IF(ISBLANK('RESUMEN VIGILANCIA'!F75),"",'RESUMEN VIGILANCIA'!F75)</f>
        <v/>
      </c>
      <c r="G81" s="43" t="str">
        <f>IF(ISBLANK('RESUMEN VIGILANCIA'!G75),"",'RESUMEN VIGILANCIA'!G75)</f>
        <v/>
      </c>
      <c r="H81" s="43" t="str">
        <f>IF(ISBLANK('RESUMEN VIGILANCIA'!H75),"",'RESUMEN VIGILANCIA'!H75)</f>
        <v/>
      </c>
      <c r="I81" s="43" t="str">
        <f>IF(ISBLANK('RESUMEN VIGILANCIA'!I75),"",'RESUMEN VIGILANCIA'!I75)</f>
        <v/>
      </c>
      <c r="J81" s="43" t="str">
        <f>IF(ISBLANK('RESUMEN VIGILANCIA'!J75),"",'RESUMEN VIGILANCIA'!J75)</f>
        <v/>
      </c>
      <c r="K81" s="43" t="str">
        <f>IF(ISBLANK('RESUMEN VIGILANCIA'!K75),"",'RESUMEN VIGILANCIA'!K75)</f>
        <v/>
      </c>
      <c r="L81" s="43" t="str">
        <f>IF(ISBLANK('RESUMEN VIGILANCIA'!L75),"",'RESUMEN VIGILANCIA'!L75)</f>
        <v/>
      </c>
      <c r="M81" s="43" t="str">
        <f>IF(ISBLANK('RESUMEN VIGILANCIA'!M75),"",'RESUMEN VIGILANCIA'!M75)</f>
        <v/>
      </c>
      <c r="N81" s="43" t="str">
        <f>IF(ISBLANK('RESUMEN VIGILANCIA'!N75),"",'RESUMEN VIGILANCIA'!N75)</f>
        <v/>
      </c>
      <c r="O81" s="123" t="str">
        <f>IF(ISBLANK('RESUMEN VIGILANCIA'!O75),"",'RESUMEN VIGILANCIA'!O75)</f>
        <v/>
      </c>
      <c r="P81" s="100" t="str">
        <f>IF(ISBLANK('RESUMEN VIGILANCIA'!P75),"",'RESUMEN VIGILANCIA'!P75)</f>
        <v/>
      </c>
      <c r="Q81" s="130" t="str">
        <f>IF(ISBLANK('RESUMEN VIGILANCIA'!Q75),"",'RESUMEN VIGILANCIA'!Q75)</f>
        <v/>
      </c>
      <c r="R81" s="123" t="str">
        <f>IF(ISBLANK('RESUMEN VIGILANCIA'!R75),"",'RESUMEN VIGILANCIA'!R75)</f>
        <v/>
      </c>
      <c r="S81" s="123" t="str">
        <f>IF(ISBLANK('RESUMEN VIGILANCIA'!S75),"",'RESUMEN VIGILANCIA'!S75)</f>
        <v/>
      </c>
      <c r="T81" s="123" t="str">
        <f>IF(ISBLANK('RESUMEN VIGILANCIA'!T75),"",'RESUMEN VIGILANCIA'!T75)</f>
        <v/>
      </c>
      <c r="U81" s="123" t="str">
        <f>IF(ISBLANK('RESUMEN VIGILANCIA'!U75),"",'RESUMEN VIGILANCIA'!U75)</f>
        <v/>
      </c>
      <c r="V81" s="123" t="str">
        <f>IF(ISBLANK('RESUMEN VIGILANCIA'!V75),"",'RESUMEN VIGILANCIA'!V75)</f>
        <v/>
      </c>
      <c r="W81" s="123" t="str">
        <f>IF(ISBLANK('RESUMEN VIGILANCIA'!W75),"",'RESUMEN VIGILANCIA'!W75)</f>
        <v/>
      </c>
      <c r="X81" s="123" t="str">
        <f>IF(ISBLANK('RESUMEN VIGILANCIA'!X75),"",'RESUMEN VIGILANCIA'!X75)</f>
        <v/>
      </c>
      <c r="Y81" s="123" t="str">
        <f>IF(ISBLANK('RESUMEN VIGILANCIA'!Y75),"",'RESUMEN VIGILANCIA'!Y75)</f>
        <v/>
      </c>
      <c r="Z81" s="123" t="str">
        <f>IF(ISBLANK('RESUMEN VIGILANCIA'!Z75),"",'RESUMEN VIGILANCIA'!Z75)</f>
        <v/>
      </c>
      <c r="AA81" s="123" t="str">
        <f>IF(ISBLANK('RESUMEN VIGILANCIA'!AA75),"",'RESUMEN VIGILANCIA'!AA75)</f>
        <v/>
      </c>
      <c r="AB81" s="100" t="str">
        <f>IF(ISBLANK('RESUMEN VIGILANCIA'!AB75),"",'RESUMEN VIGILANCIA'!AB75)</f>
        <v/>
      </c>
      <c r="AC81" s="114">
        <f t="shared" si="1"/>
        <v>0</v>
      </c>
      <c r="AD81" s="291"/>
      <c r="AE81" s="291"/>
    </row>
    <row r="82" spans="1:31" s="52" customFormat="1" ht="20.100000000000001" customHeight="1" x14ac:dyDescent="0.25">
      <c r="A82" s="56" t="s">
        <v>303</v>
      </c>
      <c r="B82" s="57" t="s">
        <v>304</v>
      </c>
      <c r="C82" s="150" t="s">
        <v>938</v>
      </c>
      <c r="D82" s="100" t="str">
        <f>IF(ISBLANK('RESUMEN VIGILANCIA'!D76),"",'RESUMEN VIGILANCIA'!D76)</f>
        <v/>
      </c>
      <c r="E82" s="151">
        <f>IF(ISBLANK('RESUMEN VIGILANCIA'!E76),"",'RESUMEN VIGILANCIA'!E76)</f>
        <v>3000</v>
      </c>
      <c r="F82" s="43">
        <f>IF(ISBLANK('RESUMEN VIGILANCIA'!F76),"",'RESUMEN VIGILANCIA'!F76)</f>
        <v>3000</v>
      </c>
      <c r="G82" s="43">
        <f>IF(ISBLANK('RESUMEN VIGILANCIA'!G76),"",'RESUMEN VIGILANCIA'!G76)</f>
        <v>3000</v>
      </c>
      <c r="H82" s="43">
        <f>IF(ISBLANK('RESUMEN VIGILANCIA'!H76),"",'RESUMEN VIGILANCIA'!H76)</f>
        <v>3000</v>
      </c>
      <c r="I82" s="43">
        <f>IF(ISBLANK('RESUMEN VIGILANCIA'!I76),"",'RESUMEN VIGILANCIA'!I76)</f>
        <v>5000</v>
      </c>
      <c r="J82" s="43">
        <f>IF(ISBLANK('RESUMEN VIGILANCIA'!J76),"",'RESUMEN VIGILANCIA'!J76)</f>
        <v>5000</v>
      </c>
      <c r="K82" s="43">
        <f>IF(ISBLANK('RESUMEN VIGILANCIA'!K76),"",'RESUMEN VIGILANCIA'!K76)</f>
        <v>5000</v>
      </c>
      <c r="L82" s="43">
        <f>IF(ISBLANK('RESUMEN VIGILANCIA'!L76),"",'RESUMEN VIGILANCIA'!L76)</f>
        <v>10000</v>
      </c>
      <c r="M82" s="43">
        <f>IF(ISBLANK('RESUMEN VIGILANCIA'!M76),"",'RESUMEN VIGILANCIA'!M76)</f>
        <v>20000</v>
      </c>
      <c r="N82" s="43">
        <f>IF(ISBLANK('RESUMEN VIGILANCIA'!N76),"",'RESUMEN VIGILANCIA'!N76)</f>
        <v>20000</v>
      </c>
      <c r="O82" s="123">
        <f>IF(ISBLANK('RESUMEN VIGILANCIA'!O76),"",'RESUMEN VIGILANCIA'!O76)</f>
        <v>25000</v>
      </c>
      <c r="P82" s="100">
        <f>IF(ISBLANK('RESUMEN VIGILANCIA'!P76),"",'RESUMEN VIGILANCIA'!P76)</f>
        <v>30000</v>
      </c>
      <c r="Q82" s="130">
        <f>IF(ISBLANK('RESUMEN VIGILANCIA'!Q76),"",'RESUMEN VIGILANCIA'!Q76)</f>
        <v>30000</v>
      </c>
      <c r="R82" s="123">
        <f>IF(ISBLANK('RESUMEN VIGILANCIA'!R76),"",'RESUMEN VIGILANCIA'!R76)</f>
        <v>30000</v>
      </c>
      <c r="S82" s="123">
        <f>IF(ISBLANK('RESUMEN VIGILANCIA'!S76),"",'RESUMEN VIGILANCIA'!S76)</f>
        <v>30000</v>
      </c>
      <c r="T82" s="123">
        <f>IF(ISBLANK('RESUMEN VIGILANCIA'!T76),"",'RESUMEN VIGILANCIA'!T76)</f>
        <v>30000</v>
      </c>
      <c r="U82" s="123">
        <f>IF(ISBLANK('RESUMEN VIGILANCIA'!U76),"",'RESUMEN VIGILANCIA'!U76)</f>
        <v>30000</v>
      </c>
      <c r="V82" s="123">
        <f>IF(ISBLANK('RESUMEN VIGILANCIA'!V76),"",'RESUMEN VIGILANCIA'!V76)</f>
        <v>40000</v>
      </c>
      <c r="W82" s="123" t="str">
        <f>IF(ISBLANK('RESUMEN VIGILANCIA'!W76),"",'RESUMEN VIGILANCIA'!W76)</f>
        <v/>
      </c>
      <c r="X82" s="123" t="str">
        <f>IF(ISBLANK('RESUMEN VIGILANCIA'!X76),"",'RESUMEN VIGILANCIA'!X76)</f>
        <v/>
      </c>
      <c r="Y82" s="123" t="str">
        <f>IF(ISBLANK('RESUMEN VIGILANCIA'!Y76),"",'RESUMEN VIGILANCIA'!Y76)</f>
        <v/>
      </c>
      <c r="Z82" s="123" t="str">
        <f>IF(ISBLANK('RESUMEN VIGILANCIA'!Z76),"",'RESUMEN VIGILANCIA'!Z76)</f>
        <v/>
      </c>
      <c r="AA82" s="123" t="str">
        <f>IF(ISBLANK('RESUMEN VIGILANCIA'!AA76),"",'RESUMEN VIGILANCIA'!AA76)</f>
        <v/>
      </c>
      <c r="AB82" s="100" t="str">
        <f>IF(ISBLANK('RESUMEN VIGILANCIA'!AB76),"",'RESUMEN VIGILANCIA'!AB76)</f>
        <v/>
      </c>
      <c r="AC82" s="114">
        <f t="shared" si="1"/>
        <v>322000</v>
      </c>
      <c r="AD82" s="291"/>
      <c r="AE82" s="291"/>
    </row>
    <row r="83" spans="1:31" s="52" customFormat="1" ht="20.100000000000001" customHeight="1" x14ac:dyDescent="0.25">
      <c r="A83" s="56" t="s">
        <v>312</v>
      </c>
      <c r="B83" s="57" t="s">
        <v>314</v>
      </c>
      <c r="C83" s="150" t="s">
        <v>940</v>
      </c>
      <c r="D83" s="100" t="str">
        <f>IF(ISBLANK('RESUMEN VIGILANCIA'!D80),"",'RESUMEN VIGILANCIA'!D80)</f>
        <v/>
      </c>
      <c r="E83" s="151">
        <f>IF(ISBLANK('RESUMEN VIGILANCIA'!E80),"",'RESUMEN VIGILANCIA'!E80)</f>
        <v>5000</v>
      </c>
      <c r="F83" s="43">
        <f>IF(ISBLANK('RESUMEN VIGILANCIA'!F80),"",'RESUMEN VIGILANCIA'!F80)</f>
        <v>5000</v>
      </c>
      <c r="G83" s="43">
        <f>IF(ISBLANK('RESUMEN VIGILANCIA'!G80),"",'RESUMEN VIGILANCIA'!G80)</f>
        <v>7000</v>
      </c>
      <c r="H83" s="43">
        <f>IF(ISBLANK('RESUMEN VIGILANCIA'!H80),"",'RESUMEN VIGILANCIA'!H80)</f>
        <v>10000</v>
      </c>
      <c r="I83" s="43">
        <f>IF(ISBLANK('RESUMEN VIGILANCIA'!I80),"",'RESUMEN VIGILANCIA'!I80)</f>
        <v>20000</v>
      </c>
      <c r="J83" s="43">
        <f>IF(ISBLANK('RESUMEN VIGILANCIA'!J80),"",'RESUMEN VIGILANCIA'!J80)</f>
        <v>20000</v>
      </c>
      <c r="K83" s="43">
        <f>IF(ISBLANK('RESUMEN VIGILANCIA'!K80),"",'RESUMEN VIGILANCIA'!K80)</f>
        <v>30000</v>
      </c>
      <c r="L83" s="43">
        <f>IF(ISBLANK('RESUMEN VIGILANCIA'!L80),"",'RESUMEN VIGILANCIA'!L80)</f>
        <v>35000</v>
      </c>
      <c r="M83" s="43">
        <f>IF(ISBLANK('RESUMEN VIGILANCIA'!M80),"",'RESUMEN VIGILANCIA'!M80)</f>
        <v>35000</v>
      </c>
      <c r="N83" s="43">
        <f>IF(ISBLANK('RESUMEN VIGILANCIA'!N80),"",'RESUMEN VIGILANCIA'!N80)</f>
        <v>35000</v>
      </c>
      <c r="O83" s="123">
        <f>IF(ISBLANK('RESUMEN VIGILANCIA'!O80),"",'RESUMEN VIGILANCIA'!O80)</f>
        <v>50000</v>
      </c>
      <c r="P83" s="100">
        <f>IF(ISBLANK('RESUMEN VIGILANCIA'!P80),"",'RESUMEN VIGILANCIA'!P80)</f>
        <v>50000</v>
      </c>
      <c r="Q83" s="130">
        <f>IF(ISBLANK('RESUMEN VIGILANCIA'!Q80),"",'RESUMEN VIGILANCIA'!Q80)</f>
        <v>80000</v>
      </c>
      <c r="R83" s="123">
        <f>IF(ISBLANK('RESUMEN VIGILANCIA'!R80),"",'RESUMEN VIGILANCIA'!R80)</f>
        <v>80000</v>
      </c>
      <c r="S83" s="123">
        <f>IF(ISBLANK('RESUMEN VIGILANCIA'!S80),"",'RESUMEN VIGILANCIA'!S80)</f>
        <v>140000</v>
      </c>
      <c r="T83" s="123">
        <f>IF(ISBLANK('RESUMEN VIGILANCIA'!T80),"",'RESUMEN VIGILANCIA'!T80)</f>
        <v>140000</v>
      </c>
      <c r="U83" s="123">
        <f>IF(ISBLANK('RESUMEN VIGILANCIA'!U80),"",'RESUMEN VIGILANCIA'!U80)</f>
        <v>400000</v>
      </c>
      <c r="V83" s="123">
        <f>IF(ISBLANK('RESUMEN VIGILANCIA'!V80),"",'RESUMEN VIGILANCIA'!V80)</f>
        <v>625000</v>
      </c>
      <c r="W83" s="123">
        <f>IF(ISBLANK('RESUMEN VIGILANCIA'!W80),"",'RESUMEN VIGILANCIA'!W80)</f>
        <v>1000000</v>
      </c>
      <c r="X83" s="123">
        <f>IF(ISBLANK('RESUMEN VIGILANCIA'!X80),"",'RESUMEN VIGILANCIA'!X80)</f>
        <v>5000</v>
      </c>
      <c r="Y83" s="123" t="str">
        <f>IF(ISBLANK('RESUMEN VIGILANCIA'!Y80),"",'RESUMEN VIGILANCIA'!Y80)</f>
        <v/>
      </c>
      <c r="Z83" s="123" t="str">
        <f>IF(ISBLANK('RESUMEN VIGILANCIA'!Z80),"",'RESUMEN VIGILANCIA'!Z80)</f>
        <v/>
      </c>
      <c r="AA83" s="123" t="str">
        <f>IF(ISBLANK('RESUMEN VIGILANCIA'!AA80),"",'RESUMEN VIGILANCIA'!AA80)</f>
        <v/>
      </c>
      <c r="AB83" s="100" t="str">
        <f>IF(ISBLANK('RESUMEN VIGILANCIA'!AB80),"",'RESUMEN VIGILANCIA'!AB80)</f>
        <v/>
      </c>
      <c r="AC83" s="114">
        <f t="shared" si="1"/>
        <v>2772000</v>
      </c>
      <c r="AD83" s="291"/>
      <c r="AE83" s="291"/>
    </row>
    <row r="84" spans="1:31" s="52" customFormat="1" ht="20.100000000000001" customHeight="1" x14ac:dyDescent="0.25">
      <c r="A84" s="56" t="s">
        <v>861</v>
      </c>
      <c r="B84" s="57" t="s">
        <v>862</v>
      </c>
      <c r="C84" s="150" t="s">
        <v>939</v>
      </c>
      <c r="D84" s="100" t="str">
        <f>IF(ISBLANK('RESUMEN VIGILANCIA'!D77),"",'RESUMEN VIGILANCIA'!D77)</f>
        <v/>
      </c>
      <c r="E84" s="151" t="str">
        <f>IF(ISBLANK('RESUMEN VIGILANCIA'!E77),"",'RESUMEN VIGILANCIA'!E77)</f>
        <v/>
      </c>
      <c r="F84" s="43" t="str">
        <f>IF(ISBLANK('RESUMEN VIGILANCIA'!F77),"",'RESUMEN VIGILANCIA'!F77)</f>
        <v/>
      </c>
      <c r="G84" s="43" t="str">
        <f>IF(ISBLANK('RESUMEN VIGILANCIA'!G77),"",'RESUMEN VIGILANCIA'!G77)</f>
        <v/>
      </c>
      <c r="H84" s="43" t="str">
        <f>IF(ISBLANK('RESUMEN VIGILANCIA'!H77),"",'RESUMEN VIGILANCIA'!H77)</f>
        <v/>
      </c>
      <c r="I84" s="43" t="str">
        <f>IF(ISBLANK('RESUMEN VIGILANCIA'!I77),"",'RESUMEN VIGILANCIA'!I77)</f>
        <v/>
      </c>
      <c r="J84" s="43" t="str">
        <f>IF(ISBLANK('RESUMEN VIGILANCIA'!J77),"",'RESUMEN VIGILANCIA'!J77)</f>
        <v/>
      </c>
      <c r="K84" s="43" t="str">
        <f>IF(ISBLANK('RESUMEN VIGILANCIA'!K77),"",'RESUMEN VIGILANCIA'!K77)</f>
        <v/>
      </c>
      <c r="L84" s="43" t="str">
        <f>IF(ISBLANK('RESUMEN VIGILANCIA'!L77),"",'RESUMEN VIGILANCIA'!L77)</f>
        <v/>
      </c>
      <c r="M84" s="43" t="str">
        <f>IF(ISBLANK('RESUMEN VIGILANCIA'!M77),"",'RESUMEN VIGILANCIA'!M77)</f>
        <v/>
      </c>
      <c r="N84" s="43" t="str">
        <f>IF(ISBLANK('RESUMEN VIGILANCIA'!N77),"",'RESUMEN VIGILANCIA'!N77)</f>
        <v/>
      </c>
      <c r="O84" s="123" t="str">
        <f>IF(ISBLANK('RESUMEN VIGILANCIA'!O77),"",'RESUMEN VIGILANCIA'!O77)</f>
        <v/>
      </c>
      <c r="P84" s="100" t="str">
        <f>IF(ISBLANK('RESUMEN VIGILANCIA'!P77),"",'RESUMEN VIGILANCIA'!P77)</f>
        <v/>
      </c>
      <c r="Q84" s="130" t="str">
        <f>IF(ISBLANK('RESUMEN VIGILANCIA'!Q77),"",'RESUMEN VIGILANCIA'!Q77)</f>
        <v/>
      </c>
      <c r="R84" s="123" t="str">
        <f>IF(ISBLANK('RESUMEN VIGILANCIA'!R77),"",'RESUMEN VIGILANCIA'!R77)</f>
        <v/>
      </c>
      <c r="S84" s="123" t="str">
        <f>IF(ISBLANK('RESUMEN VIGILANCIA'!S77),"",'RESUMEN VIGILANCIA'!S77)</f>
        <v/>
      </c>
      <c r="T84" s="123" t="str">
        <f>IF(ISBLANK('RESUMEN VIGILANCIA'!T77),"",'RESUMEN VIGILANCIA'!T77)</f>
        <v/>
      </c>
      <c r="U84" s="123" t="str">
        <f>IF(ISBLANK('RESUMEN VIGILANCIA'!U77),"",'RESUMEN VIGILANCIA'!U77)</f>
        <v/>
      </c>
      <c r="V84" s="123" t="str">
        <f>IF(ISBLANK('RESUMEN VIGILANCIA'!V77),"",'RESUMEN VIGILANCIA'!V77)</f>
        <v/>
      </c>
      <c r="W84" s="123" t="str">
        <f>IF(ISBLANK('RESUMEN VIGILANCIA'!W77),"",'RESUMEN VIGILANCIA'!W77)</f>
        <v/>
      </c>
      <c r="X84" s="123" t="str">
        <f>IF(ISBLANK('RESUMEN VIGILANCIA'!X77),"",'RESUMEN VIGILANCIA'!X77)</f>
        <v/>
      </c>
      <c r="Y84" s="123" t="str">
        <f>IF(ISBLANK('RESUMEN VIGILANCIA'!Y77),"",'RESUMEN VIGILANCIA'!Y77)</f>
        <v/>
      </c>
      <c r="Z84" s="123" t="str">
        <f>IF(ISBLANK('RESUMEN VIGILANCIA'!Z77),"",'RESUMEN VIGILANCIA'!Z77)</f>
        <v/>
      </c>
      <c r="AA84" s="123" t="str">
        <f>IF(ISBLANK('RESUMEN VIGILANCIA'!AA77),"",'RESUMEN VIGILANCIA'!AA77)</f>
        <v/>
      </c>
      <c r="AB84" s="100" t="str">
        <f>IF(ISBLANK('RESUMEN VIGILANCIA'!AB77),"",'RESUMEN VIGILANCIA'!AB77)</f>
        <v/>
      </c>
      <c r="AC84" s="114">
        <f t="shared" si="1"/>
        <v>0</v>
      </c>
      <c r="AD84" s="291"/>
      <c r="AE84" s="291"/>
    </row>
    <row r="85" spans="1:31" s="52" customFormat="1" ht="20.100000000000001" customHeight="1" x14ac:dyDescent="0.25">
      <c r="A85" s="53" t="s">
        <v>24</v>
      </c>
      <c r="B85" s="54" t="s">
        <v>26</v>
      </c>
      <c r="C85" s="152" t="s">
        <v>940</v>
      </c>
      <c r="D85" s="99" t="str">
        <f>IF(ISBLANK('RESUMEN VIGILANCIA'!D78),"",'RESUMEN VIGILANCIA'!D78)</f>
        <v/>
      </c>
      <c r="E85" s="153">
        <f>IF(ISBLANK('RESUMEN VIGILANCIA'!E78),"",'RESUMEN VIGILANCIA'!E78)</f>
        <v>17000</v>
      </c>
      <c r="F85" s="41">
        <f>IF(ISBLANK('RESUMEN VIGILANCIA'!F78),"",'RESUMEN VIGILANCIA'!F78)</f>
        <v>17000</v>
      </c>
      <c r="G85" s="41">
        <f>IF(ISBLANK('RESUMEN VIGILANCIA'!G78),"",'RESUMEN VIGILANCIA'!G78)</f>
        <v>17000</v>
      </c>
      <c r="H85" s="41">
        <f>IF(ISBLANK('RESUMEN VIGILANCIA'!H78),"",'RESUMEN VIGILANCIA'!H78)</f>
        <v>17000</v>
      </c>
      <c r="I85" s="41">
        <f>IF(ISBLANK('RESUMEN VIGILANCIA'!I78),"",'RESUMEN VIGILANCIA'!I78)</f>
        <v>26000</v>
      </c>
      <c r="J85" s="41">
        <f>IF(ISBLANK('RESUMEN VIGILANCIA'!J78),"",'RESUMEN VIGILANCIA'!J78)</f>
        <v>26000</v>
      </c>
      <c r="K85" s="41">
        <f>IF(ISBLANK('RESUMEN VIGILANCIA'!K78),"",'RESUMEN VIGILANCIA'!K78)</f>
        <v>35000</v>
      </c>
      <c r="L85" s="41">
        <f>IF(ISBLANK('RESUMEN VIGILANCIA'!L78),"",'RESUMEN VIGILANCIA'!L78)</f>
        <v>35000</v>
      </c>
      <c r="M85" s="41">
        <f>IF(ISBLANK('RESUMEN VIGILANCIA'!M78),"",'RESUMEN VIGILANCIA'!M78)</f>
        <v>35000</v>
      </c>
      <c r="N85" s="41">
        <f>IF(ISBLANK('RESUMEN VIGILANCIA'!N78),"",'RESUMEN VIGILANCIA'!N78)</f>
        <v>35000</v>
      </c>
      <c r="O85" s="124">
        <f>IF(ISBLANK('RESUMEN VIGILANCIA'!O78),"",'RESUMEN VIGILANCIA'!O78)</f>
        <v>50000</v>
      </c>
      <c r="P85" s="99">
        <f>IF(ISBLANK('RESUMEN VIGILANCIA'!P78),"",'RESUMEN VIGILANCIA'!P78)</f>
        <v>50000</v>
      </c>
      <c r="Q85" s="128">
        <f>IF(ISBLANK('RESUMEN VIGILANCIA'!Q78),"",'RESUMEN VIGILANCIA'!Q78)</f>
        <v>80000</v>
      </c>
      <c r="R85" s="124">
        <f>IF(ISBLANK('RESUMEN VIGILANCIA'!R78),"",'RESUMEN VIGILANCIA'!R78)</f>
        <v>80000</v>
      </c>
      <c r="S85" s="124">
        <f>IF(ISBLANK('RESUMEN VIGILANCIA'!S78),"",'RESUMEN VIGILANCIA'!S78)</f>
        <v>140000</v>
      </c>
      <c r="T85" s="124">
        <f>IF(ISBLANK('RESUMEN VIGILANCIA'!T78),"",'RESUMEN VIGILANCIA'!T78)</f>
        <v>140000</v>
      </c>
      <c r="U85" s="124">
        <f>IF(ISBLANK('RESUMEN VIGILANCIA'!U78),"",'RESUMEN VIGILANCIA'!U78)</f>
        <v>400000</v>
      </c>
      <c r="V85" s="124">
        <f>IF(ISBLANK('RESUMEN VIGILANCIA'!V78),"",'RESUMEN VIGILANCIA'!V78)</f>
        <v>625000</v>
      </c>
      <c r="W85" s="124">
        <f>IF(ISBLANK('RESUMEN VIGILANCIA'!W78),"",'RESUMEN VIGILANCIA'!W78)</f>
        <v>1000000</v>
      </c>
      <c r="X85" s="124">
        <f>IF(ISBLANK('RESUMEN VIGILANCIA'!X78),"",'RESUMEN VIGILANCIA'!X78)</f>
        <v>1200000</v>
      </c>
      <c r="Y85" s="124" t="str">
        <f>IF(ISBLANK('RESUMEN VIGILANCIA'!Y78),"",'RESUMEN VIGILANCIA'!Y78)</f>
        <v/>
      </c>
      <c r="Z85" s="124" t="str">
        <f>IF(ISBLANK('RESUMEN VIGILANCIA'!Z78),"",'RESUMEN VIGILANCIA'!Z78)</f>
        <v/>
      </c>
      <c r="AA85" s="124" t="str">
        <f>IF(ISBLANK('RESUMEN VIGILANCIA'!AA78),"",'RESUMEN VIGILANCIA'!AA78)</f>
        <v/>
      </c>
      <c r="AB85" s="99" t="str">
        <f>IF(ISBLANK('RESUMEN VIGILANCIA'!AB78),"",'RESUMEN VIGILANCIA'!AB78)</f>
        <v/>
      </c>
      <c r="AC85" s="115">
        <f t="shared" si="1"/>
        <v>4025000</v>
      </c>
      <c r="AD85" s="292"/>
      <c r="AE85" s="292"/>
    </row>
    <row r="86" spans="1:31" s="52" customFormat="1" ht="20.100000000000001" customHeight="1" x14ac:dyDescent="0.25">
      <c r="A86" s="53" t="s">
        <v>230</v>
      </c>
      <c r="B86" s="54" t="s">
        <v>232</v>
      </c>
      <c r="C86" s="152" t="s">
        <v>940</v>
      </c>
      <c r="D86" s="99" t="str">
        <f>IF(ISBLANK('RESUMEN VIGILANCIA'!D79),"",'RESUMEN VIGILANCIA'!D79)</f>
        <v/>
      </c>
      <c r="E86" s="153">
        <f>IF(ISBLANK('RESUMEN VIGILANCIA'!E79),"",'RESUMEN VIGILANCIA'!E79)</f>
        <v>17000</v>
      </c>
      <c r="F86" s="41">
        <f>IF(ISBLANK('RESUMEN VIGILANCIA'!F79),"",'RESUMEN VIGILANCIA'!F79)</f>
        <v>17000</v>
      </c>
      <c r="G86" s="41">
        <f>IF(ISBLANK('RESUMEN VIGILANCIA'!G79),"",'RESUMEN VIGILANCIA'!G79)</f>
        <v>17000</v>
      </c>
      <c r="H86" s="41">
        <f>IF(ISBLANK('RESUMEN VIGILANCIA'!H79),"",'RESUMEN VIGILANCIA'!H79)</f>
        <v>17000</v>
      </c>
      <c r="I86" s="41">
        <f>IF(ISBLANK('RESUMEN VIGILANCIA'!I79),"",'RESUMEN VIGILANCIA'!I79)</f>
        <v>26000</v>
      </c>
      <c r="J86" s="79" t="str">
        <f>IF(ISBLANK('RESUMEN VIGILANCIA'!J79),"",'RESUMEN VIGILANCIA'!J79)</f>
        <v/>
      </c>
      <c r="K86" s="41">
        <f>IF(ISBLANK('RESUMEN VIGILANCIA'!K79),"",'RESUMEN VIGILANCIA'!K79)</f>
        <v>35000</v>
      </c>
      <c r="L86" s="41">
        <f>IF(ISBLANK('RESUMEN VIGILANCIA'!L79),"",'RESUMEN VIGILANCIA'!L79)</f>
        <v>35000</v>
      </c>
      <c r="M86" s="41">
        <f>IF(ISBLANK('RESUMEN VIGILANCIA'!M79),"",'RESUMEN VIGILANCIA'!M79)</f>
        <v>35000</v>
      </c>
      <c r="N86" s="41">
        <f>IF(ISBLANK('RESUMEN VIGILANCIA'!N79),"",'RESUMEN VIGILANCIA'!N79)</f>
        <v>35000</v>
      </c>
      <c r="O86" s="124">
        <f>IF(ISBLANK('RESUMEN VIGILANCIA'!O79),"",'RESUMEN VIGILANCIA'!O79)</f>
        <v>50000</v>
      </c>
      <c r="P86" s="99">
        <f>IF(ISBLANK('RESUMEN VIGILANCIA'!P79),"",'RESUMEN VIGILANCIA'!P79)</f>
        <v>50000</v>
      </c>
      <c r="Q86" s="128">
        <f>IF(ISBLANK('RESUMEN VIGILANCIA'!Q79),"",'RESUMEN VIGILANCIA'!Q79)</f>
        <v>80000</v>
      </c>
      <c r="R86" s="124">
        <f>IF(ISBLANK('RESUMEN VIGILANCIA'!R79),"",'RESUMEN VIGILANCIA'!R79)</f>
        <v>80000</v>
      </c>
      <c r="S86" s="124">
        <f>IF(ISBLANK('RESUMEN VIGILANCIA'!S79),"",'RESUMEN VIGILANCIA'!S79)</f>
        <v>140000</v>
      </c>
      <c r="T86" s="124">
        <f>IF(ISBLANK('RESUMEN VIGILANCIA'!T79),"",'RESUMEN VIGILANCIA'!T79)</f>
        <v>300000</v>
      </c>
      <c r="U86" s="124">
        <f>IF(ISBLANK('RESUMEN VIGILANCIA'!U79),"",'RESUMEN VIGILANCIA'!U79)</f>
        <v>400000</v>
      </c>
      <c r="V86" s="124">
        <f>IF(ISBLANK('RESUMEN VIGILANCIA'!V79),"",'RESUMEN VIGILANCIA'!V79)</f>
        <v>1000000</v>
      </c>
      <c r="W86" s="124">
        <f>IF(ISBLANK('RESUMEN VIGILANCIA'!W79),"",'RESUMEN VIGILANCIA'!W79)</f>
        <v>1000000</v>
      </c>
      <c r="X86" s="124" t="str">
        <f>IF(ISBLANK('RESUMEN VIGILANCIA'!X79),"",'RESUMEN VIGILANCIA'!X79)</f>
        <v/>
      </c>
      <c r="Y86" s="124" t="str">
        <f>IF(ISBLANK('RESUMEN VIGILANCIA'!Y79),"",'RESUMEN VIGILANCIA'!Y79)</f>
        <v/>
      </c>
      <c r="Z86" s="124" t="str">
        <f>IF(ISBLANK('RESUMEN VIGILANCIA'!Z79),"",'RESUMEN VIGILANCIA'!Z79)</f>
        <v/>
      </c>
      <c r="AA86" s="124" t="str">
        <f>IF(ISBLANK('RESUMEN VIGILANCIA'!AA79),"",'RESUMEN VIGILANCIA'!AA79)</f>
        <v/>
      </c>
      <c r="AB86" s="99" t="str">
        <f>IF(ISBLANK('RESUMEN VIGILANCIA'!AB79),"",'RESUMEN VIGILANCIA'!AB79)</f>
        <v/>
      </c>
      <c r="AC86" s="115">
        <f t="shared" si="1"/>
        <v>3334000</v>
      </c>
      <c r="AD86" s="292"/>
      <c r="AE86" s="292"/>
    </row>
    <row r="87" spans="1:31" s="52" customFormat="1" ht="20.100000000000001" customHeight="1" x14ac:dyDescent="0.25">
      <c r="A87" s="53" t="s">
        <v>126</v>
      </c>
      <c r="B87" s="54" t="s">
        <v>128</v>
      </c>
      <c r="C87" s="152" t="s">
        <v>940</v>
      </c>
      <c r="D87" s="99" t="str">
        <f>IF(ISBLANK('RESUMEN VIGILANCIA'!D81),"",'RESUMEN VIGILANCIA'!D81)</f>
        <v/>
      </c>
      <c r="E87" s="153">
        <f>IF(ISBLANK('RESUMEN VIGILANCIA'!E81),"",'RESUMEN VIGILANCIA'!E81)</f>
        <v>17000</v>
      </c>
      <c r="F87" s="41">
        <f>IF(ISBLANK('RESUMEN VIGILANCIA'!F81),"",'RESUMEN VIGILANCIA'!F81)</f>
        <v>17000</v>
      </c>
      <c r="G87" s="41">
        <f>IF(ISBLANK('RESUMEN VIGILANCIA'!G81),"",'RESUMEN VIGILANCIA'!G81)</f>
        <v>17000</v>
      </c>
      <c r="H87" s="41">
        <f>IF(ISBLANK('RESUMEN VIGILANCIA'!H81),"",'RESUMEN VIGILANCIA'!H81)</f>
        <v>17000</v>
      </c>
      <c r="I87" s="41">
        <f>IF(ISBLANK('RESUMEN VIGILANCIA'!I81),"",'RESUMEN VIGILANCIA'!I81)</f>
        <v>26000</v>
      </c>
      <c r="J87" s="41">
        <f>IF(ISBLANK('RESUMEN VIGILANCIA'!J81),"",'RESUMEN VIGILANCIA'!J81)</f>
        <v>26000</v>
      </c>
      <c r="K87" s="41">
        <f>IF(ISBLANK('RESUMEN VIGILANCIA'!K81),"",'RESUMEN VIGILANCIA'!K81)</f>
        <v>35000</v>
      </c>
      <c r="L87" s="41">
        <f>IF(ISBLANK('RESUMEN VIGILANCIA'!L81),"",'RESUMEN VIGILANCIA'!L81)</f>
        <v>35000</v>
      </c>
      <c r="M87" s="41">
        <f>IF(ISBLANK('RESUMEN VIGILANCIA'!M81),"",'RESUMEN VIGILANCIA'!M81)</f>
        <v>35000</v>
      </c>
      <c r="N87" s="41">
        <f>IF(ISBLANK('RESUMEN VIGILANCIA'!N81),"",'RESUMEN VIGILANCIA'!N81)</f>
        <v>35000</v>
      </c>
      <c r="O87" s="124">
        <f>IF(ISBLANK('RESUMEN VIGILANCIA'!O81),"",'RESUMEN VIGILANCIA'!O81)</f>
        <v>50000</v>
      </c>
      <c r="P87" s="99">
        <f>IF(ISBLANK('RESUMEN VIGILANCIA'!P81),"",'RESUMEN VIGILANCIA'!P81)</f>
        <v>50000</v>
      </c>
      <c r="Q87" s="128">
        <f>IF(ISBLANK('RESUMEN VIGILANCIA'!Q81),"",'RESUMEN VIGILANCIA'!Q81)</f>
        <v>80000</v>
      </c>
      <c r="R87" s="124">
        <f>IF(ISBLANK('RESUMEN VIGILANCIA'!R81),"",'RESUMEN VIGILANCIA'!R81)</f>
        <v>80000</v>
      </c>
      <c r="S87" s="124">
        <f>IF(ISBLANK('RESUMEN VIGILANCIA'!S81),"",'RESUMEN VIGILANCIA'!S81)</f>
        <v>140000</v>
      </c>
      <c r="T87" s="124">
        <f>IF(ISBLANK('RESUMEN VIGILANCIA'!T81),"",'RESUMEN VIGILANCIA'!T81)</f>
        <v>140000</v>
      </c>
      <c r="U87" s="124">
        <f>IF(ISBLANK('RESUMEN VIGILANCIA'!U81),"",'RESUMEN VIGILANCIA'!U81)</f>
        <v>400000</v>
      </c>
      <c r="V87" s="124">
        <f>IF(ISBLANK('RESUMEN VIGILANCIA'!V81),"",'RESUMEN VIGILANCIA'!V81)</f>
        <v>650000</v>
      </c>
      <c r="W87" s="124">
        <f>IF(ISBLANK('RESUMEN VIGILANCIA'!W81),"",'RESUMEN VIGILANCIA'!W81)</f>
        <v>1000000</v>
      </c>
      <c r="X87" s="124" t="str">
        <f>IF(ISBLANK('RESUMEN VIGILANCIA'!X81),"",'RESUMEN VIGILANCIA'!X81)</f>
        <v/>
      </c>
      <c r="Y87" s="124" t="str">
        <f>IF(ISBLANK('RESUMEN VIGILANCIA'!Y81),"",'RESUMEN VIGILANCIA'!Y81)</f>
        <v/>
      </c>
      <c r="Z87" s="124" t="str">
        <f>IF(ISBLANK('RESUMEN VIGILANCIA'!Z81),"",'RESUMEN VIGILANCIA'!Z81)</f>
        <v/>
      </c>
      <c r="AA87" s="124" t="str">
        <f>IF(ISBLANK('RESUMEN VIGILANCIA'!AA81),"",'RESUMEN VIGILANCIA'!AA81)</f>
        <v/>
      </c>
      <c r="AB87" s="99" t="str">
        <f>IF(ISBLANK('RESUMEN VIGILANCIA'!AB81),"",'RESUMEN VIGILANCIA'!AB81)</f>
        <v/>
      </c>
      <c r="AC87" s="115">
        <f t="shared" si="1"/>
        <v>2850000</v>
      </c>
      <c r="AD87" s="292"/>
      <c r="AE87" s="292"/>
    </row>
    <row r="88" spans="1:31" s="52" customFormat="1" ht="20.100000000000001" customHeight="1" x14ac:dyDescent="0.25">
      <c r="A88" s="53" t="s">
        <v>465</v>
      </c>
      <c r="B88" s="54" t="s">
        <v>467</v>
      </c>
      <c r="C88" s="152" t="s">
        <v>939</v>
      </c>
      <c r="D88" s="99" t="str">
        <f>IF(ISBLANK('RESUMEN VIGILANCIA'!D83),"",'RESUMEN VIGILANCIA'!D83)</f>
        <v/>
      </c>
      <c r="E88" s="153" t="str">
        <f>IF(ISBLANK('RESUMEN VIGILANCIA'!E83),"",'RESUMEN VIGILANCIA'!E83)</f>
        <v/>
      </c>
      <c r="F88" s="41" t="str">
        <f>IF(ISBLANK('RESUMEN VIGILANCIA'!F83),"",'RESUMEN VIGILANCIA'!F83)</f>
        <v/>
      </c>
      <c r="G88" s="41" t="str">
        <f>IF(ISBLANK('RESUMEN VIGILANCIA'!G83),"",'RESUMEN VIGILANCIA'!G83)</f>
        <v/>
      </c>
      <c r="H88" s="41" t="str">
        <f>IF(ISBLANK('RESUMEN VIGILANCIA'!H83),"",'RESUMEN VIGILANCIA'!H83)</f>
        <v/>
      </c>
      <c r="I88" s="41" t="str">
        <f>IF(ISBLANK('RESUMEN VIGILANCIA'!I83),"",'RESUMEN VIGILANCIA'!I83)</f>
        <v/>
      </c>
      <c r="J88" s="41" t="str">
        <f>IF(ISBLANK('RESUMEN VIGILANCIA'!J83),"",'RESUMEN VIGILANCIA'!J83)</f>
        <v/>
      </c>
      <c r="K88" s="41" t="str">
        <f>IF(ISBLANK('RESUMEN VIGILANCIA'!K83),"",'RESUMEN VIGILANCIA'!K83)</f>
        <v/>
      </c>
      <c r="L88" s="41" t="str">
        <f>IF(ISBLANK('RESUMEN VIGILANCIA'!L83),"",'RESUMEN VIGILANCIA'!L83)</f>
        <v/>
      </c>
      <c r="M88" s="41" t="str">
        <f>IF(ISBLANK('RESUMEN VIGILANCIA'!M83),"",'RESUMEN VIGILANCIA'!M83)</f>
        <v/>
      </c>
      <c r="N88" s="41" t="str">
        <f>IF(ISBLANK('RESUMEN VIGILANCIA'!N83),"",'RESUMEN VIGILANCIA'!N83)</f>
        <v/>
      </c>
      <c r="O88" s="124" t="str">
        <f>IF(ISBLANK('RESUMEN VIGILANCIA'!O83),"",'RESUMEN VIGILANCIA'!O83)</f>
        <v/>
      </c>
      <c r="P88" s="99" t="str">
        <f>IF(ISBLANK('RESUMEN VIGILANCIA'!P83),"",'RESUMEN VIGILANCIA'!P83)</f>
        <v/>
      </c>
      <c r="Q88" s="128" t="str">
        <f>IF(ISBLANK('RESUMEN VIGILANCIA'!Q83),"",'RESUMEN VIGILANCIA'!Q83)</f>
        <v/>
      </c>
      <c r="R88" s="124" t="str">
        <f>IF(ISBLANK('RESUMEN VIGILANCIA'!R83),"",'RESUMEN VIGILANCIA'!R83)</f>
        <v/>
      </c>
      <c r="S88" s="124" t="str">
        <f>IF(ISBLANK('RESUMEN VIGILANCIA'!S83),"",'RESUMEN VIGILANCIA'!S83)</f>
        <v/>
      </c>
      <c r="T88" s="124" t="str">
        <f>IF(ISBLANK('RESUMEN VIGILANCIA'!T83),"",'RESUMEN VIGILANCIA'!T83)</f>
        <v/>
      </c>
      <c r="U88" s="124" t="str">
        <f>IF(ISBLANK('RESUMEN VIGILANCIA'!U83),"",'RESUMEN VIGILANCIA'!U83)</f>
        <v/>
      </c>
      <c r="V88" s="124" t="str">
        <f>IF(ISBLANK('RESUMEN VIGILANCIA'!V83),"",'RESUMEN VIGILANCIA'!V83)</f>
        <v/>
      </c>
      <c r="W88" s="124" t="str">
        <f>IF(ISBLANK('RESUMEN VIGILANCIA'!W83),"",'RESUMEN VIGILANCIA'!W83)</f>
        <v/>
      </c>
      <c r="X88" s="124" t="str">
        <f>IF(ISBLANK('RESUMEN VIGILANCIA'!X83),"",'RESUMEN VIGILANCIA'!X83)</f>
        <v/>
      </c>
      <c r="Y88" s="124" t="str">
        <f>IF(ISBLANK('RESUMEN VIGILANCIA'!Y83),"",'RESUMEN VIGILANCIA'!Y83)</f>
        <v/>
      </c>
      <c r="Z88" s="124" t="str">
        <f>IF(ISBLANK('RESUMEN VIGILANCIA'!Z83),"",'RESUMEN VIGILANCIA'!Z83)</f>
        <v/>
      </c>
      <c r="AA88" s="124" t="str">
        <f>IF(ISBLANK('RESUMEN VIGILANCIA'!AA83),"",'RESUMEN VIGILANCIA'!AA83)</f>
        <v/>
      </c>
      <c r="AB88" s="99" t="str">
        <f>IF(ISBLANK('RESUMEN VIGILANCIA'!AB83),"",'RESUMEN VIGILANCIA'!AB83)</f>
        <v/>
      </c>
      <c r="AC88" s="115">
        <f t="shared" si="1"/>
        <v>0</v>
      </c>
      <c r="AD88" s="292"/>
      <c r="AE88" s="292"/>
    </row>
    <row r="89" spans="1:31" s="52" customFormat="1" ht="20.100000000000001" customHeight="1" x14ac:dyDescent="0.25">
      <c r="A89" s="56" t="s">
        <v>130</v>
      </c>
      <c r="B89" s="57" t="s">
        <v>132</v>
      </c>
      <c r="C89" s="150" t="s">
        <v>938</v>
      </c>
      <c r="D89" s="100" t="str">
        <f>IF(ISBLANK('RESUMEN VIGILANCIA'!D82),"",'RESUMEN VIGILANCIA'!D82)</f>
        <v/>
      </c>
      <c r="E89" s="151">
        <f>IF(ISBLANK('RESUMEN VIGILANCIA'!E82),"",'RESUMEN VIGILANCIA'!E82)</f>
        <v>10500</v>
      </c>
      <c r="F89" s="43">
        <f>IF(ISBLANK('RESUMEN VIGILANCIA'!F82),"",'RESUMEN VIGILANCIA'!F82)</f>
        <v>12000</v>
      </c>
      <c r="G89" s="43">
        <f>IF(ISBLANK('RESUMEN VIGILANCIA'!G82),"",'RESUMEN VIGILANCIA'!G82)</f>
        <v>12000</v>
      </c>
      <c r="H89" s="43">
        <f>IF(ISBLANK('RESUMEN VIGILANCIA'!H82),"",'RESUMEN VIGILANCIA'!H82)</f>
        <v>12000</v>
      </c>
      <c r="I89" s="43">
        <f>IF(ISBLANK('RESUMEN VIGILANCIA'!I82),"",'RESUMEN VIGILANCIA'!I82)</f>
        <v>12000</v>
      </c>
      <c r="J89" s="43">
        <f>IF(ISBLANK('RESUMEN VIGILANCIA'!J82),"",'RESUMEN VIGILANCIA'!J82)</f>
        <v>15000</v>
      </c>
      <c r="K89" s="43">
        <f>IF(ISBLANK('RESUMEN VIGILANCIA'!K82),"",'RESUMEN VIGILANCIA'!K82)</f>
        <v>15000</v>
      </c>
      <c r="L89" s="43">
        <f>IF(ISBLANK('RESUMEN VIGILANCIA'!L82),"",'RESUMEN VIGILANCIA'!L82)</f>
        <v>18000</v>
      </c>
      <c r="M89" s="43">
        <f>IF(ISBLANK('RESUMEN VIGILANCIA'!M82),"",'RESUMEN VIGILANCIA'!M82)</f>
        <v>20000</v>
      </c>
      <c r="N89" s="43">
        <f>IF(ISBLANK('RESUMEN VIGILANCIA'!N82),"",'RESUMEN VIGILANCIA'!N82)</f>
        <v>20000</v>
      </c>
      <c r="O89" s="123">
        <f>IF(ISBLANK('RESUMEN VIGILANCIA'!O82),"",'RESUMEN VIGILANCIA'!O82)</f>
        <v>30000</v>
      </c>
      <c r="P89" s="100">
        <f>IF(ISBLANK('RESUMEN VIGILANCIA'!P82),"",'RESUMEN VIGILANCIA'!P82)</f>
        <v>40000</v>
      </c>
      <c r="Q89" s="130">
        <f>IF(ISBLANK('RESUMEN VIGILANCIA'!Q82),"",'RESUMEN VIGILANCIA'!Q82)</f>
        <v>40000</v>
      </c>
      <c r="R89" s="123">
        <f>IF(ISBLANK('RESUMEN VIGILANCIA'!R82),"",'RESUMEN VIGILANCIA'!R82)</f>
        <v>80000</v>
      </c>
      <c r="S89" s="123">
        <f>IF(ISBLANK('RESUMEN VIGILANCIA'!S82),"",'RESUMEN VIGILANCIA'!S82)</f>
        <v>120000</v>
      </c>
      <c r="T89" s="123">
        <f>IF(ISBLANK('RESUMEN VIGILANCIA'!T82),"",'RESUMEN VIGILANCIA'!T82)</f>
        <v>140000</v>
      </c>
      <c r="U89" s="123">
        <f>IF(ISBLANK('RESUMEN VIGILANCIA'!U82),"",'RESUMEN VIGILANCIA'!U82)</f>
        <v>200000</v>
      </c>
      <c r="V89" s="123">
        <f>IF(ISBLANK('RESUMEN VIGILANCIA'!V82),"",'RESUMEN VIGILANCIA'!V82)</f>
        <v>400000</v>
      </c>
      <c r="W89" s="123">
        <f>IF(ISBLANK('RESUMEN VIGILANCIA'!W82),"",'RESUMEN VIGILANCIA'!W82)</f>
        <v>1000000</v>
      </c>
      <c r="X89" s="123" t="str">
        <f>IF(ISBLANK('RESUMEN VIGILANCIA'!X82),"",'RESUMEN VIGILANCIA'!X82)</f>
        <v/>
      </c>
      <c r="Y89" s="123" t="str">
        <f>IF(ISBLANK('RESUMEN VIGILANCIA'!Y82),"",'RESUMEN VIGILANCIA'!Y82)</f>
        <v/>
      </c>
      <c r="Z89" s="123" t="str">
        <f>IF(ISBLANK('RESUMEN VIGILANCIA'!Z82),"",'RESUMEN VIGILANCIA'!Z82)</f>
        <v/>
      </c>
      <c r="AA89" s="123" t="str">
        <f>IF(ISBLANK('RESUMEN VIGILANCIA'!AA82),"",'RESUMEN VIGILANCIA'!AA82)</f>
        <v/>
      </c>
      <c r="AB89" s="100" t="str">
        <f>IF(ISBLANK('RESUMEN VIGILANCIA'!AB82),"",'RESUMEN VIGILANCIA'!AB82)</f>
        <v/>
      </c>
      <c r="AC89" s="114">
        <f t="shared" si="1"/>
        <v>2196500</v>
      </c>
      <c r="AD89" s="291"/>
      <c r="AE89" s="291"/>
    </row>
    <row r="90" spans="1:31" s="52" customFormat="1" ht="20.100000000000001" customHeight="1" x14ac:dyDescent="0.25">
      <c r="A90" s="53" t="s">
        <v>32</v>
      </c>
      <c r="B90" s="54" t="s">
        <v>34</v>
      </c>
      <c r="C90" s="152" t="s">
        <v>938</v>
      </c>
      <c r="D90" s="99" t="str">
        <f>IF(ISBLANK('RESUMEN VIGILANCIA'!D84),"",'RESUMEN VIGILANCIA'!D84)</f>
        <v/>
      </c>
      <c r="E90" s="153">
        <f>IF(ISBLANK('RESUMEN VIGILANCIA'!E84),"",'RESUMEN VIGILANCIA'!E84)</f>
        <v>17000</v>
      </c>
      <c r="F90" s="41">
        <f>IF(ISBLANK('RESUMEN VIGILANCIA'!F84),"",'RESUMEN VIGILANCIA'!F84)</f>
        <v>17000</v>
      </c>
      <c r="G90" s="41">
        <f>IF(ISBLANK('RESUMEN VIGILANCIA'!G84),"",'RESUMEN VIGILANCIA'!G84)</f>
        <v>17000</v>
      </c>
      <c r="H90" s="41">
        <f>IF(ISBLANK('RESUMEN VIGILANCIA'!H84),"",'RESUMEN VIGILANCIA'!H84)</f>
        <v>17000</v>
      </c>
      <c r="I90" s="41">
        <f>IF(ISBLANK('RESUMEN VIGILANCIA'!I84),"",'RESUMEN VIGILANCIA'!I84)</f>
        <v>26000</v>
      </c>
      <c r="J90" s="41">
        <f>IF(ISBLANK('RESUMEN VIGILANCIA'!J84),"",'RESUMEN VIGILANCIA'!J84)</f>
        <v>26000</v>
      </c>
      <c r="K90" s="41">
        <f>IF(ISBLANK('RESUMEN VIGILANCIA'!K84),"",'RESUMEN VIGILANCIA'!K84)</f>
        <v>35000</v>
      </c>
      <c r="L90" s="41">
        <f>IF(ISBLANK('RESUMEN VIGILANCIA'!L84),"",'RESUMEN VIGILANCIA'!L84)</f>
        <v>35000</v>
      </c>
      <c r="M90" s="41" t="str">
        <f>IF(ISBLANK('RESUMEN VIGILANCIA'!M84),"",'RESUMEN VIGILANCIA'!M84)</f>
        <v>- - -</v>
      </c>
      <c r="N90" s="41" t="str">
        <f>IF(ISBLANK('RESUMEN VIGILANCIA'!N84),"",'RESUMEN VIGILANCIA'!N84)</f>
        <v>- - -</v>
      </c>
      <c r="O90" s="124" t="str">
        <f>IF(ISBLANK('RESUMEN VIGILANCIA'!O84),"",'RESUMEN VIGILANCIA'!O84)</f>
        <v>- - -</v>
      </c>
      <c r="P90" s="99" t="str">
        <f>IF(ISBLANK('RESUMEN VIGILANCIA'!P84),"",'RESUMEN VIGILANCIA'!P84)</f>
        <v>- - -</v>
      </c>
      <c r="Q90" s="128">
        <f>IF(ISBLANK('RESUMEN VIGILANCIA'!Q84),"",'RESUMEN VIGILANCIA'!Q84)</f>
        <v>75000</v>
      </c>
      <c r="R90" s="124">
        <f>IF(ISBLANK('RESUMEN VIGILANCIA'!R84),"",'RESUMEN VIGILANCIA'!R84)</f>
        <v>75000</v>
      </c>
      <c r="S90" s="124">
        <f>IF(ISBLANK('RESUMEN VIGILANCIA'!S84),"",'RESUMEN VIGILANCIA'!S84)</f>
        <v>100000</v>
      </c>
      <c r="T90" s="124">
        <f>IF(ISBLANK('RESUMEN VIGILANCIA'!T84),"",'RESUMEN VIGILANCIA'!T84)</f>
        <v>100000</v>
      </c>
      <c r="U90" s="124">
        <f>IF(ISBLANK('RESUMEN VIGILANCIA'!U84),"",'RESUMEN VIGILANCIA'!U84)</f>
        <v>100000</v>
      </c>
      <c r="V90" s="124">
        <f>IF(ISBLANK('RESUMEN VIGILANCIA'!V84),"",'RESUMEN VIGILANCIA'!V84)</f>
        <v>600000</v>
      </c>
      <c r="W90" s="124">
        <f>IF(ISBLANK('RESUMEN VIGILANCIA'!W84),"",'RESUMEN VIGILANCIA'!W84)</f>
        <v>600000</v>
      </c>
      <c r="X90" s="124" t="str">
        <f>IF(ISBLANK('RESUMEN VIGILANCIA'!X84),"",'RESUMEN VIGILANCIA'!X84)</f>
        <v/>
      </c>
      <c r="Y90" s="124" t="str">
        <f>IF(ISBLANK('RESUMEN VIGILANCIA'!Y84),"",'RESUMEN VIGILANCIA'!Y84)</f>
        <v/>
      </c>
      <c r="Z90" s="124" t="str">
        <f>IF(ISBLANK('RESUMEN VIGILANCIA'!Z84),"",'RESUMEN VIGILANCIA'!Z84)</f>
        <v/>
      </c>
      <c r="AA90" s="124" t="str">
        <f>IF(ISBLANK('RESUMEN VIGILANCIA'!AA84),"",'RESUMEN VIGILANCIA'!AA84)</f>
        <v/>
      </c>
      <c r="AB90" s="99" t="str">
        <f>IF(ISBLANK('RESUMEN VIGILANCIA'!AB84),"",'RESUMEN VIGILANCIA'!AB84)</f>
        <v/>
      </c>
      <c r="AC90" s="115">
        <f t="shared" si="1"/>
        <v>1840000</v>
      </c>
      <c r="AD90" s="292"/>
      <c r="AE90" s="292"/>
    </row>
    <row r="91" spans="1:31" s="52" customFormat="1" ht="20.100000000000001" customHeight="1" x14ac:dyDescent="0.25">
      <c r="A91" s="56" t="s">
        <v>296</v>
      </c>
      <c r="B91" s="57" t="s">
        <v>298</v>
      </c>
      <c r="C91" s="150" t="s">
        <v>940</v>
      </c>
      <c r="D91" s="100" t="str">
        <f>IF(ISBLANK('RESUMEN VIGILANCIA'!D85),"",'RESUMEN VIGILANCIA'!D85)</f>
        <v/>
      </c>
      <c r="E91" s="151">
        <f>IF(ISBLANK('RESUMEN VIGILANCIA'!E85),"",'RESUMEN VIGILANCIA'!E85)</f>
        <v>10000</v>
      </c>
      <c r="F91" s="43">
        <f>IF(ISBLANK('RESUMEN VIGILANCIA'!F85),"",'RESUMEN VIGILANCIA'!F85)</f>
        <v>10000</v>
      </c>
      <c r="G91" s="43">
        <f>IF(ISBLANK('RESUMEN VIGILANCIA'!G85),"",'RESUMEN VIGILANCIA'!G85)</f>
        <v>10000</v>
      </c>
      <c r="H91" s="43">
        <f>IF(ISBLANK('RESUMEN VIGILANCIA'!H85),"",'RESUMEN VIGILANCIA'!H85)</f>
        <v>17000</v>
      </c>
      <c r="I91" s="43">
        <f>IF(ISBLANK('RESUMEN VIGILANCIA'!I85),"",'RESUMEN VIGILANCIA'!I85)</f>
        <v>26000</v>
      </c>
      <c r="J91" s="43">
        <f>IF(ISBLANK('RESUMEN VIGILANCIA'!J85),"",'RESUMEN VIGILANCIA'!J85)</f>
        <v>26000</v>
      </c>
      <c r="K91" s="43">
        <f>IF(ISBLANK('RESUMEN VIGILANCIA'!K85),"",'RESUMEN VIGILANCIA'!K85)</f>
        <v>35000</v>
      </c>
      <c r="L91" s="43">
        <f>IF(ISBLANK('RESUMEN VIGILANCIA'!L85),"",'RESUMEN VIGILANCIA'!L85)</f>
        <v>35000</v>
      </c>
      <c r="M91" s="43">
        <f>IF(ISBLANK('RESUMEN VIGILANCIA'!M85),"",'RESUMEN VIGILANCIA'!M85)</f>
        <v>35000</v>
      </c>
      <c r="N91" s="43">
        <f>IF(ISBLANK('RESUMEN VIGILANCIA'!N85),"",'RESUMEN VIGILANCIA'!N85)</f>
        <v>35000</v>
      </c>
      <c r="O91" s="123">
        <f>IF(ISBLANK('RESUMEN VIGILANCIA'!O85),"",'RESUMEN VIGILANCIA'!O85)</f>
        <v>50000</v>
      </c>
      <c r="P91" s="100">
        <f>IF(ISBLANK('RESUMEN VIGILANCIA'!P85),"",'RESUMEN VIGILANCIA'!P85)</f>
        <v>50000</v>
      </c>
      <c r="Q91" s="130">
        <f>IF(ISBLANK('RESUMEN VIGILANCIA'!Q85),"",'RESUMEN VIGILANCIA'!Q85)</f>
        <v>80000</v>
      </c>
      <c r="R91" s="123">
        <f>IF(ISBLANK('RESUMEN VIGILANCIA'!R85),"",'RESUMEN VIGILANCIA'!R85)</f>
        <v>80000</v>
      </c>
      <c r="S91" s="123">
        <f>IF(ISBLANK('RESUMEN VIGILANCIA'!S85),"",'RESUMEN VIGILANCIA'!S85)</f>
        <v>140000</v>
      </c>
      <c r="T91" s="123">
        <f>IF(ISBLANK('RESUMEN VIGILANCIA'!T85),"",'RESUMEN VIGILANCIA'!T85)</f>
        <v>140000</v>
      </c>
      <c r="U91" s="123">
        <f>IF(ISBLANK('RESUMEN VIGILANCIA'!U85),"",'RESUMEN VIGILANCIA'!U85)</f>
        <v>400000</v>
      </c>
      <c r="V91" s="123">
        <f>IF(ISBLANK('RESUMEN VIGILANCIA'!V85),"",'RESUMEN VIGILANCIA'!V85)</f>
        <v>625000</v>
      </c>
      <c r="W91" s="123">
        <f>IF(ISBLANK('RESUMEN VIGILANCIA'!W85),"",'RESUMEN VIGILANCIA'!W85)</f>
        <v>1000000</v>
      </c>
      <c r="X91" s="123" t="str">
        <f>IF(ISBLANK('RESUMEN VIGILANCIA'!X85),"",'RESUMEN VIGILANCIA'!X85)</f>
        <v/>
      </c>
      <c r="Y91" s="123" t="str">
        <f>IF(ISBLANK('RESUMEN VIGILANCIA'!Y85),"",'RESUMEN VIGILANCIA'!Y85)</f>
        <v/>
      </c>
      <c r="Z91" s="123" t="str">
        <f>IF(ISBLANK('RESUMEN VIGILANCIA'!Z85),"",'RESUMEN VIGILANCIA'!Z85)</f>
        <v/>
      </c>
      <c r="AA91" s="123" t="str">
        <f>IF(ISBLANK('RESUMEN VIGILANCIA'!AA85),"",'RESUMEN VIGILANCIA'!AA85)</f>
        <v/>
      </c>
      <c r="AB91" s="100" t="str">
        <f>IF(ISBLANK('RESUMEN VIGILANCIA'!AB85),"",'RESUMEN VIGILANCIA'!AB85)</f>
        <v/>
      </c>
      <c r="AC91" s="114">
        <f t="shared" si="1"/>
        <v>2804000</v>
      </c>
      <c r="AD91" s="291"/>
      <c r="AE91" s="291"/>
    </row>
    <row r="92" spans="1:31" s="52" customFormat="1" ht="20.100000000000001" customHeight="1" x14ac:dyDescent="0.25">
      <c r="A92" s="56" t="s">
        <v>252</v>
      </c>
      <c r="B92" s="57" t="s">
        <v>254</v>
      </c>
      <c r="C92" s="150" t="s">
        <v>938</v>
      </c>
      <c r="D92" s="100" t="str">
        <f>IF(ISBLANK('RESUMEN VIGILANCIA'!D87),"",'RESUMEN VIGILANCIA'!D87)</f>
        <v/>
      </c>
      <c r="E92" s="151" t="str">
        <f>IF(ISBLANK('RESUMEN VIGILANCIA'!E87),"",'RESUMEN VIGILANCIA'!E87)</f>
        <v/>
      </c>
      <c r="F92" s="43">
        <f>IF(ISBLANK('RESUMEN VIGILANCIA'!F87),"",'RESUMEN VIGILANCIA'!F87)</f>
        <v>6000</v>
      </c>
      <c r="G92" s="43" t="str">
        <f>IF(ISBLANK('RESUMEN VIGILANCIA'!G87),"",'RESUMEN VIGILANCIA'!G87)</f>
        <v/>
      </c>
      <c r="H92" s="43" t="str">
        <f>IF(ISBLANK('RESUMEN VIGILANCIA'!H87),"",'RESUMEN VIGILANCIA'!H87)</f>
        <v/>
      </c>
      <c r="I92" s="43">
        <f>IF(ISBLANK('RESUMEN VIGILANCIA'!I87),"",'RESUMEN VIGILANCIA'!I87)</f>
        <v>10000</v>
      </c>
      <c r="J92" s="43">
        <f>IF(ISBLANK('RESUMEN VIGILANCIA'!J87),"",'RESUMEN VIGILANCIA'!J87)</f>
        <v>25000</v>
      </c>
      <c r="K92" s="43">
        <f>IF(ISBLANK('RESUMEN VIGILANCIA'!K87),"",'RESUMEN VIGILANCIA'!K87)</f>
        <v>25000</v>
      </c>
      <c r="L92" s="43">
        <f>IF(ISBLANK('RESUMEN VIGILANCIA'!L87),"",'RESUMEN VIGILANCIA'!L87)</f>
        <v>25000</v>
      </c>
      <c r="M92" s="43">
        <f>IF(ISBLANK('RESUMEN VIGILANCIA'!M87),"",'RESUMEN VIGILANCIA'!M87)</f>
        <v>25000</v>
      </c>
      <c r="N92" s="43">
        <f>IF(ISBLANK('RESUMEN VIGILANCIA'!N87),"",'RESUMEN VIGILANCIA'!N87)</f>
        <v>40000</v>
      </c>
      <c r="O92" s="123">
        <f>IF(ISBLANK('RESUMEN VIGILANCIA'!O87),"",'RESUMEN VIGILANCIA'!O87)</f>
        <v>40000</v>
      </c>
      <c r="P92" s="100">
        <f>IF(ISBLANK('RESUMEN VIGILANCIA'!P87),"",'RESUMEN VIGILANCIA'!P87)</f>
        <v>40000</v>
      </c>
      <c r="Q92" s="130">
        <f>IF(ISBLANK('RESUMEN VIGILANCIA'!Q87),"",'RESUMEN VIGILANCIA'!Q87)</f>
        <v>100000</v>
      </c>
      <c r="R92" s="123">
        <f>IF(ISBLANK('RESUMEN VIGILANCIA'!R87),"",'RESUMEN VIGILANCIA'!R87)</f>
        <v>100000</v>
      </c>
      <c r="S92" s="123">
        <f>IF(ISBLANK('RESUMEN VIGILANCIA'!S87),"",'RESUMEN VIGILANCIA'!S87)</f>
        <v>100000</v>
      </c>
      <c r="T92" s="123">
        <f>IF(ISBLANK('RESUMEN VIGILANCIA'!T87),"",'RESUMEN VIGILANCIA'!T87)</f>
        <v>100000</v>
      </c>
      <c r="U92" s="123">
        <f>IF(ISBLANK('RESUMEN VIGILANCIA'!U87),"",'RESUMEN VIGILANCIA'!U87)</f>
        <v>400000</v>
      </c>
      <c r="V92" s="123">
        <f>IF(ISBLANK('RESUMEN VIGILANCIA'!V87),"",'RESUMEN VIGILANCIA'!V87)</f>
        <v>625000</v>
      </c>
      <c r="W92" s="123">
        <f>IF(ISBLANK('RESUMEN VIGILANCIA'!W87),"",'RESUMEN VIGILANCIA'!W87)</f>
        <v>1000000</v>
      </c>
      <c r="X92" s="123">
        <f>IF(ISBLANK('RESUMEN VIGILANCIA'!X87),"",'RESUMEN VIGILANCIA'!X87)</f>
        <v>1200000</v>
      </c>
      <c r="Y92" s="123">
        <f>IF(ISBLANK('RESUMEN VIGILANCIA'!Y87),"",'RESUMEN VIGILANCIA'!Y87)</f>
        <v>400000</v>
      </c>
      <c r="Z92" s="123" t="str">
        <f>IF(ISBLANK('RESUMEN VIGILANCIA'!Z87),"",'RESUMEN VIGILANCIA'!Z87)</f>
        <v/>
      </c>
      <c r="AA92" s="123" t="str">
        <f>IF(ISBLANK('RESUMEN VIGILANCIA'!AA87),"",'RESUMEN VIGILANCIA'!AA87)</f>
        <v/>
      </c>
      <c r="AB92" s="100" t="str">
        <f>IF(ISBLANK('RESUMEN VIGILANCIA'!AB87),"",'RESUMEN VIGILANCIA'!AB87)</f>
        <v/>
      </c>
      <c r="AC92" s="114">
        <f t="shared" si="1"/>
        <v>4261000</v>
      </c>
      <c r="AD92" s="291"/>
      <c r="AE92" s="291"/>
    </row>
    <row r="93" spans="1:31" s="52" customFormat="1" ht="20.100000000000001" customHeight="1" x14ac:dyDescent="0.25">
      <c r="A93" s="53" t="s">
        <v>259</v>
      </c>
      <c r="B93" s="54" t="s">
        <v>261</v>
      </c>
      <c r="C93" s="152" t="s">
        <v>940</v>
      </c>
      <c r="D93" s="99" t="str">
        <f>IF(ISBLANK('RESUMEN VIGILANCIA'!D88),"",'RESUMEN VIGILANCIA'!D88)</f>
        <v/>
      </c>
      <c r="E93" s="153">
        <f>IF(ISBLANK('RESUMEN VIGILANCIA'!E88),"",'RESUMEN VIGILANCIA'!E88)</f>
        <v>17000</v>
      </c>
      <c r="F93" s="41">
        <f>IF(ISBLANK('RESUMEN VIGILANCIA'!F88),"",'RESUMEN VIGILANCIA'!F88)</f>
        <v>17000</v>
      </c>
      <c r="G93" s="42">
        <f>IF(ISBLANK('RESUMEN VIGILANCIA'!G88),"",'RESUMEN VIGILANCIA'!G88)</f>
        <v>16000</v>
      </c>
      <c r="H93" s="42">
        <f>IF(ISBLANK('RESUMEN VIGILANCIA'!H88),"",'RESUMEN VIGILANCIA'!H88)</f>
        <v>16000</v>
      </c>
      <c r="I93" s="41">
        <f>IF(ISBLANK('RESUMEN VIGILANCIA'!I88),"",'RESUMEN VIGILANCIA'!I88)</f>
        <v>26000</v>
      </c>
      <c r="J93" s="41">
        <f>IF(ISBLANK('RESUMEN VIGILANCIA'!J88),"",'RESUMEN VIGILANCIA'!J88)</f>
        <v>26000</v>
      </c>
      <c r="K93" s="41">
        <f>IF(ISBLANK('RESUMEN VIGILANCIA'!K88),"",'RESUMEN VIGILANCIA'!K88)</f>
        <v>35000</v>
      </c>
      <c r="L93" s="41">
        <f>IF(ISBLANK('RESUMEN VIGILANCIA'!L88),"",'RESUMEN VIGILANCIA'!L88)</f>
        <v>35000</v>
      </c>
      <c r="M93" s="41">
        <f>IF(ISBLANK('RESUMEN VIGILANCIA'!M88),"",'RESUMEN VIGILANCIA'!M88)</f>
        <v>35000</v>
      </c>
      <c r="N93" s="41">
        <f>IF(ISBLANK('RESUMEN VIGILANCIA'!N88),"",'RESUMEN VIGILANCIA'!N88)</f>
        <v>35000</v>
      </c>
      <c r="O93" s="124">
        <f>IF(ISBLANK('RESUMEN VIGILANCIA'!O88),"",'RESUMEN VIGILANCIA'!O88)</f>
        <v>50000</v>
      </c>
      <c r="P93" s="99">
        <f>IF(ISBLANK('RESUMEN VIGILANCIA'!P88),"",'RESUMEN VIGILANCIA'!P88)</f>
        <v>50000</v>
      </c>
      <c r="Q93" s="128">
        <f>IF(ISBLANK('RESUMEN VIGILANCIA'!Q88),"",'RESUMEN VIGILANCIA'!Q88)</f>
        <v>80000</v>
      </c>
      <c r="R93" s="124">
        <f>IF(ISBLANK('RESUMEN VIGILANCIA'!R88),"",'RESUMEN VIGILANCIA'!R88)</f>
        <v>80000</v>
      </c>
      <c r="S93" s="124">
        <f>IF(ISBLANK('RESUMEN VIGILANCIA'!S88),"",'RESUMEN VIGILANCIA'!S88)</f>
        <v>140000</v>
      </c>
      <c r="T93" s="124">
        <f>IF(ISBLANK('RESUMEN VIGILANCIA'!T88),"",'RESUMEN VIGILANCIA'!T88)</f>
        <v>140000</v>
      </c>
      <c r="U93" s="124">
        <f>IF(ISBLANK('RESUMEN VIGILANCIA'!U88),"",'RESUMEN VIGILANCIA'!U88)</f>
        <v>400000</v>
      </c>
      <c r="V93" s="124">
        <f>IF(ISBLANK('RESUMEN VIGILANCIA'!V88),"",'RESUMEN VIGILANCIA'!V88)</f>
        <v>625000</v>
      </c>
      <c r="W93" s="124">
        <f>IF(ISBLANK('RESUMEN VIGILANCIA'!W88),"",'RESUMEN VIGILANCIA'!W88)</f>
        <v>1000000</v>
      </c>
      <c r="X93" s="124">
        <f>IF(ISBLANK('RESUMEN VIGILANCIA'!X88),"",'RESUMEN VIGILANCIA'!X88)</f>
        <v>1200000</v>
      </c>
      <c r="Y93" s="124" t="str">
        <f>IF(ISBLANK('RESUMEN VIGILANCIA'!Y88),"",'RESUMEN VIGILANCIA'!Y88)</f>
        <v/>
      </c>
      <c r="Z93" s="124" t="str">
        <f>IF(ISBLANK('RESUMEN VIGILANCIA'!Z88),"",'RESUMEN VIGILANCIA'!Z88)</f>
        <v/>
      </c>
      <c r="AA93" s="124" t="str">
        <f>IF(ISBLANK('RESUMEN VIGILANCIA'!AA88),"",'RESUMEN VIGILANCIA'!AA88)</f>
        <v/>
      </c>
      <c r="AB93" s="99" t="str">
        <f>IF(ISBLANK('RESUMEN VIGILANCIA'!AB88),"",'RESUMEN VIGILANCIA'!AB88)</f>
        <v/>
      </c>
      <c r="AC93" s="115">
        <f t="shared" si="1"/>
        <v>4023000</v>
      </c>
      <c r="AD93" s="292"/>
      <c r="AE93" s="292"/>
    </row>
    <row r="94" spans="1:31" s="52" customFormat="1" ht="20.100000000000001" customHeight="1" x14ac:dyDescent="0.25">
      <c r="A94" s="53" t="s">
        <v>863</v>
      </c>
      <c r="B94" s="54" t="s">
        <v>864</v>
      </c>
      <c r="C94" s="152" t="s">
        <v>939</v>
      </c>
      <c r="D94" s="99" t="str">
        <f>IF(ISBLANK('RESUMEN VIGILANCIA'!D90),"",'RESUMEN VIGILANCIA'!D90)</f>
        <v/>
      </c>
      <c r="E94" s="153" t="str">
        <f>IF(ISBLANK('RESUMEN VIGILANCIA'!E90),"",'RESUMEN VIGILANCIA'!E90)</f>
        <v/>
      </c>
      <c r="F94" s="41" t="str">
        <f>IF(ISBLANK('RESUMEN VIGILANCIA'!F90),"",'RESUMEN VIGILANCIA'!F90)</f>
        <v/>
      </c>
      <c r="G94" s="41" t="str">
        <f>IF(ISBLANK('RESUMEN VIGILANCIA'!G90),"",'RESUMEN VIGILANCIA'!G90)</f>
        <v/>
      </c>
      <c r="H94" s="41" t="str">
        <f>IF(ISBLANK('RESUMEN VIGILANCIA'!H90),"",'RESUMEN VIGILANCIA'!H90)</f>
        <v/>
      </c>
      <c r="I94" s="41" t="str">
        <f>IF(ISBLANK('RESUMEN VIGILANCIA'!I90),"",'RESUMEN VIGILANCIA'!I90)</f>
        <v/>
      </c>
      <c r="J94" s="41" t="str">
        <f>IF(ISBLANK('RESUMEN VIGILANCIA'!J90),"",'RESUMEN VIGILANCIA'!J90)</f>
        <v/>
      </c>
      <c r="K94" s="41" t="str">
        <f>IF(ISBLANK('RESUMEN VIGILANCIA'!K90),"",'RESUMEN VIGILANCIA'!K90)</f>
        <v/>
      </c>
      <c r="L94" s="41" t="str">
        <f>IF(ISBLANK('RESUMEN VIGILANCIA'!L90),"",'RESUMEN VIGILANCIA'!L90)</f>
        <v/>
      </c>
      <c r="M94" s="41" t="str">
        <f>IF(ISBLANK('RESUMEN VIGILANCIA'!M90),"",'RESUMEN VIGILANCIA'!M90)</f>
        <v/>
      </c>
      <c r="N94" s="41" t="str">
        <f>IF(ISBLANK('RESUMEN VIGILANCIA'!N90),"",'RESUMEN VIGILANCIA'!N90)</f>
        <v/>
      </c>
      <c r="O94" s="124" t="str">
        <f>IF(ISBLANK('RESUMEN VIGILANCIA'!O90),"",'RESUMEN VIGILANCIA'!O90)</f>
        <v/>
      </c>
      <c r="P94" s="99" t="str">
        <f>IF(ISBLANK('RESUMEN VIGILANCIA'!P90),"",'RESUMEN VIGILANCIA'!P90)</f>
        <v/>
      </c>
      <c r="Q94" s="128" t="str">
        <f>IF(ISBLANK('RESUMEN VIGILANCIA'!Q90),"",'RESUMEN VIGILANCIA'!Q90)</f>
        <v/>
      </c>
      <c r="R94" s="124" t="str">
        <f>IF(ISBLANK('RESUMEN VIGILANCIA'!R90),"",'RESUMEN VIGILANCIA'!R90)</f>
        <v/>
      </c>
      <c r="S94" s="124" t="str">
        <f>IF(ISBLANK('RESUMEN VIGILANCIA'!S90),"",'RESUMEN VIGILANCIA'!S90)</f>
        <v/>
      </c>
      <c r="T94" s="124" t="str">
        <f>IF(ISBLANK('RESUMEN VIGILANCIA'!T90),"",'RESUMEN VIGILANCIA'!T90)</f>
        <v/>
      </c>
      <c r="U94" s="124" t="str">
        <f>IF(ISBLANK('RESUMEN VIGILANCIA'!U90),"",'RESUMEN VIGILANCIA'!U90)</f>
        <v/>
      </c>
      <c r="V94" s="124" t="str">
        <f>IF(ISBLANK('RESUMEN VIGILANCIA'!V90),"",'RESUMEN VIGILANCIA'!V90)</f>
        <v/>
      </c>
      <c r="W94" s="124" t="str">
        <f>IF(ISBLANK('RESUMEN VIGILANCIA'!W90),"",'RESUMEN VIGILANCIA'!W90)</f>
        <v/>
      </c>
      <c r="X94" s="124" t="str">
        <f>IF(ISBLANK('RESUMEN VIGILANCIA'!X90),"",'RESUMEN VIGILANCIA'!X90)</f>
        <v/>
      </c>
      <c r="Y94" s="124" t="str">
        <f>IF(ISBLANK('RESUMEN VIGILANCIA'!Y90),"",'RESUMEN VIGILANCIA'!Y90)</f>
        <v/>
      </c>
      <c r="Z94" s="124" t="str">
        <f>IF(ISBLANK('RESUMEN VIGILANCIA'!Z90),"",'RESUMEN VIGILANCIA'!Z90)</f>
        <v/>
      </c>
      <c r="AA94" s="124" t="str">
        <f>IF(ISBLANK('RESUMEN VIGILANCIA'!AA90),"",'RESUMEN VIGILANCIA'!AA90)</f>
        <v/>
      </c>
      <c r="AB94" s="99" t="str">
        <f>IF(ISBLANK('RESUMEN VIGILANCIA'!AB90),"",'RESUMEN VIGILANCIA'!AB90)</f>
        <v/>
      </c>
      <c r="AC94" s="115">
        <f t="shared" si="1"/>
        <v>0</v>
      </c>
      <c r="AD94" s="292"/>
      <c r="AE94" s="292"/>
    </row>
    <row r="95" spans="1:31" s="52" customFormat="1" ht="20.100000000000001" customHeight="1" x14ac:dyDescent="0.25">
      <c r="A95" s="53" t="s">
        <v>185</v>
      </c>
      <c r="B95" s="54" t="s">
        <v>187</v>
      </c>
      <c r="C95" s="152" t="s">
        <v>940</v>
      </c>
      <c r="D95" s="99" t="str">
        <f>IF(ISBLANK('RESUMEN VIGILANCIA'!D99),"",'RESUMEN VIGILANCIA'!D99)</f>
        <v/>
      </c>
      <c r="E95" s="153">
        <f>IF(ISBLANK('RESUMEN VIGILANCIA'!E99),"",'RESUMEN VIGILANCIA'!E99)</f>
        <v>17000</v>
      </c>
      <c r="F95" s="41">
        <f>IF(ISBLANK('RESUMEN VIGILANCIA'!F99),"",'RESUMEN VIGILANCIA'!F99)</f>
        <v>17000</v>
      </c>
      <c r="G95" s="41">
        <f>IF(ISBLANK('RESUMEN VIGILANCIA'!G99),"",'RESUMEN VIGILANCIA'!G99)</f>
        <v>17000</v>
      </c>
      <c r="H95" s="41">
        <f>IF(ISBLANK('RESUMEN VIGILANCIA'!H99),"",'RESUMEN VIGILANCIA'!H99)</f>
        <v>17000</v>
      </c>
      <c r="I95" s="41">
        <f>IF(ISBLANK('RESUMEN VIGILANCIA'!I99),"",'RESUMEN VIGILANCIA'!I99)</f>
        <v>26000</v>
      </c>
      <c r="J95" s="41">
        <f>IF(ISBLANK('RESUMEN VIGILANCIA'!J99),"",'RESUMEN VIGILANCIA'!J99)</f>
        <v>26000</v>
      </c>
      <c r="K95" s="41">
        <f>IF(ISBLANK('RESUMEN VIGILANCIA'!K99),"",'RESUMEN VIGILANCIA'!K99)</f>
        <v>35000</v>
      </c>
      <c r="L95" s="41">
        <f>IF(ISBLANK('RESUMEN VIGILANCIA'!L99),"",'RESUMEN VIGILANCIA'!L99)</f>
        <v>35000</v>
      </c>
      <c r="M95" s="41">
        <f>IF(ISBLANK('RESUMEN VIGILANCIA'!M99),"",'RESUMEN VIGILANCIA'!M99)</f>
        <v>35000</v>
      </c>
      <c r="N95" s="41">
        <f>IF(ISBLANK('RESUMEN VIGILANCIA'!N99),"",'RESUMEN VIGILANCIA'!N99)</f>
        <v>35000</v>
      </c>
      <c r="O95" s="124">
        <f>IF(ISBLANK('RESUMEN VIGILANCIA'!O99),"",'RESUMEN VIGILANCIA'!O99)</f>
        <v>50000</v>
      </c>
      <c r="P95" s="99">
        <f>IF(ISBLANK('RESUMEN VIGILANCIA'!P99),"",'RESUMEN VIGILANCIA'!P99)</f>
        <v>50000</v>
      </c>
      <c r="Q95" s="128">
        <f>IF(ISBLANK('RESUMEN VIGILANCIA'!Q99),"",'RESUMEN VIGILANCIA'!Q99)</f>
        <v>80000</v>
      </c>
      <c r="R95" s="124">
        <f>IF(ISBLANK('RESUMEN VIGILANCIA'!R99),"",'RESUMEN VIGILANCIA'!R99)</f>
        <v>80000</v>
      </c>
      <c r="S95" s="124">
        <f>IF(ISBLANK('RESUMEN VIGILANCIA'!S99),"",'RESUMEN VIGILANCIA'!S99)</f>
        <v>140000</v>
      </c>
      <c r="T95" s="124">
        <f>IF(ISBLANK('RESUMEN VIGILANCIA'!T99),"",'RESUMEN VIGILANCIA'!T99)</f>
        <v>140000</v>
      </c>
      <c r="U95" s="124">
        <f>IF(ISBLANK('RESUMEN VIGILANCIA'!U99),"",'RESUMEN VIGILANCIA'!U99)</f>
        <v>400000</v>
      </c>
      <c r="V95" s="124">
        <f>IF(ISBLANK('RESUMEN VIGILANCIA'!V99),"",'RESUMEN VIGILANCIA'!V99)</f>
        <v>625000</v>
      </c>
      <c r="W95" s="124">
        <f>IF(ISBLANK('RESUMEN VIGILANCIA'!W99),"",'RESUMEN VIGILANCIA'!W99)</f>
        <v>1000000</v>
      </c>
      <c r="X95" s="124">
        <f>IF(ISBLANK('RESUMEN VIGILANCIA'!X99),"",'RESUMEN VIGILANCIA'!X99)</f>
        <v>1200000</v>
      </c>
      <c r="Y95" s="124" t="str">
        <f>IF(ISBLANK('RESUMEN VIGILANCIA'!Y99),"",'RESUMEN VIGILANCIA'!Y99)</f>
        <v/>
      </c>
      <c r="Z95" s="124" t="str">
        <f>IF(ISBLANK('RESUMEN VIGILANCIA'!Z99),"",'RESUMEN VIGILANCIA'!Z99)</f>
        <v/>
      </c>
      <c r="AA95" s="124" t="str">
        <f>IF(ISBLANK('RESUMEN VIGILANCIA'!AA99),"",'RESUMEN VIGILANCIA'!AA99)</f>
        <v/>
      </c>
      <c r="AB95" s="99" t="str">
        <f>IF(ISBLANK('RESUMEN VIGILANCIA'!AB99),"",'RESUMEN VIGILANCIA'!AB99)</f>
        <v/>
      </c>
      <c r="AC95" s="115">
        <f t="shared" si="1"/>
        <v>4025000</v>
      </c>
      <c r="AD95" s="292"/>
      <c r="AE95" s="292"/>
    </row>
    <row r="96" spans="1:31" s="52" customFormat="1" ht="20.100000000000001" customHeight="1" x14ac:dyDescent="0.25">
      <c r="A96" s="56" t="s">
        <v>291</v>
      </c>
      <c r="B96" s="57" t="s">
        <v>293</v>
      </c>
      <c r="C96" s="150" t="s">
        <v>938</v>
      </c>
      <c r="D96" s="100" t="str">
        <f>IF(ISBLANK('RESUMEN VIGILANCIA'!D100),"",'RESUMEN VIGILANCIA'!D100)</f>
        <v/>
      </c>
      <c r="E96" s="151">
        <f>IF(ISBLANK('RESUMEN VIGILANCIA'!E100),"",'RESUMEN VIGILANCIA'!E100)</f>
        <v>1500</v>
      </c>
      <c r="F96" s="43">
        <f>IF(ISBLANK('RESUMEN VIGILANCIA'!F100),"",'RESUMEN VIGILANCIA'!F100)</f>
        <v>1500</v>
      </c>
      <c r="G96" s="175" t="str">
        <f>IF(ISBLANK('RESUMEN VIGILANCIA'!G100),"",'RESUMEN VIGILANCIA'!G100)</f>
        <v>ü</v>
      </c>
      <c r="H96" s="175" t="str">
        <f>IF(ISBLANK('RESUMEN VIGILANCIA'!H100),"",'RESUMEN VIGILANCIA'!H100)</f>
        <v>ü</v>
      </c>
      <c r="I96" s="175" t="str">
        <f>IF(ISBLANK('RESUMEN VIGILANCIA'!I100),"",'RESUMEN VIGILANCIA'!I100)</f>
        <v>ü</v>
      </c>
      <c r="J96" s="175" t="str">
        <f>IF(ISBLANK('RESUMEN VIGILANCIA'!J100),"",'RESUMEN VIGILANCIA'!J100)</f>
        <v>ü</v>
      </c>
      <c r="K96" s="175" t="str">
        <f>IF(ISBLANK('RESUMEN VIGILANCIA'!K100),"",'RESUMEN VIGILANCIA'!K100)</f>
        <v>ü</v>
      </c>
      <c r="L96" s="175" t="str">
        <f>IF(ISBLANK('RESUMEN VIGILANCIA'!L100),"",'RESUMEN VIGILANCIA'!L100)</f>
        <v>ü</v>
      </c>
      <c r="M96" s="175" t="str">
        <f>IF(ISBLANK('RESUMEN VIGILANCIA'!M100),"",'RESUMEN VIGILANCIA'!M100)</f>
        <v>ü</v>
      </c>
      <c r="N96" s="175" t="str">
        <f>IF(ISBLANK('RESUMEN VIGILANCIA'!N100),"",'RESUMEN VIGILANCIA'!N100)</f>
        <v>ü</v>
      </c>
      <c r="O96" s="176" t="str">
        <f>IF(ISBLANK('RESUMEN VIGILANCIA'!O100),"",'RESUMEN VIGILANCIA'!O100)</f>
        <v>ü</v>
      </c>
      <c r="P96" s="177" t="str">
        <f>IF(ISBLANK('RESUMEN VIGILANCIA'!P100),"",'RESUMEN VIGILANCIA'!P100)</f>
        <v>ü</v>
      </c>
      <c r="Q96" s="188" t="str">
        <f>IF(ISBLANK('RESUMEN VIGILANCIA'!Q100),"",'RESUMEN VIGILANCIA'!Q100)</f>
        <v>ü</v>
      </c>
      <c r="R96" s="123">
        <f>IF(ISBLANK('RESUMEN VIGILANCIA'!R100),"",'RESUMEN VIGILANCIA'!R100)</f>
        <v>80000</v>
      </c>
      <c r="S96" s="123">
        <f>IF(ISBLANK('RESUMEN VIGILANCIA'!S100),"",'RESUMEN VIGILANCIA'!S100)</f>
        <v>140000</v>
      </c>
      <c r="T96" s="123">
        <f>IF(ISBLANK('RESUMEN VIGILANCIA'!T100),"",'RESUMEN VIGILANCIA'!T100)</f>
        <v>140000</v>
      </c>
      <c r="U96" s="123">
        <f>IF(ISBLANK('RESUMEN VIGILANCIA'!U100),"",'RESUMEN VIGILANCIA'!U100)</f>
        <v>200000</v>
      </c>
      <c r="V96" s="123">
        <f>IF(ISBLANK('RESUMEN VIGILANCIA'!V100),"",'RESUMEN VIGILANCIA'!V100)</f>
        <v>425000</v>
      </c>
      <c r="W96" s="123">
        <f>IF(ISBLANK('RESUMEN VIGILANCIA'!W100),"",'RESUMEN VIGILANCIA'!W100)</f>
        <v>1000000</v>
      </c>
      <c r="X96" s="123" t="str">
        <f>IF(ISBLANK('RESUMEN VIGILANCIA'!X100),"",'RESUMEN VIGILANCIA'!X100)</f>
        <v/>
      </c>
      <c r="Y96" s="123" t="str">
        <f>IF(ISBLANK('RESUMEN VIGILANCIA'!Y100),"",'RESUMEN VIGILANCIA'!Y100)</f>
        <v/>
      </c>
      <c r="Z96" s="123" t="str">
        <f>IF(ISBLANK('RESUMEN VIGILANCIA'!Z100),"",'RESUMEN VIGILANCIA'!Z100)</f>
        <v/>
      </c>
      <c r="AA96" s="123" t="str">
        <f>IF(ISBLANK('RESUMEN VIGILANCIA'!AA100),"",'RESUMEN VIGILANCIA'!AA100)</f>
        <v/>
      </c>
      <c r="AB96" s="100" t="str">
        <f>IF(ISBLANK('RESUMEN VIGILANCIA'!AB100),"",'RESUMEN VIGILANCIA'!AB100)</f>
        <v/>
      </c>
      <c r="AC96" s="114">
        <f t="shared" si="1"/>
        <v>1988000</v>
      </c>
      <c r="AD96" s="291"/>
      <c r="AE96" s="291"/>
    </row>
    <row r="97" spans="1:31" s="52" customFormat="1" ht="20.100000000000001" customHeight="1" x14ac:dyDescent="0.25">
      <c r="A97" s="53" t="s">
        <v>472</v>
      </c>
      <c r="B97" s="54" t="s">
        <v>473</v>
      </c>
      <c r="C97" s="152" t="s">
        <v>939</v>
      </c>
      <c r="D97" s="99" t="str">
        <f>IF(ISBLANK('RESUMEN VIGILANCIA'!D104),"",'RESUMEN VIGILANCIA'!D104)</f>
        <v/>
      </c>
      <c r="E97" s="153" t="str">
        <f>IF(ISBLANK('RESUMEN VIGILANCIA'!E104),"",'RESUMEN VIGILANCIA'!E104)</f>
        <v/>
      </c>
      <c r="F97" s="41" t="str">
        <f>IF(ISBLANK('RESUMEN VIGILANCIA'!F104),"",'RESUMEN VIGILANCIA'!F104)</f>
        <v/>
      </c>
      <c r="G97" s="41" t="str">
        <f>IF(ISBLANK('RESUMEN VIGILANCIA'!G104),"",'RESUMEN VIGILANCIA'!G104)</f>
        <v/>
      </c>
      <c r="H97" s="41" t="str">
        <f>IF(ISBLANK('RESUMEN VIGILANCIA'!H104),"",'RESUMEN VIGILANCIA'!H104)</f>
        <v/>
      </c>
      <c r="I97" s="41" t="str">
        <f>IF(ISBLANK('RESUMEN VIGILANCIA'!I104),"",'RESUMEN VIGILANCIA'!I104)</f>
        <v/>
      </c>
      <c r="J97" s="41" t="str">
        <f>IF(ISBLANK('RESUMEN VIGILANCIA'!J104),"",'RESUMEN VIGILANCIA'!J104)</f>
        <v/>
      </c>
      <c r="K97" s="41" t="str">
        <f>IF(ISBLANK('RESUMEN VIGILANCIA'!K104),"",'RESUMEN VIGILANCIA'!K104)</f>
        <v/>
      </c>
      <c r="L97" s="41" t="str">
        <f>IF(ISBLANK('RESUMEN VIGILANCIA'!L104),"",'RESUMEN VIGILANCIA'!L104)</f>
        <v/>
      </c>
      <c r="M97" s="41" t="str">
        <f>IF(ISBLANK('RESUMEN VIGILANCIA'!M104),"",'RESUMEN VIGILANCIA'!M104)</f>
        <v/>
      </c>
      <c r="N97" s="41" t="str">
        <f>IF(ISBLANK('RESUMEN VIGILANCIA'!N104),"",'RESUMEN VIGILANCIA'!N104)</f>
        <v/>
      </c>
      <c r="O97" s="124" t="str">
        <f>IF(ISBLANK('RESUMEN VIGILANCIA'!O104),"",'RESUMEN VIGILANCIA'!O104)</f>
        <v/>
      </c>
      <c r="P97" s="99" t="str">
        <f>IF(ISBLANK('RESUMEN VIGILANCIA'!P104),"",'RESUMEN VIGILANCIA'!P104)</f>
        <v/>
      </c>
      <c r="Q97" s="128" t="str">
        <f>IF(ISBLANK('RESUMEN VIGILANCIA'!Q104),"",'RESUMEN VIGILANCIA'!Q104)</f>
        <v/>
      </c>
      <c r="R97" s="124" t="str">
        <f>IF(ISBLANK('RESUMEN VIGILANCIA'!R104),"",'RESUMEN VIGILANCIA'!R104)</f>
        <v/>
      </c>
      <c r="S97" s="124" t="str">
        <f>IF(ISBLANK('RESUMEN VIGILANCIA'!S104),"",'RESUMEN VIGILANCIA'!S104)</f>
        <v/>
      </c>
      <c r="T97" s="124" t="str">
        <f>IF(ISBLANK('RESUMEN VIGILANCIA'!T104),"",'RESUMEN VIGILANCIA'!T104)</f>
        <v/>
      </c>
      <c r="U97" s="124" t="str">
        <f>IF(ISBLANK('RESUMEN VIGILANCIA'!U104),"",'RESUMEN VIGILANCIA'!U104)</f>
        <v/>
      </c>
      <c r="V97" s="124" t="str">
        <f>IF(ISBLANK('RESUMEN VIGILANCIA'!V104),"",'RESUMEN VIGILANCIA'!V104)</f>
        <v/>
      </c>
      <c r="W97" s="124" t="str">
        <f>IF(ISBLANK('RESUMEN VIGILANCIA'!W104),"",'RESUMEN VIGILANCIA'!W104)</f>
        <v/>
      </c>
      <c r="X97" s="124" t="str">
        <f>IF(ISBLANK('RESUMEN VIGILANCIA'!X104),"",'RESUMEN VIGILANCIA'!X104)</f>
        <v/>
      </c>
      <c r="Y97" s="124" t="str">
        <f>IF(ISBLANK('RESUMEN VIGILANCIA'!Y104),"",'RESUMEN VIGILANCIA'!Y104)</f>
        <v/>
      </c>
      <c r="Z97" s="124" t="str">
        <f>IF(ISBLANK('RESUMEN VIGILANCIA'!Z104),"",'RESUMEN VIGILANCIA'!Z104)</f>
        <v/>
      </c>
      <c r="AA97" s="124" t="str">
        <f>IF(ISBLANK('RESUMEN VIGILANCIA'!AA104),"",'RESUMEN VIGILANCIA'!AA104)</f>
        <v/>
      </c>
      <c r="AB97" s="99" t="str">
        <f>IF(ISBLANK('RESUMEN VIGILANCIA'!AB104),"",'RESUMEN VIGILANCIA'!AB104)</f>
        <v/>
      </c>
      <c r="AC97" s="115">
        <f t="shared" si="1"/>
        <v>0</v>
      </c>
      <c r="AD97" s="292"/>
      <c r="AE97" s="292"/>
    </row>
    <row r="98" spans="1:31" s="52" customFormat="1" ht="20.100000000000001" customHeight="1" x14ac:dyDescent="0.25">
      <c r="A98" s="56" t="s">
        <v>418</v>
      </c>
      <c r="B98" s="57" t="s">
        <v>420</v>
      </c>
      <c r="C98" s="150" t="s">
        <v>941</v>
      </c>
      <c r="D98" s="100" t="str">
        <f>IF(ISBLANK('RESUMEN VIGILANCIA'!D105),"",'RESUMEN VIGILANCIA'!D105)</f>
        <v/>
      </c>
      <c r="E98" s="151" t="str">
        <f>IF(ISBLANK('RESUMEN VIGILANCIA'!E105),"",'RESUMEN VIGILANCIA'!E105)</f>
        <v/>
      </c>
      <c r="F98" s="43" t="str">
        <f>IF(ISBLANK('RESUMEN VIGILANCIA'!F105),"",'RESUMEN VIGILANCIA'!F105)</f>
        <v/>
      </c>
      <c r="G98" s="43" t="str">
        <f>IF(ISBLANK('RESUMEN VIGILANCIA'!G105),"",'RESUMEN VIGILANCIA'!G105)</f>
        <v/>
      </c>
      <c r="H98" s="43">
        <f>IF(ISBLANK('RESUMEN VIGILANCIA'!H105),"",'RESUMEN VIGILANCIA'!H105)</f>
        <v>5000</v>
      </c>
      <c r="I98" s="43" t="str">
        <f>IF(ISBLANK('RESUMEN VIGILANCIA'!I105),"",'RESUMEN VIGILANCIA'!I105)</f>
        <v/>
      </c>
      <c r="J98" s="43" t="str">
        <f>IF(ISBLANK('RESUMEN VIGILANCIA'!J105),"",'RESUMEN VIGILANCIA'!J105)</f>
        <v/>
      </c>
      <c r="K98" s="43" t="str">
        <f>IF(ISBLANK('RESUMEN VIGILANCIA'!K105),"",'RESUMEN VIGILANCIA'!K105)</f>
        <v/>
      </c>
      <c r="L98" s="43">
        <f>IF(ISBLANK('RESUMEN VIGILANCIA'!L105),"",'RESUMEN VIGILANCIA'!L105)</f>
        <v>10000</v>
      </c>
      <c r="M98" s="43">
        <f>IF(ISBLANK('RESUMEN VIGILANCIA'!M105),"",'RESUMEN VIGILANCIA'!M105)</f>
        <v>10000</v>
      </c>
      <c r="N98" s="43" t="str">
        <f>IF(ISBLANK('RESUMEN VIGILANCIA'!N105),"",'RESUMEN VIGILANCIA'!N105)</f>
        <v/>
      </c>
      <c r="O98" s="123" t="str">
        <f>IF(ISBLANK('RESUMEN VIGILANCIA'!O105),"",'RESUMEN VIGILANCIA'!O105)</f>
        <v/>
      </c>
      <c r="P98" s="100" t="str">
        <f>IF(ISBLANK('RESUMEN VIGILANCIA'!P105),"",'RESUMEN VIGILANCIA'!P105)</f>
        <v/>
      </c>
      <c r="Q98" s="130" t="str">
        <f>IF(ISBLANK('RESUMEN VIGILANCIA'!Q105),"",'RESUMEN VIGILANCIA'!Q105)</f>
        <v/>
      </c>
      <c r="R98" s="123" t="str">
        <f>IF(ISBLANK('RESUMEN VIGILANCIA'!R105),"",'RESUMEN VIGILANCIA'!R105)</f>
        <v/>
      </c>
      <c r="S98" s="123" t="str">
        <f>IF(ISBLANK('RESUMEN VIGILANCIA'!S105),"",'RESUMEN VIGILANCIA'!S105)</f>
        <v/>
      </c>
      <c r="T98" s="123" t="str">
        <f>IF(ISBLANK('RESUMEN VIGILANCIA'!T105),"",'RESUMEN VIGILANCIA'!T105)</f>
        <v/>
      </c>
      <c r="U98" s="123" t="str">
        <f>IF(ISBLANK('RESUMEN VIGILANCIA'!U105),"",'RESUMEN VIGILANCIA'!U105)</f>
        <v/>
      </c>
      <c r="V98" s="123" t="str">
        <f>IF(ISBLANK('RESUMEN VIGILANCIA'!V105),"",'RESUMEN VIGILANCIA'!V105)</f>
        <v/>
      </c>
      <c r="W98" s="123">
        <f>IF(ISBLANK('RESUMEN VIGILANCIA'!W105),"",'RESUMEN VIGILANCIA'!W105)</f>
        <v>500000</v>
      </c>
      <c r="X98" s="123" t="str">
        <f>IF(ISBLANK('RESUMEN VIGILANCIA'!X105),"",'RESUMEN VIGILANCIA'!X105)</f>
        <v/>
      </c>
      <c r="Y98" s="123" t="str">
        <f>IF(ISBLANK('RESUMEN VIGILANCIA'!Y105),"",'RESUMEN VIGILANCIA'!Y105)</f>
        <v/>
      </c>
      <c r="Z98" s="123" t="str">
        <f>IF(ISBLANK('RESUMEN VIGILANCIA'!Z105),"",'RESUMEN VIGILANCIA'!Z105)</f>
        <v/>
      </c>
      <c r="AA98" s="123" t="str">
        <f>IF(ISBLANK('RESUMEN VIGILANCIA'!AA105),"",'RESUMEN VIGILANCIA'!AA105)</f>
        <v/>
      </c>
      <c r="AB98" s="100" t="str">
        <f>IF(ISBLANK('RESUMEN VIGILANCIA'!AB105),"",'RESUMEN VIGILANCIA'!AB105)</f>
        <v/>
      </c>
      <c r="AC98" s="114">
        <f t="shared" si="1"/>
        <v>525000</v>
      </c>
      <c r="AD98" s="291"/>
      <c r="AE98" s="291"/>
    </row>
    <row r="99" spans="1:31" s="52" customFormat="1" ht="20.100000000000001" customHeight="1" x14ac:dyDescent="0.25">
      <c r="A99" s="53" t="s">
        <v>578</v>
      </c>
      <c r="B99" s="54" t="s">
        <v>580</v>
      </c>
      <c r="C99" s="152" t="s">
        <v>938</v>
      </c>
      <c r="D99" s="99" t="str">
        <f>IF(ISBLANK('RESUMEN VIGILANCIA'!D127),"",'RESUMEN VIGILANCIA'!D127)</f>
        <v/>
      </c>
      <c r="E99" s="153" t="str">
        <f>IF(ISBLANK('RESUMEN VIGILANCIA'!E127),"",'RESUMEN VIGILANCIA'!E127)</f>
        <v/>
      </c>
      <c r="F99" s="41" t="str">
        <f>IF(ISBLANK('RESUMEN VIGILANCIA'!F127),"",'RESUMEN VIGILANCIA'!F127)</f>
        <v/>
      </c>
      <c r="G99" s="41" t="str">
        <f>IF(ISBLANK('RESUMEN VIGILANCIA'!G127),"",'RESUMEN VIGILANCIA'!G127)</f>
        <v/>
      </c>
      <c r="H99" s="41" t="str">
        <f>IF(ISBLANK('RESUMEN VIGILANCIA'!H127),"",'RESUMEN VIGILANCIA'!H127)</f>
        <v/>
      </c>
      <c r="I99" s="41" t="str">
        <f>IF(ISBLANK('RESUMEN VIGILANCIA'!I127),"",'RESUMEN VIGILANCIA'!I127)</f>
        <v/>
      </c>
      <c r="J99" s="41" t="str">
        <f>IF(ISBLANK('RESUMEN VIGILANCIA'!J127),"",'RESUMEN VIGILANCIA'!J127)</f>
        <v/>
      </c>
      <c r="K99" s="41" t="str">
        <f>IF(ISBLANK('RESUMEN VIGILANCIA'!K127),"",'RESUMEN VIGILANCIA'!K127)</f>
        <v/>
      </c>
      <c r="L99" s="41" t="str">
        <f>IF(ISBLANK('RESUMEN VIGILANCIA'!L127),"",'RESUMEN VIGILANCIA'!L127)</f>
        <v/>
      </c>
      <c r="M99" s="41" t="str">
        <f>IF(ISBLANK('RESUMEN VIGILANCIA'!M127),"",'RESUMEN VIGILANCIA'!M127)</f>
        <v/>
      </c>
      <c r="N99" s="41" t="str">
        <f>IF(ISBLANK('RESUMEN VIGILANCIA'!N127),"",'RESUMEN VIGILANCIA'!N127)</f>
        <v/>
      </c>
      <c r="O99" s="124">
        <f>IF(ISBLANK('RESUMEN VIGILANCIA'!O127),"",'RESUMEN VIGILANCIA'!O127)</f>
        <v>30000</v>
      </c>
      <c r="P99" s="99" t="str">
        <f>IF(ISBLANK('RESUMEN VIGILANCIA'!P127),"",'RESUMEN VIGILANCIA'!P127)</f>
        <v>ü</v>
      </c>
      <c r="Q99" s="128" t="str">
        <f>IF(ISBLANK('RESUMEN VIGILANCIA'!Q127),"",'RESUMEN VIGILANCIA'!Q127)</f>
        <v>ü</v>
      </c>
      <c r="R99" s="124" t="str">
        <f>IF(ISBLANK('RESUMEN VIGILANCIA'!R127),"",'RESUMEN VIGILANCIA'!R127)</f>
        <v>ü</v>
      </c>
      <c r="S99" s="124" t="str">
        <f>IF(ISBLANK('RESUMEN VIGILANCIA'!S127),"",'RESUMEN VIGILANCIA'!S127)</f>
        <v>ü</v>
      </c>
      <c r="T99" s="124" t="str">
        <f>IF(ISBLANK('RESUMEN VIGILANCIA'!T127),"",'RESUMEN VIGILANCIA'!T127)</f>
        <v>ü</v>
      </c>
      <c r="U99" s="124" t="str">
        <f>IF(ISBLANK('RESUMEN VIGILANCIA'!U127),"",'RESUMEN VIGILANCIA'!U127)</f>
        <v>ü</v>
      </c>
      <c r="V99" s="124" t="str">
        <f>IF(ISBLANK('RESUMEN VIGILANCIA'!V127),"",'RESUMEN VIGILANCIA'!V127)</f>
        <v>ü</v>
      </c>
      <c r="W99" s="124" t="str">
        <f>IF(ISBLANK('RESUMEN VIGILANCIA'!W127),"",'RESUMEN VIGILANCIA'!W127)</f>
        <v>ü</v>
      </c>
      <c r="X99" s="124" t="str">
        <f>IF(ISBLANK('RESUMEN VIGILANCIA'!X127),"",'RESUMEN VIGILANCIA'!X127)</f>
        <v>ü</v>
      </c>
      <c r="Y99" s="124" t="str">
        <f>IF(ISBLANK('RESUMEN VIGILANCIA'!Y127),"",'RESUMEN VIGILANCIA'!Y127)</f>
        <v>ü</v>
      </c>
      <c r="Z99" s="124" t="str">
        <f>IF(ISBLANK('RESUMEN VIGILANCIA'!Z127),"",'RESUMEN VIGILANCIA'!Z127)</f>
        <v>ü</v>
      </c>
      <c r="AA99" s="124" t="str">
        <f>IF(ISBLANK('RESUMEN VIGILANCIA'!AA127),"",'RESUMEN VIGILANCIA'!AA127)</f>
        <v>ü</v>
      </c>
      <c r="AB99" s="99" t="str">
        <f>IF(ISBLANK('RESUMEN VIGILANCIA'!AB127),"",'RESUMEN VIGILANCIA'!AB127)</f>
        <v>ü</v>
      </c>
      <c r="AC99" s="115">
        <f t="shared" si="1"/>
        <v>30000</v>
      </c>
      <c r="AD99" s="292"/>
      <c r="AE99" s="292"/>
    </row>
    <row r="100" spans="1:31" s="52" customFormat="1" ht="20.100000000000001" customHeight="1" x14ac:dyDescent="0.25">
      <c r="A100" s="63" t="s">
        <v>875</v>
      </c>
      <c r="B100" s="64" t="s">
        <v>874</v>
      </c>
      <c r="C100" s="155"/>
      <c r="D100" s="102" t="str">
        <f>IF(ISBLANK('RESUMEN VIGILANCIA'!D130),"",'RESUMEN VIGILANCIA'!D130)</f>
        <v/>
      </c>
      <c r="E100" s="156" t="str">
        <f>IF(ISBLANK('RESUMEN VIGILANCIA'!E130),"",'RESUMEN VIGILANCIA'!E130)</f>
        <v/>
      </c>
      <c r="F100" s="45" t="str">
        <f>IF(ISBLANK('RESUMEN VIGILANCIA'!F130),"",'RESUMEN VIGILANCIA'!F130)</f>
        <v/>
      </c>
      <c r="G100" s="45" t="str">
        <f>IF(ISBLANK('RESUMEN VIGILANCIA'!G130),"",'RESUMEN VIGILANCIA'!G130)</f>
        <v/>
      </c>
      <c r="H100" s="45" t="str">
        <f>IF(ISBLANK('RESUMEN VIGILANCIA'!H130),"",'RESUMEN VIGILANCIA'!H130)</f>
        <v/>
      </c>
      <c r="I100" s="45" t="str">
        <f>IF(ISBLANK('RESUMEN VIGILANCIA'!I130),"",'RESUMEN VIGILANCIA'!I130)</f>
        <v/>
      </c>
      <c r="J100" s="45" t="str">
        <f>IF(ISBLANK('RESUMEN VIGILANCIA'!J130),"",'RESUMEN VIGILANCIA'!J130)</f>
        <v/>
      </c>
      <c r="K100" s="45" t="str">
        <f>IF(ISBLANK('RESUMEN VIGILANCIA'!K130),"",'RESUMEN VIGILANCIA'!K130)</f>
        <v/>
      </c>
      <c r="L100" s="45" t="str">
        <f>IF(ISBLANK('RESUMEN VIGILANCIA'!L130),"",'RESUMEN VIGILANCIA'!L130)</f>
        <v/>
      </c>
      <c r="M100" s="45" t="str">
        <f>IF(ISBLANK('RESUMEN VIGILANCIA'!M130),"",'RESUMEN VIGILANCIA'!M130)</f>
        <v/>
      </c>
      <c r="N100" s="45" t="str">
        <f>IF(ISBLANK('RESUMEN VIGILANCIA'!N130),"",'RESUMEN VIGILANCIA'!N130)</f>
        <v/>
      </c>
      <c r="O100" s="125" t="str">
        <f>IF(ISBLANK('RESUMEN VIGILANCIA'!O130),"",'RESUMEN VIGILANCIA'!O130)</f>
        <v/>
      </c>
      <c r="P100" s="102" t="str">
        <f>IF(ISBLANK('RESUMEN VIGILANCIA'!P130),"",'RESUMEN VIGILANCIA'!P130)</f>
        <v/>
      </c>
      <c r="Q100" s="131" t="str">
        <f>IF(ISBLANK('RESUMEN VIGILANCIA'!Q130),"",'RESUMEN VIGILANCIA'!Q130)</f>
        <v/>
      </c>
      <c r="R100" s="125" t="str">
        <f>IF(ISBLANK('RESUMEN VIGILANCIA'!R130),"",'RESUMEN VIGILANCIA'!R130)</f>
        <v/>
      </c>
      <c r="S100" s="125" t="str">
        <f>IF(ISBLANK('RESUMEN VIGILANCIA'!S130),"",'RESUMEN VIGILANCIA'!S130)</f>
        <v/>
      </c>
      <c r="T100" s="125" t="str">
        <f>IF(ISBLANK('RESUMEN VIGILANCIA'!T130),"",'RESUMEN VIGILANCIA'!T130)</f>
        <v/>
      </c>
      <c r="U100" s="125" t="str">
        <f>IF(ISBLANK('RESUMEN VIGILANCIA'!U130),"",'RESUMEN VIGILANCIA'!U130)</f>
        <v/>
      </c>
      <c r="V100" s="125" t="str">
        <f>IF(ISBLANK('RESUMEN VIGILANCIA'!V130),"",'RESUMEN VIGILANCIA'!V130)</f>
        <v/>
      </c>
      <c r="W100" s="125" t="str">
        <f>IF(ISBLANK('RESUMEN VIGILANCIA'!W130),"",'RESUMEN VIGILANCIA'!W130)</f>
        <v/>
      </c>
      <c r="X100" s="125" t="str">
        <f>IF(ISBLANK('RESUMEN VIGILANCIA'!X130),"",'RESUMEN VIGILANCIA'!X130)</f>
        <v/>
      </c>
      <c r="Y100" s="125" t="str">
        <f>IF(ISBLANK('RESUMEN VIGILANCIA'!Y130),"",'RESUMEN VIGILANCIA'!Y130)</f>
        <v/>
      </c>
      <c r="Z100" s="125" t="str">
        <f>IF(ISBLANK('RESUMEN VIGILANCIA'!Z130),"",'RESUMEN VIGILANCIA'!Z130)</f>
        <v/>
      </c>
      <c r="AA100" s="125" t="str">
        <f>IF(ISBLANK('RESUMEN VIGILANCIA'!AA130),"",'RESUMEN VIGILANCIA'!AA130)</f>
        <v/>
      </c>
      <c r="AB100" s="102" t="str">
        <f>IF(ISBLANK('RESUMEN VIGILANCIA'!AB130),"",'RESUMEN VIGILANCIA'!AB130)</f>
        <v/>
      </c>
      <c r="AC100" s="117">
        <f t="shared" si="1"/>
        <v>0</v>
      </c>
      <c r="AD100" s="295"/>
      <c r="AE100" s="295">
        <v>43191</v>
      </c>
    </row>
    <row r="101" spans="1:31" s="52" customFormat="1" ht="20.100000000000001" customHeight="1" x14ac:dyDescent="0.25">
      <c r="A101" s="163" t="s">
        <v>152</v>
      </c>
      <c r="B101" s="164" t="s">
        <v>154</v>
      </c>
      <c r="C101" s="152"/>
      <c r="D101" s="99" t="str">
        <f>IF(ISBLANK('RESUMEN VIGILANCIA'!D97),"",'RESUMEN VIGILANCIA'!D97)</f>
        <v/>
      </c>
      <c r="E101" s="153">
        <f>IF(ISBLANK('RESUMEN VIGILANCIA'!E97),"",'RESUMEN VIGILANCIA'!E97)</f>
        <v>17000</v>
      </c>
      <c r="F101" s="41">
        <f>IF(ISBLANK('RESUMEN VIGILANCIA'!F97),"",'RESUMEN VIGILANCIA'!F97)</f>
        <v>17000</v>
      </c>
      <c r="G101" s="41">
        <f>IF(ISBLANK('RESUMEN VIGILANCIA'!G97),"",'RESUMEN VIGILANCIA'!G97)</f>
        <v>17000</v>
      </c>
      <c r="H101" s="41">
        <f>IF(ISBLANK('RESUMEN VIGILANCIA'!H97),"",'RESUMEN VIGILANCIA'!H97)</f>
        <v>17000</v>
      </c>
      <c r="I101" s="41">
        <f>IF(ISBLANK('RESUMEN VIGILANCIA'!I97),"",'RESUMEN VIGILANCIA'!I97)</f>
        <v>26000</v>
      </c>
      <c r="J101" s="41">
        <f>IF(ISBLANK('RESUMEN VIGILANCIA'!J97),"",'RESUMEN VIGILANCIA'!J97)</f>
        <v>26000</v>
      </c>
      <c r="K101" s="41">
        <f>IF(ISBLANK('RESUMEN VIGILANCIA'!K97),"",'RESUMEN VIGILANCIA'!K97)</f>
        <v>35000</v>
      </c>
      <c r="L101" s="41">
        <f>IF(ISBLANK('RESUMEN VIGILANCIA'!L97),"",'RESUMEN VIGILANCIA'!L97)</f>
        <v>35000</v>
      </c>
      <c r="M101" s="41">
        <f>IF(ISBLANK('RESUMEN VIGILANCIA'!M97),"",'RESUMEN VIGILANCIA'!M97)</f>
        <v>35000</v>
      </c>
      <c r="N101" s="41">
        <f>IF(ISBLANK('RESUMEN VIGILANCIA'!N97),"",'RESUMEN VIGILANCIA'!N97)</f>
        <v>35000</v>
      </c>
      <c r="O101" s="124">
        <f>IF(ISBLANK('RESUMEN VIGILANCIA'!O97),"",'RESUMEN VIGILANCIA'!O97)</f>
        <v>50000</v>
      </c>
      <c r="P101" s="99">
        <f>IF(ISBLANK('RESUMEN VIGILANCIA'!P97),"",'RESUMEN VIGILANCIA'!P97)</f>
        <v>50000</v>
      </c>
      <c r="Q101" s="128">
        <f>IF(ISBLANK('RESUMEN VIGILANCIA'!Q97),"",'RESUMEN VIGILANCIA'!Q97)</f>
        <v>80000</v>
      </c>
      <c r="R101" s="124">
        <f>IF(ISBLANK('RESUMEN VIGILANCIA'!R97),"",'RESUMEN VIGILANCIA'!R97)</f>
        <v>80000</v>
      </c>
      <c r="S101" s="124">
        <f>IF(ISBLANK('RESUMEN VIGILANCIA'!S97),"",'RESUMEN VIGILANCIA'!S97)</f>
        <v>140000</v>
      </c>
      <c r="T101" s="124">
        <f>IF(ISBLANK('RESUMEN VIGILANCIA'!T97),"",'RESUMEN VIGILANCIA'!T97)</f>
        <v>140000</v>
      </c>
      <c r="U101" s="211" t="s">
        <v>847</v>
      </c>
      <c r="V101" s="212" t="str">
        <f>IF(ISBLANK('RESUMEN VIGILANCIA'!V97),"",'RESUMEN VIGILANCIA'!V97)</f>
        <v/>
      </c>
      <c r="W101" s="212" t="str">
        <f>IF(ISBLANK('RESUMEN VIGILANCIA'!W97),"",'RESUMEN VIGILANCIA'!W97)</f>
        <v/>
      </c>
      <c r="X101" s="212" t="str">
        <f>IF(ISBLANK('RESUMEN VIGILANCIA'!X97),"",'RESUMEN VIGILANCIA'!X97)</f>
        <v/>
      </c>
      <c r="Y101" s="212" t="str">
        <f>IF(ISBLANK('RESUMEN VIGILANCIA'!Y97),"",'RESUMEN VIGILANCIA'!Y97)</f>
        <v/>
      </c>
      <c r="Z101" s="212" t="str">
        <f>IF(ISBLANK('RESUMEN VIGILANCIA'!Z97),"",'RESUMEN VIGILANCIA'!Z97)</f>
        <v/>
      </c>
      <c r="AA101" s="212" t="str">
        <f>IF(ISBLANK('RESUMEN VIGILANCIA'!AA97),"",'RESUMEN VIGILANCIA'!AA97)</f>
        <v/>
      </c>
      <c r="AB101" s="196" t="str">
        <f>IF(ISBLANK('RESUMEN VIGILANCIA'!AB97),"",'RESUMEN VIGILANCIA'!AB97)</f>
        <v/>
      </c>
      <c r="AC101" s="115">
        <f t="shared" si="1"/>
        <v>800000</v>
      </c>
      <c r="AD101" s="292">
        <v>43221</v>
      </c>
      <c r="AE101" s="292"/>
    </row>
    <row r="102" spans="1:31" s="52" customFormat="1" ht="20.100000000000001" customHeight="1" x14ac:dyDescent="0.25">
      <c r="A102" s="53" t="s">
        <v>714</v>
      </c>
      <c r="B102" s="54" t="s">
        <v>154</v>
      </c>
      <c r="C102" s="152" t="s">
        <v>940</v>
      </c>
      <c r="D102" s="182" t="str">
        <f>IF(ISBLANK('RESUMEN VIGILANCIA'!D98),"",'RESUMEN VIGILANCIA'!D98)</f>
        <v/>
      </c>
      <c r="E102" s="215" t="str">
        <f>IF(ISBLANK('RESUMEN VIGILANCIA'!E98),"",'RESUMEN VIGILANCIA'!E98)</f>
        <v/>
      </c>
      <c r="F102" s="184" t="str">
        <f>IF(ISBLANK('RESUMEN VIGILANCIA'!F98),"",'RESUMEN VIGILANCIA'!F98)</f>
        <v/>
      </c>
      <c r="G102" s="184" t="str">
        <f>IF(ISBLANK('RESUMEN VIGILANCIA'!G98),"",'RESUMEN VIGILANCIA'!G98)</f>
        <v/>
      </c>
      <c r="H102" s="184" t="str">
        <f>IF(ISBLANK('RESUMEN VIGILANCIA'!H98),"",'RESUMEN VIGILANCIA'!H98)</f>
        <v/>
      </c>
      <c r="I102" s="184" t="str">
        <f>IF(ISBLANK('RESUMEN VIGILANCIA'!I98),"",'RESUMEN VIGILANCIA'!I98)</f>
        <v/>
      </c>
      <c r="J102" s="184" t="str">
        <f>IF(ISBLANK('RESUMEN VIGILANCIA'!J98),"",'RESUMEN VIGILANCIA'!J98)</f>
        <v/>
      </c>
      <c r="K102" s="184" t="str">
        <f>IF(ISBLANK('RESUMEN VIGILANCIA'!K98),"",'RESUMEN VIGILANCIA'!K98)</f>
        <v/>
      </c>
      <c r="L102" s="184" t="str">
        <f>IF(ISBLANK('RESUMEN VIGILANCIA'!L98),"",'RESUMEN VIGILANCIA'!L98)</f>
        <v/>
      </c>
      <c r="M102" s="184" t="str">
        <f>IF(ISBLANK('RESUMEN VIGILANCIA'!M98),"",'RESUMEN VIGILANCIA'!M98)</f>
        <v/>
      </c>
      <c r="N102" s="184" t="str">
        <f>IF(ISBLANK('RESUMEN VIGILANCIA'!N98),"",'RESUMEN VIGILANCIA'!N98)</f>
        <v/>
      </c>
      <c r="O102" s="216" t="str">
        <f>IF(ISBLANK('RESUMEN VIGILANCIA'!O98),"",'RESUMEN VIGILANCIA'!O98)</f>
        <v/>
      </c>
      <c r="P102" s="182" t="str">
        <f>IF(ISBLANK('RESUMEN VIGILANCIA'!P98),"",'RESUMEN VIGILANCIA'!P98)</f>
        <v/>
      </c>
      <c r="Q102" s="217" t="str">
        <f>IF(ISBLANK('RESUMEN VIGILANCIA'!Q98),"",'RESUMEN VIGILANCIA'!Q98)</f>
        <v/>
      </c>
      <c r="R102" s="216" t="str">
        <f>IF(ISBLANK('RESUMEN VIGILANCIA'!R98),"",'RESUMEN VIGILANCIA'!R98)</f>
        <v/>
      </c>
      <c r="S102" s="216" t="str">
        <f>IF(ISBLANK('RESUMEN VIGILANCIA'!S98),"",'RESUMEN VIGILANCIA'!S98)</f>
        <v/>
      </c>
      <c r="T102" s="216" t="str">
        <f>IF(ISBLANK('RESUMEN VIGILANCIA'!T98),"",'RESUMEN VIGILANCIA'!T98)</f>
        <v/>
      </c>
      <c r="U102" s="124">
        <f>IF(ISBLANK('RESUMEN VIGILANCIA'!U98),"",'RESUMEN VIGILANCIA'!U98)</f>
        <v>400000</v>
      </c>
      <c r="V102" s="124">
        <f>IF(ISBLANK('RESUMEN VIGILANCIA'!V98),"",'RESUMEN VIGILANCIA'!V98)</f>
        <v>625000</v>
      </c>
      <c r="W102" s="124">
        <f>IF(ISBLANK('RESUMEN VIGILANCIA'!W98),"",'RESUMEN VIGILANCIA'!W98)</f>
        <v>1000000</v>
      </c>
      <c r="X102" s="124">
        <f>IF(ISBLANK('RESUMEN VIGILANCIA'!X98),"",'RESUMEN VIGILANCIA'!X98)</f>
        <v>1200000</v>
      </c>
      <c r="Y102" s="124" t="str">
        <f>IF(ISBLANK('RESUMEN VIGILANCIA'!Y98),"",'RESUMEN VIGILANCIA'!Y98)</f>
        <v/>
      </c>
      <c r="Z102" s="124" t="str">
        <f>IF(ISBLANK('RESUMEN VIGILANCIA'!Z98),"",'RESUMEN VIGILANCIA'!Z98)</f>
        <v/>
      </c>
      <c r="AA102" s="124" t="str">
        <f>IF(ISBLANK('RESUMEN VIGILANCIA'!AA98),"",'RESUMEN VIGILANCIA'!AA98)</f>
        <v/>
      </c>
      <c r="AB102" s="99" t="str">
        <f>IF(ISBLANK('RESUMEN VIGILANCIA'!AB98),"",'RESUMEN VIGILANCIA'!AB98)</f>
        <v/>
      </c>
      <c r="AC102" s="115">
        <f>SUM(D102:AB102)</f>
        <v>3225000</v>
      </c>
      <c r="AD102" s="292"/>
      <c r="AE102" s="292"/>
    </row>
    <row r="103" spans="1:31" s="52" customFormat="1" ht="20.100000000000001" customHeight="1" x14ac:dyDescent="0.25">
      <c r="A103" s="53" t="s">
        <v>408</v>
      </c>
      <c r="B103" s="54" t="s">
        <v>410</v>
      </c>
      <c r="C103" s="152" t="s">
        <v>940</v>
      </c>
      <c r="D103" s="99" t="str">
        <f>IF(ISBLANK('RESUMEN VIGILANCIA'!D106),"",'RESUMEN VIGILANCIA'!D106)</f>
        <v/>
      </c>
      <c r="E103" s="154">
        <f>IF(ISBLANK('RESUMEN VIGILANCIA'!E106),"",'RESUMEN VIGILANCIA'!E106)</f>
        <v>12000</v>
      </c>
      <c r="F103" s="42">
        <f>IF(ISBLANK('RESUMEN VIGILANCIA'!F106),"",'RESUMEN VIGILANCIA'!F106)</f>
        <v>12000</v>
      </c>
      <c r="G103" s="42">
        <f>IF(ISBLANK('RESUMEN VIGILANCIA'!G106),"",'RESUMEN VIGILANCIA'!G106)</f>
        <v>12000</v>
      </c>
      <c r="H103" s="41">
        <f>IF(ISBLANK('RESUMEN VIGILANCIA'!H106),"",'RESUMEN VIGILANCIA'!H106)</f>
        <v>17000</v>
      </c>
      <c r="I103" s="79" t="str">
        <f>IF(ISBLANK('RESUMEN VIGILANCIA'!I106),"",'RESUMEN VIGILANCIA'!I106)</f>
        <v/>
      </c>
      <c r="J103" s="41">
        <f>IF(ISBLANK('RESUMEN VIGILANCIA'!J106),"",'RESUMEN VIGILANCIA'!J106)</f>
        <v>26000</v>
      </c>
      <c r="K103" s="41">
        <f>IF(ISBLANK('RESUMEN VIGILANCIA'!K106),"",'RESUMEN VIGILANCIA'!K106)</f>
        <v>35000</v>
      </c>
      <c r="L103" s="41">
        <f>IF(ISBLANK('RESUMEN VIGILANCIA'!L106),"",'RESUMEN VIGILANCIA'!L106)</f>
        <v>35000</v>
      </c>
      <c r="M103" s="41">
        <f>IF(ISBLANK('RESUMEN VIGILANCIA'!M106),"",'RESUMEN VIGILANCIA'!M106)</f>
        <v>35000</v>
      </c>
      <c r="N103" s="41">
        <f>IF(ISBLANK('RESUMEN VIGILANCIA'!N106),"",'RESUMEN VIGILANCIA'!N106)</f>
        <v>35000</v>
      </c>
      <c r="O103" s="124">
        <f>IF(ISBLANK('RESUMEN VIGILANCIA'!O106),"",'RESUMEN VIGILANCIA'!O106)</f>
        <v>50000</v>
      </c>
      <c r="P103" s="99">
        <f>IF(ISBLANK('RESUMEN VIGILANCIA'!P106),"",'RESUMEN VIGILANCIA'!P106)</f>
        <v>50000</v>
      </c>
      <c r="Q103" s="128">
        <f>IF(ISBLANK('RESUMEN VIGILANCIA'!Q106),"",'RESUMEN VIGILANCIA'!Q106)</f>
        <v>80000</v>
      </c>
      <c r="R103" s="124">
        <f>IF(ISBLANK('RESUMEN VIGILANCIA'!R106),"",'RESUMEN VIGILANCIA'!R106)</f>
        <v>80000</v>
      </c>
      <c r="S103" s="124">
        <f>IF(ISBLANK('RESUMEN VIGILANCIA'!S106),"",'RESUMEN VIGILANCIA'!S106)</f>
        <v>140000</v>
      </c>
      <c r="T103" s="124">
        <f>IF(ISBLANK('RESUMEN VIGILANCIA'!T106),"",'RESUMEN VIGILANCIA'!T106)</f>
        <v>140000</v>
      </c>
      <c r="U103" s="124">
        <f>IF(ISBLANK('RESUMEN VIGILANCIA'!U106),"",'RESUMEN VIGILANCIA'!U106)</f>
        <v>400000</v>
      </c>
      <c r="V103" s="124">
        <f>IF(ISBLANK('RESUMEN VIGILANCIA'!V106),"",'RESUMEN VIGILANCIA'!V106)</f>
        <v>625000</v>
      </c>
      <c r="W103" s="124">
        <f>IF(ISBLANK('RESUMEN VIGILANCIA'!W106),"",'RESUMEN VIGILANCIA'!W106)</f>
        <v>1000000</v>
      </c>
      <c r="X103" s="124">
        <f>IF(ISBLANK('RESUMEN VIGILANCIA'!X106),"",'RESUMEN VIGILANCIA'!X106)</f>
        <v>1200000</v>
      </c>
      <c r="Y103" s="124" t="str">
        <f>IF(ISBLANK('RESUMEN VIGILANCIA'!Y106),"",'RESUMEN VIGILANCIA'!Y106)</f>
        <v/>
      </c>
      <c r="Z103" s="124" t="str">
        <f>IF(ISBLANK('RESUMEN VIGILANCIA'!Z106),"",'RESUMEN VIGILANCIA'!Z106)</f>
        <v/>
      </c>
      <c r="AA103" s="124" t="str">
        <f>IF(ISBLANK('RESUMEN VIGILANCIA'!AA106),"",'RESUMEN VIGILANCIA'!AA106)</f>
        <v/>
      </c>
      <c r="AB103" s="99" t="str">
        <f>IF(ISBLANK('RESUMEN VIGILANCIA'!AB106),"",'RESUMEN VIGILANCIA'!AB106)</f>
        <v/>
      </c>
      <c r="AC103" s="115">
        <f t="shared" si="1"/>
        <v>3984000</v>
      </c>
      <c r="AD103" s="292"/>
      <c r="AE103" s="292"/>
    </row>
    <row r="104" spans="1:31" s="52" customFormat="1" ht="20.100000000000001" customHeight="1" x14ac:dyDescent="0.25">
      <c r="A104" s="53" t="s">
        <v>280</v>
      </c>
      <c r="B104" s="54" t="s">
        <v>282</v>
      </c>
      <c r="C104" s="152" t="s">
        <v>940</v>
      </c>
      <c r="D104" s="99" t="str">
        <f>IF(ISBLANK('RESUMEN VIGILANCIA'!D107),"",'RESUMEN VIGILANCIA'!D107)</f>
        <v/>
      </c>
      <c r="E104" s="153">
        <f>IF(ISBLANK('RESUMEN VIGILANCIA'!E107),"",'RESUMEN VIGILANCIA'!E107)</f>
        <v>17000</v>
      </c>
      <c r="F104" s="41">
        <f>IF(ISBLANK('RESUMEN VIGILANCIA'!F107),"",'RESUMEN VIGILANCIA'!F107)</f>
        <v>17000</v>
      </c>
      <c r="G104" s="41">
        <f>IF(ISBLANK('RESUMEN VIGILANCIA'!G107),"",'RESUMEN VIGILANCIA'!G107)</f>
        <v>17000</v>
      </c>
      <c r="H104" s="41">
        <f>IF(ISBLANK('RESUMEN VIGILANCIA'!H107),"",'RESUMEN VIGILANCIA'!H107)</f>
        <v>17000</v>
      </c>
      <c r="I104" s="41">
        <f>IF(ISBLANK('RESUMEN VIGILANCIA'!I107),"",'RESUMEN VIGILANCIA'!I107)</f>
        <v>26000</v>
      </c>
      <c r="J104" s="41">
        <f>IF(ISBLANK('RESUMEN VIGILANCIA'!J107),"",'RESUMEN VIGILANCIA'!J107)</f>
        <v>26000</v>
      </c>
      <c r="K104" s="41">
        <f>IF(ISBLANK('RESUMEN VIGILANCIA'!K107),"",'RESUMEN VIGILANCIA'!K107)</f>
        <v>35000</v>
      </c>
      <c r="L104" s="41">
        <f>IF(ISBLANK('RESUMEN VIGILANCIA'!L107),"",'RESUMEN VIGILANCIA'!L107)</f>
        <v>35000</v>
      </c>
      <c r="M104" s="41">
        <f>IF(ISBLANK('RESUMEN VIGILANCIA'!M107),"",'RESUMEN VIGILANCIA'!M107)</f>
        <v>35000</v>
      </c>
      <c r="N104" s="41">
        <f>IF(ISBLANK('RESUMEN VIGILANCIA'!N107),"",'RESUMEN VIGILANCIA'!N107)</f>
        <v>35000</v>
      </c>
      <c r="O104" s="124">
        <f>IF(ISBLANK('RESUMEN VIGILANCIA'!O107),"",'RESUMEN VIGILANCIA'!O107)</f>
        <v>50000</v>
      </c>
      <c r="P104" s="99">
        <f>IF(ISBLANK('RESUMEN VIGILANCIA'!P107),"",'RESUMEN VIGILANCIA'!P107)</f>
        <v>50000</v>
      </c>
      <c r="Q104" s="128">
        <f>IF(ISBLANK('RESUMEN VIGILANCIA'!Q107),"",'RESUMEN VIGILANCIA'!Q107)</f>
        <v>80000</v>
      </c>
      <c r="R104" s="124">
        <f>IF(ISBLANK('RESUMEN VIGILANCIA'!R107),"",'RESUMEN VIGILANCIA'!R107)</f>
        <v>80000</v>
      </c>
      <c r="S104" s="124">
        <f>IF(ISBLANK('RESUMEN VIGILANCIA'!S107),"",'RESUMEN VIGILANCIA'!S107)</f>
        <v>140000</v>
      </c>
      <c r="T104" s="124">
        <f>IF(ISBLANK('RESUMEN VIGILANCIA'!T107),"",'RESUMEN VIGILANCIA'!T107)</f>
        <v>140000</v>
      </c>
      <c r="U104" s="124">
        <f>IF(ISBLANK('RESUMEN VIGILANCIA'!U107),"",'RESUMEN VIGILANCIA'!U107)</f>
        <v>400000</v>
      </c>
      <c r="V104" s="124">
        <f>IF(ISBLANK('RESUMEN VIGILANCIA'!V107),"",'RESUMEN VIGILANCIA'!V107)</f>
        <v>625000</v>
      </c>
      <c r="W104" s="124">
        <f>IF(ISBLANK('RESUMEN VIGILANCIA'!W107),"",'RESUMEN VIGILANCIA'!W107)</f>
        <v>1000000</v>
      </c>
      <c r="X104" s="124">
        <f>IF(ISBLANK('RESUMEN VIGILANCIA'!X107),"",'RESUMEN VIGILANCIA'!X107)</f>
        <v>1200000</v>
      </c>
      <c r="Y104" s="124" t="str">
        <f>IF(ISBLANK('RESUMEN VIGILANCIA'!Y107),"",'RESUMEN VIGILANCIA'!Y107)</f>
        <v/>
      </c>
      <c r="Z104" s="124" t="str">
        <f>IF(ISBLANK('RESUMEN VIGILANCIA'!Z107),"",'RESUMEN VIGILANCIA'!Z107)</f>
        <v/>
      </c>
      <c r="AA104" s="124" t="str">
        <f>IF(ISBLANK('RESUMEN VIGILANCIA'!AA107),"",'RESUMEN VIGILANCIA'!AA107)</f>
        <v/>
      </c>
      <c r="AB104" s="99" t="str">
        <f>IF(ISBLANK('RESUMEN VIGILANCIA'!AB107),"",'RESUMEN VIGILANCIA'!AB107)</f>
        <v/>
      </c>
      <c r="AC104" s="115">
        <f t="shared" si="1"/>
        <v>4025000</v>
      </c>
      <c r="AD104" s="292"/>
      <c r="AE104" s="292"/>
    </row>
    <row r="105" spans="1:31" s="52" customFormat="1" ht="20.100000000000001" customHeight="1" x14ac:dyDescent="0.25">
      <c r="A105" s="53" t="s">
        <v>558</v>
      </c>
      <c r="B105" s="54" t="s">
        <v>560</v>
      </c>
      <c r="C105" s="152" t="s">
        <v>940</v>
      </c>
      <c r="D105" s="99" t="str">
        <f>IF(ISBLANK('RESUMEN VIGILANCIA'!D108),"",'RESUMEN VIGILANCIA'!D108)</f>
        <v/>
      </c>
      <c r="E105" s="153" t="str">
        <f>IF(ISBLANK('RESUMEN VIGILANCIA'!E108),"",'RESUMEN VIGILANCIA'!E108)</f>
        <v/>
      </c>
      <c r="F105" s="41" t="str">
        <f>IF(ISBLANK('RESUMEN VIGILANCIA'!F108),"",'RESUMEN VIGILANCIA'!F108)</f>
        <v/>
      </c>
      <c r="G105" s="41" t="str">
        <f>IF(ISBLANK('RESUMEN VIGILANCIA'!G108),"",'RESUMEN VIGILANCIA'!G108)</f>
        <v/>
      </c>
      <c r="H105" s="41" t="str">
        <f>IF(ISBLANK('RESUMEN VIGILANCIA'!H108),"",'RESUMEN VIGILANCIA'!H108)</f>
        <v/>
      </c>
      <c r="I105" s="41" t="str">
        <f>IF(ISBLANK('RESUMEN VIGILANCIA'!I108),"",'RESUMEN VIGILANCIA'!I108)</f>
        <v/>
      </c>
      <c r="J105" s="41" t="str">
        <f>IF(ISBLANK('RESUMEN VIGILANCIA'!J108),"",'RESUMEN VIGILANCIA'!J108)</f>
        <v/>
      </c>
      <c r="K105" s="41" t="str">
        <f>IF(ISBLANK('RESUMEN VIGILANCIA'!K108),"",'RESUMEN VIGILANCIA'!K108)</f>
        <v/>
      </c>
      <c r="L105" s="41" t="str">
        <f>IF(ISBLANK('RESUMEN VIGILANCIA'!L108),"",'RESUMEN VIGILANCIA'!L108)</f>
        <v/>
      </c>
      <c r="M105" s="41" t="str">
        <f>IF(ISBLANK('RESUMEN VIGILANCIA'!M108),"",'RESUMEN VIGILANCIA'!M108)</f>
        <v/>
      </c>
      <c r="N105" s="41" t="str">
        <f>IF(ISBLANK('RESUMEN VIGILANCIA'!N108),"",'RESUMEN VIGILANCIA'!N108)</f>
        <v/>
      </c>
      <c r="O105" s="124">
        <f>IF(ISBLANK('RESUMEN VIGILANCIA'!O108),"",'RESUMEN VIGILANCIA'!O108)</f>
        <v>50000</v>
      </c>
      <c r="P105" s="99">
        <f>IF(ISBLANK('RESUMEN VIGILANCIA'!P108),"",'RESUMEN VIGILANCIA'!P108)</f>
        <v>50000</v>
      </c>
      <c r="Q105" s="128">
        <f>IF(ISBLANK('RESUMEN VIGILANCIA'!Q108),"",'RESUMEN VIGILANCIA'!Q108)</f>
        <v>80000</v>
      </c>
      <c r="R105" s="124">
        <f>IF(ISBLANK('RESUMEN VIGILANCIA'!R108),"",'RESUMEN VIGILANCIA'!R108)</f>
        <v>80000</v>
      </c>
      <c r="S105" s="124">
        <f>IF(ISBLANK('RESUMEN VIGILANCIA'!S108),"",'RESUMEN VIGILANCIA'!S108)</f>
        <v>140000</v>
      </c>
      <c r="T105" s="124">
        <f>IF(ISBLANK('RESUMEN VIGILANCIA'!T108),"",'RESUMEN VIGILANCIA'!T108)</f>
        <v>140000</v>
      </c>
      <c r="U105" s="124">
        <f>IF(ISBLANK('RESUMEN VIGILANCIA'!U108),"",'RESUMEN VIGILANCIA'!U108)</f>
        <v>400000</v>
      </c>
      <c r="V105" s="124">
        <f>IF(ISBLANK('RESUMEN VIGILANCIA'!V108),"",'RESUMEN VIGILANCIA'!V108)</f>
        <v>625000</v>
      </c>
      <c r="W105" s="124">
        <f>IF(ISBLANK('RESUMEN VIGILANCIA'!W108),"",'RESUMEN VIGILANCIA'!W108)</f>
        <v>1000000</v>
      </c>
      <c r="X105" s="124" t="str">
        <f>IF(ISBLANK('RESUMEN VIGILANCIA'!X108),"",'RESUMEN VIGILANCIA'!X108)</f>
        <v/>
      </c>
      <c r="Y105" s="124" t="str">
        <f>IF(ISBLANK('RESUMEN VIGILANCIA'!Y108),"",'RESUMEN VIGILANCIA'!Y108)</f>
        <v/>
      </c>
      <c r="Z105" s="124" t="str">
        <f>IF(ISBLANK('RESUMEN VIGILANCIA'!Z108),"",'RESUMEN VIGILANCIA'!Z108)</f>
        <v/>
      </c>
      <c r="AA105" s="124" t="str">
        <f>IF(ISBLANK('RESUMEN VIGILANCIA'!AA108),"",'RESUMEN VIGILANCIA'!AA108)</f>
        <v/>
      </c>
      <c r="AB105" s="99" t="str">
        <f>IF(ISBLANK('RESUMEN VIGILANCIA'!AB108),"",'RESUMEN VIGILANCIA'!AB108)</f>
        <v/>
      </c>
      <c r="AC105" s="115">
        <f t="shared" si="1"/>
        <v>2565000</v>
      </c>
      <c r="AD105" s="292"/>
      <c r="AE105" s="292"/>
    </row>
    <row r="106" spans="1:31" s="52" customFormat="1" ht="20.100000000000001" customHeight="1" x14ac:dyDescent="0.25">
      <c r="A106" s="53" t="s">
        <v>36</v>
      </c>
      <c r="B106" s="54" t="s">
        <v>38</v>
      </c>
      <c r="C106" s="152" t="s">
        <v>940</v>
      </c>
      <c r="D106" s="99" t="str">
        <f>IF(ISBLANK('RESUMEN VIGILANCIA'!D109),"",'RESUMEN VIGILANCIA'!D109)</f>
        <v/>
      </c>
      <c r="E106" s="153">
        <f>IF(ISBLANK('RESUMEN VIGILANCIA'!E109),"",'RESUMEN VIGILANCIA'!E109)</f>
        <v>17000</v>
      </c>
      <c r="F106" s="41">
        <f>IF(ISBLANK('RESUMEN VIGILANCIA'!F109),"",'RESUMEN VIGILANCIA'!F109)</f>
        <v>17000</v>
      </c>
      <c r="G106" s="41">
        <f>IF(ISBLANK('RESUMEN VIGILANCIA'!G109),"",'RESUMEN VIGILANCIA'!G109)</f>
        <v>17000</v>
      </c>
      <c r="H106" s="41">
        <f>IF(ISBLANK('RESUMEN VIGILANCIA'!H109),"",'RESUMEN VIGILANCIA'!H109)</f>
        <v>17000</v>
      </c>
      <c r="I106" s="41">
        <f>IF(ISBLANK('RESUMEN VIGILANCIA'!I109),"",'RESUMEN VIGILANCIA'!I109)</f>
        <v>26000</v>
      </c>
      <c r="J106" s="41">
        <f>IF(ISBLANK('RESUMEN VIGILANCIA'!J109),"",'RESUMEN VIGILANCIA'!J109)</f>
        <v>26000</v>
      </c>
      <c r="K106" s="41">
        <f>IF(ISBLANK('RESUMEN VIGILANCIA'!K109),"",'RESUMEN VIGILANCIA'!K109)</f>
        <v>35000</v>
      </c>
      <c r="L106" s="41">
        <f>IF(ISBLANK('RESUMEN VIGILANCIA'!L109),"",'RESUMEN VIGILANCIA'!L109)</f>
        <v>35000</v>
      </c>
      <c r="M106" s="41">
        <f>IF(ISBLANK('RESUMEN VIGILANCIA'!M109),"",'RESUMEN VIGILANCIA'!M109)</f>
        <v>35000</v>
      </c>
      <c r="N106" s="41">
        <f>IF(ISBLANK('RESUMEN VIGILANCIA'!N109),"",'RESUMEN VIGILANCIA'!N109)</f>
        <v>35000</v>
      </c>
      <c r="O106" s="124">
        <f>IF(ISBLANK('RESUMEN VIGILANCIA'!O109),"",'RESUMEN VIGILANCIA'!O109)</f>
        <v>50000</v>
      </c>
      <c r="P106" s="99">
        <f>IF(ISBLANK('RESUMEN VIGILANCIA'!P109),"",'RESUMEN VIGILANCIA'!P109)</f>
        <v>50000</v>
      </c>
      <c r="Q106" s="128">
        <f>IF(ISBLANK('RESUMEN VIGILANCIA'!Q109),"",'RESUMEN VIGILANCIA'!Q109)</f>
        <v>80000</v>
      </c>
      <c r="R106" s="124">
        <f>IF(ISBLANK('RESUMEN VIGILANCIA'!R109),"",'RESUMEN VIGILANCIA'!R109)</f>
        <v>80000</v>
      </c>
      <c r="S106" s="124">
        <f>IF(ISBLANK('RESUMEN VIGILANCIA'!S109),"",'RESUMEN VIGILANCIA'!S109)</f>
        <v>140000</v>
      </c>
      <c r="T106" s="124">
        <f>IF(ISBLANK('RESUMEN VIGILANCIA'!T109),"",'RESUMEN VIGILANCIA'!T109)</f>
        <v>140000</v>
      </c>
      <c r="U106" s="124">
        <f>IF(ISBLANK('RESUMEN VIGILANCIA'!U109),"",'RESUMEN VIGILANCIA'!U109)</f>
        <v>400000</v>
      </c>
      <c r="V106" s="124">
        <f>IF(ISBLANK('RESUMEN VIGILANCIA'!V109),"",'RESUMEN VIGILANCIA'!V109)</f>
        <v>625000</v>
      </c>
      <c r="W106" s="124">
        <f>IF(ISBLANK('RESUMEN VIGILANCIA'!W109),"",'RESUMEN VIGILANCIA'!W109)</f>
        <v>1000000</v>
      </c>
      <c r="X106" s="124">
        <f>IF(ISBLANK('RESUMEN VIGILANCIA'!X109),"",'RESUMEN VIGILANCIA'!X109)</f>
        <v>1200000</v>
      </c>
      <c r="Y106" s="124" t="str">
        <f>IF(ISBLANK('RESUMEN VIGILANCIA'!Y109),"",'RESUMEN VIGILANCIA'!Y109)</f>
        <v/>
      </c>
      <c r="Z106" s="124" t="str">
        <f>IF(ISBLANK('RESUMEN VIGILANCIA'!Z109),"",'RESUMEN VIGILANCIA'!Z109)</f>
        <v/>
      </c>
      <c r="AA106" s="124" t="str">
        <f>IF(ISBLANK('RESUMEN VIGILANCIA'!AA109),"",'RESUMEN VIGILANCIA'!AA109)</f>
        <v/>
      </c>
      <c r="AB106" s="99" t="str">
        <f>IF(ISBLANK('RESUMEN VIGILANCIA'!AB109),"",'RESUMEN VIGILANCIA'!AB109)</f>
        <v/>
      </c>
      <c r="AC106" s="115">
        <f t="shared" si="1"/>
        <v>4025000</v>
      </c>
      <c r="AD106" s="292"/>
      <c r="AE106" s="292"/>
    </row>
    <row r="107" spans="1:31" s="52" customFormat="1" ht="20.100000000000001" customHeight="1" x14ac:dyDescent="0.25">
      <c r="A107" s="53" t="s">
        <v>867</v>
      </c>
      <c r="B107" s="54" t="s">
        <v>868</v>
      </c>
      <c r="C107" s="152" t="s">
        <v>939</v>
      </c>
      <c r="D107" s="99" t="str">
        <f>IF(ISBLANK('RESUMEN VIGILANCIA'!D110),"",'RESUMEN VIGILANCIA'!D110)</f>
        <v/>
      </c>
      <c r="E107" s="153" t="str">
        <f>IF(ISBLANK('RESUMEN VIGILANCIA'!E110),"",'RESUMEN VIGILANCIA'!E110)</f>
        <v/>
      </c>
      <c r="F107" s="41" t="str">
        <f>IF(ISBLANK('RESUMEN VIGILANCIA'!F110),"",'RESUMEN VIGILANCIA'!F110)</f>
        <v/>
      </c>
      <c r="G107" s="41" t="str">
        <f>IF(ISBLANK('RESUMEN VIGILANCIA'!G110),"",'RESUMEN VIGILANCIA'!G110)</f>
        <v/>
      </c>
      <c r="H107" s="41" t="str">
        <f>IF(ISBLANK('RESUMEN VIGILANCIA'!H110),"",'RESUMEN VIGILANCIA'!H110)</f>
        <v/>
      </c>
      <c r="I107" s="41" t="str">
        <f>IF(ISBLANK('RESUMEN VIGILANCIA'!I110),"",'RESUMEN VIGILANCIA'!I110)</f>
        <v/>
      </c>
      <c r="J107" s="41" t="str">
        <f>IF(ISBLANK('RESUMEN VIGILANCIA'!J110),"",'RESUMEN VIGILANCIA'!J110)</f>
        <v/>
      </c>
      <c r="K107" s="41" t="str">
        <f>IF(ISBLANK('RESUMEN VIGILANCIA'!K110),"",'RESUMEN VIGILANCIA'!K110)</f>
        <v/>
      </c>
      <c r="L107" s="41" t="str">
        <f>IF(ISBLANK('RESUMEN VIGILANCIA'!L110),"",'RESUMEN VIGILANCIA'!L110)</f>
        <v/>
      </c>
      <c r="M107" s="41" t="str">
        <f>IF(ISBLANK('RESUMEN VIGILANCIA'!M110),"",'RESUMEN VIGILANCIA'!M110)</f>
        <v/>
      </c>
      <c r="N107" s="41" t="str">
        <f>IF(ISBLANK('RESUMEN VIGILANCIA'!N110),"",'RESUMEN VIGILANCIA'!N110)</f>
        <v/>
      </c>
      <c r="O107" s="124" t="str">
        <f>IF(ISBLANK('RESUMEN VIGILANCIA'!O110),"",'RESUMEN VIGILANCIA'!O110)</f>
        <v/>
      </c>
      <c r="P107" s="99" t="str">
        <f>IF(ISBLANK('RESUMEN VIGILANCIA'!P110),"",'RESUMEN VIGILANCIA'!P110)</f>
        <v/>
      </c>
      <c r="Q107" s="128" t="str">
        <f>IF(ISBLANK('RESUMEN VIGILANCIA'!Q110),"",'RESUMEN VIGILANCIA'!Q110)</f>
        <v/>
      </c>
      <c r="R107" s="124" t="str">
        <f>IF(ISBLANK('RESUMEN VIGILANCIA'!R110),"",'RESUMEN VIGILANCIA'!R110)</f>
        <v/>
      </c>
      <c r="S107" s="124" t="str">
        <f>IF(ISBLANK('RESUMEN VIGILANCIA'!S110),"",'RESUMEN VIGILANCIA'!S110)</f>
        <v/>
      </c>
      <c r="T107" s="124" t="str">
        <f>IF(ISBLANK('RESUMEN VIGILANCIA'!T110),"",'RESUMEN VIGILANCIA'!T110)</f>
        <v/>
      </c>
      <c r="U107" s="124" t="str">
        <f>IF(ISBLANK('RESUMEN VIGILANCIA'!U110),"",'RESUMEN VIGILANCIA'!U110)</f>
        <v/>
      </c>
      <c r="V107" s="124" t="str">
        <f>IF(ISBLANK('RESUMEN VIGILANCIA'!V110),"",'RESUMEN VIGILANCIA'!V110)</f>
        <v/>
      </c>
      <c r="W107" s="124" t="str">
        <f>IF(ISBLANK('RESUMEN VIGILANCIA'!W110),"",'RESUMEN VIGILANCIA'!W110)</f>
        <v/>
      </c>
      <c r="X107" s="124" t="str">
        <f>IF(ISBLANK('RESUMEN VIGILANCIA'!X110),"",'RESUMEN VIGILANCIA'!X110)</f>
        <v/>
      </c>
      <c r="Y107" s="124" t="str">
        <f>IF(ISBLANK('RESUMEN VIGILANCIA'!Y110),"",'RESUMEN VIGILANCIA'!Y110)</f>
        <v/>
      </c>
      <c r="Z107" s="124" t="str">
        <f>IF(ISBLANK('RESUMEN VIGILANCIA'!Z110),"",'RESUMEN VIGILANCIA'!Z110)</f>
        <v/>
      </c>
      <c r="AA107" s="124" t="str">
        <f>IF(ISBLANK('RESUMEN VIGILANCIA'!AA110),"",'RESUMEN VIGILANCIA'!AA110)</f>
        <v/>
      </c>
      <c r="AB107" s="99" t="str">
        <f>IF(ISBLANK('RESUMEN VIGILANCIA'!AB110),"",'RESUMEN VIGILANCIA'!AB110)</f>
        <v/>
      </c>
      <c r="AC107" s="115">
        <f t="shared" si="1"/>
        <v>0</v>
      </c>
      <c r="AD107" s="292"/>
      <c r="AE107" s="292"/>
    </row>
    <row r="108" spans="1:31" s="52" customFormat="1" ht="20.100000000000001" customHeight="1" x14ac:dyDescent="0.25">
      <c r="A108" s="53" t="s">
        <v>484</v>
      </c>
      <c r="B108" s="54" t="s">
        <v>486</v>
      </c>
      <c r="C108" s="152" t="s">
        <v>940</v>
      </c>
      <c r="D108" s="99" t="str">
        <f>IF(ISBLANK('RESUMEN VIGILANCIA'!D111),"",'RESUMEN VIGILANCIA'!D111)</f>
        <v/>
      </c>
      <c r="E108" s="154" t="str">
        <f>IF(ISBLANK('RESUMEN VIGILANCIA'!E111),"",'RESUMEN VIGILANCIA'!E111)</f>
        <v/>
      </c>
      <c r="F108" s="42" t="str">
        <f>IF(ISBLANK('RESUMEN VIGILANCIA'!F111),"",'RESUMEN VIGILANCIA'!F111)</f>
        <v/>
      </c>
      <c r="G108" s="42" t="str">
        <f>IF(ISBLANK('RESUMEN VIGILANCIA'!G111),"",'RESUMEN VIGILANCIA'!G111)</f>
        <v/>
      </c>
      <c r="H108" s="42" t="str">
        <f>IF(ISBLANK('RESUMEN VIGILANCIA'!H111),"",'RESUMEN VIGILANCIA'!H111)</f>
        <v/>
      </c>
      <c r="I108" s="42" t="str">
        <f>IF(ISBLANK('RESUMEN VIGILANCIA'!I111),"",'RESUMEN VIGILANCIA'!I111)</f>
        <v/>
      </c>
      <c r="J108" s="41">
        <f>IF(ISBLANK('RESUMEN VIGILANCIA'!J111),"",'RESUMEN VIGILANCIA'!J111)</f>
        <v>26000</v>
      </c>
      <c r="K108" s="41">
        <f>IF(ISBLANK('RESUMEN VIGILANCIA'!K111),"",'RESUMEN VIGILANCIA'!K111)</f>
        <v>35000</v>
      </c>
      <c r="L108" s="41">
        <f>IF(ISBLANK('RESUMEN VIGILANCIA'!L111),"",'RESUMEN VIGILANCIA'!L111)</f>
        <v>35000</v>
      </c>
      <c r="M108" s="41">
        <f>IF(ISBLANK('RESUMEN VIGILANCIA'!M111),"",'RESUMEN VIGILANCIA'!M111)</f>
        <v>35000</v>
      </c>
      <c r="N108" s="41">
        <f>IF(ISBLANK('RESUMEN VIGILANCIA'!N111),"",'RESUMEN VIGILANCIA'!N111)</f>
        <v>35000</v>
      </c>
      <c r="O108" s="124">
        <f>IF(ISBLANK('RESUMEN VIGILANCIA'!O111),"",'RESUMEN VIGILANCIA'!O111)</f>
        <v>50000</v>
      </c>
      <c r="P108" s="99">
        <f>IF(ISBLANK('RESUMEN VIGILANCIA'!P111),"",'RESUMEN VIGILANCIA'!P111)</f>
        <v>50000</v>
      </c>
      <c r="Q108" s="128">
        <f>IF(ISBLANK('RESUMEN VIGILANCIA'!Q111),"",'RESUMEN VIGILANCIA'!Q111)</f>
        <v>80000</v>
      </c>
      <c r="R108" s="124">
        <f>IF(ISBLANK('RESUMEN VIGILANCIA'!R111),"",'RESUMEN VIGILANCIA'!R111)</f>
        <v>80000</v>
      </c>
      <c r="S108" s="124">
        <f>IF(ISBLANK('RESUMEN VIGILANCIA'!S111),"",'RESUMEN VIGILANCIA'!S111)</f>
        <v>140000</v>
      </c>
      <c r="T108" s="124">
        <f>IF(ISBLANK('RESUMEN VIGILANCIA'!T111),"",'RESUMEN VIGILANCIA'!T111)</f>
        <v>140000</v>
      </c>
      <c r="U108" s="124">
        <f>IF(ISBLANK('RESUMEN VIGILANCIA'!U111),"",'RESUMEN VIGILANCIA'!U111)</f>
        <v>400000</v>
      </c>
      <c r="V108" s="124">
        <f>IF(ISBLANK('RESUMEN VIGILANCIA'!V111),"",'RESUMEN VIGILANCIA'!V111)</f>
        <v>625000</v>
      </c>
      <c r="W108" s="124">
        <f>IF(ISBLANK('RESUMEN VIGILANCIA'!W111),"",'RESUMEN VIGILANCIA'!W111)</f>
        <v>1000000</v>
      </c>
      <c r="X108" s="124">
        <f>IF(ISBLANK('RESUMEN VIGILANCIA'!X111),"",'RESUMEN VIGILANCIA'!X111)</f>
        <v>1200000</v>
      </c>
      <c r="Y108" s="124">
        <f>IF(ISBLANK('RESUMEN VIGILANCIA'!Y111),"",'RESUMEN VIGILANCIA'!Y111)</f>
        <v>1300000</v>
      </c>
      <c r="Z108" s="124" t="str">
        <f>IF(ISBLANK('RESUMEN VIGILANCIA'!Z111),"",'RESUMEN VIGILANCIA'!Z111)</f>
        <v/>
      </c>
      <c r="AA108" s="124" t="str">
        <f>IF(ISBLANK('RESUMEN VIGILANCIA'!AA111),"",'RESUMEN VIGILANCIA'!AA111)</f>
        <v/>
      </c>
      <c r="AB108" s="99" t="str">
        <f>IF(ISBLANK('RESUMEN VIGILANCIA'!AB111),"",'RESUMEN VIGILANCIA'!AB111)</f>
        <v/>
      </c>
      <c r="AC108" s="115">
        <f t="shared" si="1"/>
        <v>5231000</v>
      </c>
      <c r="AD108" s="292"/>
      <c r="AE108" s="292"/>
    </row>
    <row r="109" spans="1:31" s="52" customFormat="1" ht="20.100000000000001" customHeight="1" x14ac:dyDescent="0.25">
      <c r="A109" s="53" t="s">
        <v>372</v>
      </c>
      <c r="B109" s="54" t="s">
        <v>374</v>
      </c>
      <c r="C109" s="152" t="s">
        <v>940</v>
      </c>
      <c r="D109" s="99" t="str">
        <f>IF(ISBLANK('RESUMEN VIGILANCIA'!D112),"",'RESUMEN VIGILANCIA'!D112)</f>
        <v/>
      </c>
      <c r="E109" s="153">
        <f>IF(ISBLANK('RESUMEN VIGILANCIA'!E112),"",'RESUMEN VIGILANCIA'!E112)</f>
        <v>17000</v>
      </c>
      <c r="F109" s="41">
        <f>IF(ISBLANK('RESUMEN VIGILANCIA'!F112),"",'RESUMEN VIGILANCIA'!F112)</f>
        <v>17000</v>
      </c>
      <c r="G109" s="41" t="str">
        <f>IF(ISBLANK('RESUMEN VIGILANCIA'!G112),"",'RESUMEN VIGILANCIA'!G112)</f>
        <v/>
      </c>
      <c r="H109" s="41" t="str">
        <f>IF(ISBLANK('RESUMEN VIGILANCIA'!H112),"",'RESUMEN VIGILANCIA'!H112)</f>
        <v/>
      </c>
      <c r="I109" s="41" t="str">
        <f>IF(ISBLANK('RESUMEN VIGILANCIA'!I112),"",'RESUMEN VIGILANCIA'!I112)</f>
        <v/>
      </c>
      <c r="J109" s="41" t="str">
        <f>IF(ISBLANK('RESUMEN VIGILANCIA'!J112),"",'RESUMEN VIGILANCIA'!J112)</f>
        <v/>
      </c>
      <c r="K109" s="41" t="str">
        <f>IF(ISBLANK('RESUMEN VIGILANCIA'!K112),"",'RESUMEN VIGILANCIA'!K112)</f>
        <v/>
      </c>
      <c r="L109" s="41" t="str">
        <f>IF(ISBLANK('RESUMEN VIGILANCIA'!L112),"",'RESUMEN VIGILANCIA'!L112)</f>
        <v/>
      </c>
      <c r="M109" s="41" t="str">
        <f>IF(ISBLANK('RESUMEN VIGILANCIA'!M112),"",'RESUMEN VIGILANCIA'!M112)</f>
        <v/>
      </c>
      <c r="N109" s="41" t="str">
        <f>IF(ISBLANK('RESUMEN VIGILANCIA'!N112),"",'RESUMEN VIGILANCIA'!N112)</f>
        <v/>
      </c>
      <c r="O109" s="124" t="str">
        <f>IF(ISBLANK('RESUMEN VIGILANCIA'!O112),"",'RESUMEN VIGILANCIA'!O112)</f>
        <v/>
      </c>
      <c r="P109" s="99" t="str">
        <f>IF(ISBLANK('RESUMEN VIGILANCIA'!P112),"",'RESUMEN VIGILANCIA'!P112)</f>
        <v/>
      </c>
      <c r="Q109" s="173" t="str">
        <f>IF(ISBLANK('RESUMEN VIGILANCIA'!Q112),"",'RESUMEN VIGILANCIA'!Q112)</f>
        <v>ü</v>
      </c>
      <c r="R109" s="174" t="str">
        <f>IF(ISBLANK('RESUMEN VIGILANCIA'!R112),"",'RESUMEN VIGILANCIA'!R112)</f>
        <v>ü</v>
      </c>
      <c r="S109" s="174" t="str">
        <f>IF(ISBLANK('RESUMEN VIGILANCIA'!S112),"",'RESUMEN VIGILANCIA'!S112)</f>
        <v>ü</v>
      </c>
      <c r="T109" s="174" t="str">
        <f>IF(ISBLANK('RESUMEN VIGILANCIA'!T112),"",'RESUMEN VIGILANCIA'!T112)</f>
        <v>ü</v>
      </c>
      <c r="U109" s="174" t="str">
        <f>IF(ISBLANK('RESUMEN VIGILANCIA'!U112),"",'RESUMEN VIGILANCIA'!U112)</f>
        <v>ü</v>
      </c>
      <c r="V109" s="174" t="str">
        <f>IF(ISBLANK('RESUMEN VIGILANCIA'!V112),"",'RESUMEN VIGILANCIA'!V112)</f>
        <v>ü</v>
      </c>
      <c r="W109" s="174" t="str">
        <f>IF(ISBLANK('RESUMEN VIGILANCIA'!W112),"",'RESUMEN VIGILANCIA'!W112)</f>
        <v>ü</v>
      </c>
      <c r="X109" s="174" t="str">
        <f>IF(ISBLANK('RESUMEN VIGILANCIA'!X112),"",'RESUMEN VIGILANCIA'!X112)</f>
        <v>ü</v>
      </c>
      <c r="Y109" s="174" t="str">
        <f>IF(ISBLANK('RESUMEN VIGILANCIA'!Y112),"",'RESUMEN VIGILANCIA'!Y112)</f>
        <v>ü</v>
      </c>
      <c r="Z109" s="174" t="str">
        <f>IF(ISBLANK('RESUMEN VIGILANCIA'!Z112),"",'RESUMEN VIGILANCIA'!Z112)</f>
        <v>ü</v>
      </c>
      <c r="AA109" s="174" t="str">
        <f>IF(ISBLANK('RESUMEN VIGILANCIA'!AA112),"",'RESUMEN VIGILANCIA'!AA112)</f>
        <v>ü</v>
      </c>
      <c r="AB109" s="172" t="str">
        <f>IF(ISBLANK('RESUMEN VIGILANCIA'!AB112),"",'RESUMEN VIGILANCIA'!AB112)</f>
        <v>ü</v>
      </c>
      <c r="AC109" s="115">
        <f t="shared" si="1"/>
        <v>34000</v>
      </c>
      <c r="AD109" s="292"/>
      <c r="AE109" s="292"/>
    </row>
    <row r="110" spans="1:31" s="52" customFormat="1" ht="20.100000000000001" customHeight="1" x14ac:dyDescent="0.25">
      <c r="A110" s="56" t="s">
        <v>413</v>
      </c>
      <c r="B110" s="57" t="s">
        <v>415</v>
      </c>
      <c r="C110" s="150" t="s">
        <v>938</v>
      </c>
      <c r="D110" s="100" t="str">
        <f>IF(ISBLANK('RESUMEN VIGILANCIA'!D113),"",'RESUMEN VIGILANCIA'!D113)</f>
        <v/>
      </c>
      <c r="E110" s="151">
        <f>IF(ISBLANK('RESUMEN VIGILANCIA'!E113),"",'RESUMEN VIGILANCIA'!E113)</f>
        <v>10000</v>
      </c>
      <c r="F110" s="43">
        <f>IF(ISBLANK('RESUMEN VIGILANCIA'!F113),"",'RESUMEN VIGILANCIA'!F113)</f>
        <v>10000</v>
      </c>
      <c r="G110" s="43">
        <f>IF(ISBLANK('RESUMEN VIGILANCIA'!G113),"",'RESUMEN VIGILANCIA'!G113)</f>
        <v>10000</v>
      </c>
      <c r="H110" s="43">
        <f>IF(ISBLANK('RESUMEN VIGILANCIA'!H113),"",'RESUMEN VIGILANCIA'!H113)</f>
        <v>15000</v>
      </c>
      <c r="I110" s="43">
        <f>IF(ISBLANK('RESUMEN VIGILANCIA'!I113),"",'RESUMEN VIGILANCIA'!I113)</f>
        <v>15000</v>
      </c>
      <c r="J110" s="43">
        <f>IF(ISBLANK('RESUMEN VIGILANCIA'!J113),"",'RESUMEN VIGILANCIA'!J113)</f>
        <v>15000</v>
      </c>
      <c r="K110" s="43">
        <f>IF(ISBLANK('RESUMEN VIGILANCIA'!K113),"",'RESUMEN VIGILANCIA'!K113)</f>
        <v>15000</v>
      </c>
      <c r="L110" s="43">
        <f>IF(ISBLANK('RESUMEN VIGILANCIA'!L113),"",'RESUMEN VIGILANCIA'!L113)</f>
        <v>15000</v>
      </c>
      <c r="M110" s="43">
        <f>IF(ISBLANK('RESUMEN VIGILANCIA'!M113),"",'RESUMEN VIGILANCIA'!M113)</f>
        <v>15000</v>
      </c>
      <c r="N110" s="43">
        <f>IF(ISBLANK('RESUMEN VIGILANCIA'!N113),"",'RESUMEN VIGILANCIA'!N113)</f>
        <v>20000</v>
      </c>
      <c r="O110" s="123">
        <f>IF(ISBLANK('RESUMEN VIGILANCIA'!O113),"",'RESUMEN VIGILANCIA'!O113)</f>
        <v>20000</v>
      </c>
      <c r="P110" s="100">
        <f>IF(ISBLANK('RESUMEN VIGILANCIA'!P113),"",'RESUMEN VIGILANCIA'!P113)</f>
        <v>20000</v>
      </c>
      <c r="Q110" s="130">
        <f>IF(ISBLANK('RESUMEN VIGILANCIA'!Q113),"",'RESUMEN VIGILANCIA'!Q113)</f>
        <v>50000</v>
      </c>
      <c r="R110" s="123">
        <f>IF(ISBLANK('RESUMEN VIGILANCIA'!R113),"",'RESUMEN VIGILANCIA'!R113)</f>
        <v>50000</v>
      </c>
      <c r="S110" s="123">
        <f>IF(ISBLANK('RESUMEN VIGILANCIA'!S113),"",'RESUMEN VIGILANCIA'!S113)</f>
        <v>100000</v>
      </c>
      <c r="T110" s="123">
        <f>IF(ISBLANK('RESUMEN VIGILANCIA'!T113),"",'RESUMEN VIGILANCIA'!T113)</f>
        <v>100000</v>
      </c>
      <c r="U110" s="123">
        <f>IF(ISBLANK('RESUMEN VIGILANCIA'!U113),"",'RESUMEN VIGILANCIA'!U113)</f>
        <v>200000</v>
      </c>
      <c r="V110" s="123">
        <f>IF(ISBLANK('RESUMEN VIGILANCIA'!V113),"",'RESUMEN VIGILANCIA'!V113)</f>
        <v>400000</v>
      </c>
      <c r="W110" s="123">
        <f>IF(ISBLANK('RESUMEN VIGILANCIA'!W113),"",'RESUMEN VIGILANCIA'!W113)</f>
        <v>500000</v>
      </c>
      <c r="X110" s="123" t="str">
        <f>IF(ISBLANK('RESUMEN VIGILANCIA'!X113),"",'RESUMEN VIGILANCIA'!X113)</f>
        <v/>
      </c>
      <c r="Y110" s="123" t="str">
        <f>IF(ISBLANK('RESUMEN VIGILANCIA'!Y113),"",'RESUMEN VIGILANCIA'!Y113)</f>
        <v/>
      </c>
      <c r="Z110" s="123" t="str">
        <f>IF(ISBLANK('RESUMEN VIGILANCIA'!Z113),"",'RESUMEN VIGILANCIA'!Z113)</f>
        <v/>
      </c>
      <c r="AA110" s="123" t="str">
        <f>IF(ISBLANK('RESUMEN VIGILANCIA'!AA113),"",'RESUMEN VIGILANCIA'!AA113)</f>
        <v/>
      </c>
      <c r="AB110" s="100" t="str">
        <f>IF(ISBLANK('RESUMEN VIGILANCIA'!AB113),"",'RESUMEN VIGILANCIA'!AB113)</f>
        <v/>
      </c>
      <c r="AC110" s="114">
        <f t="shared" si="1"/>
        <v>1580000</v>
      </c>
      <c r="AD110" s="291"/>
      <c r="AE110" s="291"/>
    </row>
    <row r="111" spans="1:31" s="52" customFormat="1" ht="20.100000000000001" customHeight="1" x14ac:dyDescent="0.25">
      <c r="A111" s="53" t="s">
        <v>869</v>
      </c>
      <c r="B111" s="54" t="s">
        <v>870</v>
      </c>
      <c r="C111" s="152" t="s">
        <v>939</v>
      </c>
      <c r="D111" s="99" t="str">
        <f>IF(ISBLANK('RESUMEN VIGILANCIA'!D114),"",'RESUMEN VIGILANCIA'!D114)</f>
        <v/>
      </c>
      <c r="E111" s="153" t="str">
        <f>IF(ISBLANK('RESUMEN VIGILANCIA'!E114),"",'RESUMEN VIGILANCIA'!E114)</f>
        <v/>
      </c>
      <c r="F111" s="41" t="str">
        <f>IF(ISBLANK('RESUMEN VIGILANCIA'!F114),"",'RESUMEN VIGILANCIA'!F114)</f>
        <v/>
      </c>
      <c r="G111" s="41" t="str">
        <f>IF(ISBLANK('RESUMEN VIGILANCIA'!G114),"",'RESUMEN VIGILANCIA'!G114)</f>
        <v/>
      </c>
      <c r="H111" s="41" t="str">
        <f>IF(ISBLANK('RESUMEN VIGILANCIA'!H114),"",'RESUMEN VIGILANCIA'!H114)</f>
        <v/>
      </c>
      <c r="I111" s="41" t="str">
        <f>IF(ISBLANK('RESUMEN VIGILANCIA'!I114),"",'RESUMEN VIGILANCIA'!I114)</f>
        <v/>
      </c>
      <c r="J111" s="41" t="str">
        <f>IF(ISBLANK('RESUMEN VIGILANCIA'!J114),"",'RESUMEN VIGILANCIA'!J114)</f>
        <v/>
      </c>
      <c r="K111" s="41" t="str">
        <f>IF(ISBLANK('RESUMEN VIGILANCIA'!K114),"",'RESUMEN VIGILANCIA'!K114)</f>
        <v/>
      </c>
      <c r="L111" s="41" t="str">
        <f>IF(ISBLANK('RESUMEN VIGILANCIA'!L114),"",'RESUMEN VIGILANCIA'!L114)</f>
        <v/>
      </c>
      <c r="M111" s="41" t="str">
        <f>IF(ISBLANK('RESUMEN VIGILANCIA'!M114),"",'RESUMEN VIGILANCIA'!M114)</f>
        <v/>
      </c>
      <c r="N111" s="41" t="str">
        <f>IF(ISBLANK('RESUMEN VIGILANCIA'!N114),"",'RESUMEN VIGILANCIA'!N114)</f>
        <v/>
      </c>
      <c r="O111" s="124" t="str">
        <f>IF(ISBLANK('RESUMEN VIGILANCIA'!O114),"",'RESUMEN VIGILANCIA'!O114)</f>
        <v/>
      </c>
      <c r="P111" s="99" t="str">
        <f>IF(ISBLANK('RESUMEN VIGILANCIA'!P114),"",'RESUMEN VIGILANCIA'!P114)</f>
        <v/>
      </c>
      <c r="Q111" s="128" t="str">
        <f>IF(ISBLANK('RESUMEN VIGILANCIA'!Q114),"",'RESUMEN VIGILANCIA'!Q114)</f>
        <v/>
      </c>
      <c r="R111" s="124" t="str">
        <f>IF(ISBLANK('RESUMEN VIGILANCIA'!R114),"",'RESUMEN VIGILANCIA'!R114)</f>
        <v/>
      </c>
      <c r="S111" s="124" t="str">
        <f>IF(ISBLANK('RESUMEN VIGILANCIA'!S114),"",'RESUMEN VIGILANCIA'!S114)</f>
        <v/>
      </c>
      <c r="T111" s="124" t="str">
        <f>IF(ISBLANK('RESUMEN VIGILANCIA'!T114),"",'RESUMEN VIGILANCIA'!T114)</f>
        <v/>
      </c>
      <c r="U111" s="124" t="str">
        <f>IF(ISBLANK('RESUMEN VIGILANCIA'!U114),"",'RESUMEN VIGILANCIA'!U114)</f>
        <v/>
      </c>
      <c r="V111" s="124" t="str">
        <f>IF(ISBLANK('RESUMEN VIGILANCIA'!V114),"",'RESUMEN VIGILANCIA'!V114)</f>
        <v/>
      </c>
      <c r="W111" s="124" t="str">
        <f>IF(ISBLANK('RESUMEN VIGILANCIA'!W114),"",'RESUMEN VIGILANCIA'!W114)</f>
        <v/>
      </c>
      <c r="X111" s="124" t="str">
        <f>IF(ISBLANK('RESUMEN VIGILANCIA'!X114),"",'RESUMEN VIGILANCIA'!X114)</f>
        <v/>
      </c>
      <c r="Y111" s="124" t="str">
        <f>IF(ISBLANK('RESUMEN VIGILANCIA'!Y114),"",'RESUMEN VIGILANCIA'!Y114)</f>
        <v/>
      </c>
      <c r="Z111" s="124" t="str">
        <f>IF(ISBLANK('RESUMEN VIGILANCIA'!Z114),"",'RESUMEN VIGILANCIA'!Z114)</f>
        <v/>
      </c>
      <c r="AA111" s="124" t="str">
        <f>IF(ISBLANK('RESUMEN VIGILANCIA'!AA114),"",'RESUMEN VIGILANCIA'!AA114)</f>
        <v/>
      </c>
      <c r="AB111" s="99" t="str">
        <f>IF(ISBLANK('RESUMEN VIGILANCIA'!AB114),"",'RESUMEN VIGILANCIA'!AB114)</f>
        <v/>
      </c>
      <c r="AC111" s="115">
        <f t="shared" si="1"/>
        <v>0</v>
      </c>
      <c r="AD111" s="292"/>
      <c r="AE111" s="292"/>
    </row>
    <row r="112" spans="1:31" s="52" customFormat="1" ht="20.100000000000001" customHeight="1" x14ac:dyDescent="0.25">
      <c r="A112" s="53" t="s">
        <v>167</v>
      </c>
      <c r="B112" s="54" t="s">
        <v>169</v>
      </c>
      <c r="C112" s="152" t="s">
        <v>938</v>
      </c>
      <c r="D112" s="99" t="str">
        <f>IF(ISBLANK('RESUMEN VIGILANCIA'!D128),"",'RESUMEN VIGILANCIA'!D128)</f>
        <v/>
      </c>
      <c r="E112" s="153">
        <f>IF(ISBLANK('RESUMEN VIGILANCIA'!E128),"",'RESUMEN VIGILANCIA'!E128)</f>
        <v>17000</v>
      </c>
      <c r="F112" s="41">
        <f>IF(ISBLANK('RESUMEN VIGILANCIA'!F128),"",'RESUMEN VIGILANCIA'!F128)</f>
        <v>17000</v>
      </c>
      <c r="G112" s="41">
        <f>IF(ISBLANK('RESUMEN VIGILANCIA'!G128),"",'RESUMEN VIGILANCIA'!G128)</f>
        <v>17000</v>
      </c>
      <c r="H112" s="41">
        <f>IF(ISBLANK('RESUMEN VIGILANCIA'!H128),"",'RESUMEN VIGILANCIA'!H128)</f>
        <v>17000</v>
      </c>
      <c r="I112" s="41">
        <f>IF(ISBLANK('RESUMEN VIGILANCIA'!I128),"",'RESUMEN VIGILANCIA'!I128)</f>
        <v>26000</v>
      </c>
      <c r="J112" s="41">
        <f>IF(ISBLANK('RESUMEN VIGILANCIA'!J128),"",'RESUMEN VIGILANCIA'!J128)</f>
        <v>26000</v>
      </c>
      <c r="K112" s="77">
        <f>IF(ISBLANK('RESUMEN VIGILANCIA'!K128),"",'RESUMEN VIGILANCIA'!K128)</f>
        <v>18000</v>
      </c>
      <c r="L112" s="41">
        <f>IF(ISBLANK('RESUMEN VIGILANCIA'!L128),"",'RESUMEN VIGILANCIA'!L128)</f>
        <v>15000</v>
      </c>
      <c r="M112" s="41">
        <f>IF(ISBLANK('RESUMEN VIGILANCIA'!M128),"",'RESUMEN VIGILANCIA'!M128)</f>
        <v>15000</v>
      </c>
      <c r="N112" s="41">
        <f>IF(ISBLANK('RESUMEN VIGILANCIA'!N128),"",'RESUMEN VIGILANCIA'!N128)</f>
        <v>25000</v>
      </c>
      <c r="O112" s="124" t="str">
        <f>IF(ISBLANK('RESUMEN VIGILANCIA'!O128),"",'RESUMEN VIGILANCIA'!O128)</f>
        <v>- - -</v>
      </c>
      <c r="P112" s="99" t="str">
        <f>IF(ISBLANK('RESUMEN VIGILANCIA'!P128),"",'RESUMEN VIGILANCIA'!P128)</f>
        <v>- - -</v>
      </c>
      <c r="Q112" s="128">
        <f>IF(ISBLANK('RESUMEN VIGILANCIA'!Q128),"",'RESUMEN VIGILANCIA'!Q128)</f>
        <v>40000</v>
      </c>
      <c r="R112" s="124">
        <f>IF(ISBLANK('RESUMEN VIGILANCIA'!R128),"",'RESUMEN VIGILANCIA'!R128)</f>
        <v>40000</v>
      </c>
      <c r="S112" s="124">
        <f>IF(ISBLANK('RESUMEN VIGILANCIA'!S128),"",'RESUMEN VIGILANCIA'!S128)</f>
        <v>50000</v>
      </c>
      <c r="T112" s="124">
        <f>IF(ISBLANK('RESUMEN VIGILANCIA'!T128),"",'RESUMEN VIGILANCIA'!T128)</f>
        <v>50000</v>
      </c>
      <c r="U112" s="124">
        <f>IF(ISBLANK('RESUMEN VIGILANCIA'!U128),"",'RESUMEN VIGILANCIA'!U128)</f>
        <v>100000</v>
      </c>
      <c r="V112" s="124">
        <f>IF(ISBLANK('RESUMEN VIGILANCIA'!V128),"",'RESUMEN VIGILANCIA'!V128)</f>
        <v>100000</v>
      </c>
      <c r="W112" s="124" t="str">
        <f>IF(ISBLANK('RESUMEN VIGILANCIA'!W128),"",'RESUMEN VIGILANCIA'!W128)</f>
        <v/>
      </c>
      <c r="X112" s="124" t="str">
        <f>IF(ISBLANK('RESUMEN VIGILANCIA'!X128),"",'RESUMEN VIGILANCIA'!X128)</f>
        <v/>
      </c>
      <c r="Y112" s="124" t="str">
        <f>IF(ISBLANK('RESUMEN VIGILANCIA'!Y128),"",'RESUMEN VIGILANCIA'!Y128)</f>
        <v/>
      </c>
      <c r="Z112" s="124" t="str">
        <f>IF(ISBLANK('RESUMEN VIGILANCIA'!Z128),"",'RESUMEN VIGILANCIA'!Z128)</f>
        <v/>
      </c>
      <c r="AA112" s="124" t="str">
        <f>IF(ISBLANK('RESUMEN VIGILANCIA'!AA128),"",'RESUMEN VIGILANCIA'!AA128)</f>
        <v/>
      </c>
      <c r="AB112" s="99" t="str">
        <f>IF(ISBLANK('RESUMEN VIGILANCIA'!AB128),"",'RESUMEN VIGILANCIA'!AB128)</f>
        <v/>
      </c>
      <c r="AC112" s="115">
        <f t="shared" si="1"/>
        <v>573000</v>
      </c>
      <c r="AD112" s="292"/>
      <c r="AE112" s="292"/>
    </row>
    <row r="113" spans="1:31" s="52" customFormat="1" ht="20.100000000000001" customHeight="1" x14ac:dyDescent="0.25">
      <c r="A113" s="56" t="s">
        <v>181</v>
      </c>
      <c r="B113" s="57" t="s">
        <v>183</v>
      </c>
      <c r="C113" s="150" t="s">
        <v>940</v>
      </c>
      <c r="D113" s="100" t="str">
        <f>IF(ISBLANK('RESUMEN VIGILANCIA'!D116),"",'RESUMEN VIGILANCIA'!D116)</f>
        <v/>
      </c>
      <c r="E113" s="151">
        <f>IF(ISBLANK('RESUMEN VIGILANCIA'!E116),"",'RESUMEN VIGILANCIA'!E116)</f>
        <v>10000</v>
      </c>
      <c r="F113" s="43">
        <f>IF(ISBLANK('RESUMEN VIGILANCIA'!F116),"",'RESUMEN VIGILANCIA'!F116)</f>
        <v>10000</v>
      </c>
      <c r="G113" s="43">
        <f>IF(ISBLANK('RESUMEN VIGILANCIA'!G116),"",'RESUMEN VIGILANCIA'!G116)</f>
        <v>10000</v>
      </c>
      <c r="H113" s="43">
        <f>IF(ISBLANK('RESUMEN VIGILANCIA'!H116),"",'RESUMEN VIGILANCIA'!H116)</f>
        <v>10000</v>
      </c>
      <c r="I113" s="43">
        <f>IF(ISBLANK('RESUMEN VIGILANCIA'!I116),"",'RESUMEN VIGILANCIA'!I116)</f>
        <v>15000</v>
      </c>
      <c r="J113" s="43">
        <f>IF(ISBLANK('RESUMEN VIGILANCIA'!J116),"",'RESUMEN VIGILANCIA'!J116)</f>
        <v>15000</v>
      </c>
      <c r="K113" s="43">
        <f>IF(ISBLANK('RESUMEN VIGILANCIA'!K116),"",'RESUMEN VIGILANCIA'!K116)</f>
        <v>20000</v>
      </c>
      <c r="L113" s="43">
        <f>IF(ISBLANK('RESUMEN VIGILANCIA'!L116),"",'RESUMEN VIGILANCIA'!L116)</f>
        <v>20000</v>
      </c>
      <c r="M113" s="43">
        <f>IF(ISBLANK('RESUMEN VIGILANCIA'!M116),"",'RESUMEN VIGILANCIA'!M116)</f>
        <v>20000</v>
      </c>
      <c r="N113" s="43">
        <f>IF(ISBLANK('RESUMEN VIGILANCIA'!N116),"",'RESUMEN VIGILANCIA'!N116)</f>
        <v>20000</v>
      </c>
      <c r="O113" s="123">
        <f>IF(ISBLANK('RESUMEN VIGILANCIA'!O116),"",'RESUMEN VIGILANCIA'!O116)</f>
        <v>40000</v>
      </c>
      <c r="P113" s="100">
        <f>IF(ISBLANK('RESUMEN VIGILANCIA'!P116),"",'RESUMEN VIGILANCIA'!P116)</f>
        <v>40000</v>
      </c>
      <c r="Q113" s="130">
        <f>IF(ISBLANK('RESUMEN VIGILANCIA'!Q116),"",'RESUMEN VIGILANCIA'!Q116)</f>
        <v>80000</v>
      </c>
      <c r="R113" s="123">
        <f>IF(ISBLANK('RESUMEN VIGILANCIA'!R116),"",'RESUMEN VIGILANCIA'!R116)</f>
        <v>80000</v>
      </c>
      <c r="S113" s="123">
        <f>IF(ISBLANK('RESUMEN VIGILANCIA'!S116),"",'RESUMEN VIGILANCIA'!S116)</f>
        <v>140000</v>
      </c>
      <c r="T113" s="123">
        <f>IF(ISBLANK('RESUMEN VIGILANCIA'!T116),"",'RESUMEN VIGILANCIA'!T116)</f>
        <v>140000</v>
      </c>
      <c r="U113" s="123">
        <f>IF(ISBLANK('RESUMEN VIGILANCIA'!U116),"",'RESUMEN VIGILANCIA'!U116)</f>
        <v>400000</v>
      </c>
      <c r="V113" s="123">
        <f>IF(ISBLANK('RESUMEN VIGILANCIA'!V116),"",'RESUMEN VIGILANCIA'!V116)</f>
        <v>625000</v>
      </c>
      <c r="W113" s="123">
        <f>IF(ISBLANK('RESUMEN VIGILANCIA'!W116),"",'RESUMEN VIGILANCIA'!W116)</f>
        <v>1000000</v>
      </c>
      <c r="X113" s="123">
        <f>IF(ISBLANK('RESUMEN VIGILANCIA'!X116),"",'RESUMEN VIGILANCIA'!X116)</f>
        <v>1200000</v>
      </c>
      <c r="Y113" s="123" t="str">
        <f>IF(ISBLANK('RESUMEN VIGILANCIA'!Y116),"",'RESUMEN VIGILANCIA'!Y116)</f>
        <v/>
      </c>
      <c r="Z113" s="123" t="str">
        <f>IF(ISBLANK('RESUMEN VIGILANCIA'!Z116),"",'RESUMEN VIGILANCIA'!Z116)</f>
        <v/>
      </c>
      <c r="AA113" s="123" t="str">
        <f>IF(ISBLANK('RESUMEN VIGILANCIA'!AA116),"",'RESUMEN VIGILANCIA'!AA116)</f>
        <v/>
      </c>
      <c r="AB113" s="100" t="str">
        <f>IF(ISBLANK('RESUMEN VIGILANCIA'!AB116),"",'RESUMEN VIGILANCIA'!AB116)</f>
        <v/>
      </c>
      <c r="AC113" s="114">
        <f t="shared" si="1"/>
        <v>3895000</v>
      </c>
      <c r="AD113" s="291"/>
      <c r="AE113" s="291"/>
    </row>
    <row r="114" spans="1:31" s="52" customFormat="1" ht="20.100000000000001" customHeight="1" x14ac:dyDescent="0.25">
      <c r="A114" s="53" t="s">
        <v>80</v>
      </c>
      <c r="B114" s="54" t="s">
        <v>82</v>
      </c>
      <c r="C114" s="152" t="s">
        <v>940</v>
      </c>
      <c r="D114" s="99" t="str">
        <f>IF(ISBLANK('RESUMEN VIGILANCIA'!D117),"",'RESUMEN VIGILANCIA'!D117)</f>
        <v/>
      </c>
      <c r="E114" s="153">
        <f>IF(ISBLANK('RESUMEN VIGILANCIA'!E117),"",'RESUMEN VIGILANCIA'!E117)</f>
        <v>17000</v>
      </c>
      <c r="F114" s="41">
        <f>IF(ISBLANK('RESUMEN VIGILANCIA'!F117),"",'RESUMEN VIGILANCIA'!F117)</f>
        <v>17000</v>
      </c>
      <c r="G114" s="41">
        <f>IF(ISBLANK('RESUMEN VIGILANCIA'!G117),"",'RESUMEN VIGILANCIA'!G117)</f>
        <v>17000</v>
      </c>
      <c r="H114" s="41">
        <f>IF(ISBLANK('RESUMEN VIGILANCIA'!H117),"",'RESUMEN VIGILANCIA'!H117)</f>
        <v>17000</v>
      </c>
      <c r="I114" s="41">
        <f>IF(ISBLANK('RESUMEN VIGILANCIA'!I117),"",'RESUMEN VIGILANCIA'!I117)</f>
        <v>26000</v>
      </c>
      <c r="J114" s="41">
        <f>IF(ISBLANK('RESUMEN VIGILANCIA'!J117),"",'RESUMEN VIGILANCIA'!J117)</f>
        <v>26000</v>
      </c>
      <c r="K114" s="41">
        <f>IF(ISBLANK('RESUMEN VIGILANCIA'!K117),"",'RESUMEN VIGILANCIA'!K117)</f>
        <v>35000</v>
      </c>
      <c r="L114" s="41">
        <f>IF(ISBLANK('RESUMEN VIGILANCIA'!L117),"",'RESUMEN VIGILANCIA'!L117)</f>
        <v>35000</v>
      </c>
      <c r="M114" s="41">
        <f>IF(ISBLANK('RESUMEN VIGILANCIA'!M117),"",'RESUMEN VIGILANCIA'!M117)</f>
        <v>35000</v>
      </c>
      <c r="N114" s="41">
        <f>IF(ISBLANK('RESUMEN VIGILANCIA'!N117),"",'RESUMEN VIGILANCIA'!N117)</f>
        <v>35000</v>
      </c>
      <c r="O114" s="124">
        <f>IF(ISBLANK('RESUMEN VIGILANCIA'!O117),"",'RESUMEN VIGILANCIA'!O117)</f>
        <v>50000</v>
      </c>
      <c r="P114" s="99">
        <f>IF(ISBLANK('RESUMEN VIGILANCIA'!P117),"",'RESUMEN VIGILANCIA'!P117)</f>
        <v>50000</v>
      </c>
      <c r="Q114" s="128">
        <f>IF(ISBLANK('RESUMEN VIGILANCIA'!Q117),"",'RESUMEN VIGILANCIA'!Q117)</f>
        <v>80000</v>
      </c>
      <c r="R114" s="124">
        <f>IF(ISBLANK('RESUMEN VIGILANCIA'!R117),"",'RESUMEN VIGILANCIA'!R117)</f>
        <v>80000</v>
      </c>
      <c r="S114" s="124">
        <f>IF(ISBLANK('RESUMEN VIGILANCIA'!S117),"",'RESUMEN VIGILANCIA'!S117)</f>
        <v>140000</v>
      </c>
      <c r="T114" s="124">
        <f>IF(ISBLANK('RESUMEN VIGILANCIA'!T117),"",'RESUMEN VIGILANCIA'!T117)</f>
        <v>140000</v>
      </c>
      <c r="U114" s="124">
        <f>IF(ISBLANK('RESUMEN VIGILANCIA'!U117),"",'RESUMEN VIGILANCIA'!U117)</f>
        <v>400000</v>
      </c>
      <c r="V114" s="124">
        <f>IF(ISBLANK('RESUMEN VIGILANCIA'!V117),"",'RESUMEN VIGILANCIA'!V117)</f>
        <v>625000</v>
      </c>
      <c r="W114" s="124">
        <f>IF(ISBLANK('RESUMEN VIGILANCIA'!W117),"",'RESUMEN VIGILANCIA'!W117)</f>
        <v>1000000</v>
      </c>
      <c r="X114" s="124">
        <f>IF(ISBLANK('RESUMEN VIGILANCIA'!X117),"",'RESUMEN VIGILANCIA'!X117)</f>
        <v>1200000</v>
      </c>
      <c r="Y114" s="124" t="str">
        <f>IF(ISBLANK('RESUMEN VIGILANCIA'!Y117),"",'RESUMEN VIGILANCIA'!Y117)</f>
        <v/>
      </c>
      <c r="Z114" s="124" t="str">
        <f>IF(ISBLANK('RESUMEN VIGILANCIA'!Z117),"",'RESUMEN VIGILANCIA'!Z117)</f>
        <v/>
      </c>
      <c r="AA114" s="124" t="str">
        <f>IF(ISBLANK('RESUMEN VIGILANCIA'!AA117),"",'RESUMEN VIGILANCIA'!AA117)</f>
        <v/>
      </c>
      <c r="AB114" s="99" t="str">
        <f>IF(ISBLANK('RESUMEN VIGILANCIA'!AB117),"",'RESUMEN VIGILANCIA'!AB117)</f>
        <v/>
      </c>
      <c r="AC114" s="115">
        <f t="shared" si="1"/>
        <v>4025000</v>
      </c>
      <c r="AD114" s="292"/>
      <c r="AE114" s="292"/>
    </row>
    <row r="115" spans="1:31" s="52" customFormat="1" ht="20.100000000000001" customHeight="1" x14ac:dyDescent="0.25">
      <c r="A115" s="163" t="s">
        <v>74</v>
      </c>
      <c r="B115" s="164" t="s">
        <v>75</v>
      </c>
      <c r="C115" s="152"/>
      <c r="D115" s="100" t="str">
        <f>IF(ISBLANK('RESUMEN VIGILANCIA'!D121),"",'RESUMEN VIGILANCIA'!D121)</f>
        <v/>
      </c>
      <c r="E115" s="151">
        <f>IF(ISBLANK('RESUMEN VIGILANCIA'!E121),"",'RESUMEN VIGILANCIA'!E121)</f>
        <v>4500</v>
      </c>
      <c r="F115" s="43">
        <f>IF(ISBLANK('RESUMEN VIGILANCIA'!F121),"",'RESUMEN VIGILANCIA'!F121)</f>
        <v>4500</v>
      </c>
      <c r="G115" s="43">
        <f>IF(ISBLANK('RESUMEN VIGILANCIA'!G121),"",'RESUMEN VIGILANCIA'!G121)</f>
        <v>5000</v>
      </c>
      <c r="H115" s="43">
        <f>IF(ISBLANK('RESUMEN VIGILANCIA'!H121),"",'RESUMEN VIGILANCIA'!H121)</f>
        <v>5000</v>
      </c>
      <c r="I115" s="43">
        <f>IF(ISBLANK('RESUMEN VIGILANCIA'!I121),"",'RESUMEN VIGILANCIA'!I121)</f>
        <v>5000</v>
      </c>
      <c r="J115" s="203" t="str">
        <f>IF(ISBLANK('RESUMEN VIGILANCIA'!J121),"",'RESUMEN VIGILANCIA'!J121)</f>
        <v>VENDIDA</v>
      </c>
      <c r="K115" s="205" t="str">
        <f>IF(ISBLANK('RESUMEN VIGILANCIA'!K121),"",'RESUMEN VIGILANCIA'!K121)</f>
        <v/>
      </c>
      <c r="L115" s="205" t="str">
        <f>IF(ISBLANK('RESUMEN VIGILANCIA'!L121),"",'RESUMEN VIGILANCIA'!L121)</f>
        <v/>
      </c>
      <c r="M115" s="205" t="str">
        <f>IF(ISBLANK('RESUMEN VIGILANCIA'!M121),"",'RESUMEN VIGILANCIA'!M121)</f>
        <v/>
      </c>
      <c r="N115" s="205" t="str">
        <f>IF(ISBLANK('RESUMEN VIGILANCIA'!N121),"",'RESUMEN VIGILANCIA'!N121)</f>
        <v/>
      </c>
      <c r="O115" s="212" t="str">
        <f>IF(ISBLANK('RESUMEN VIGILANCIA'!O121),"",'RESUMEN VIGILANCIA'!O121)</f>
        <v/>
      </c>
      <c r="P115" s="196" t="str">
        <f>IF(ISBLANK('RESUMEN VIGILANCIA'!P121),"",'RESUMEN VIGILANCIA'!P121)</f>
        <v/>
      </c>
      <c r="Q115" s="218" t="str">
        <f>IF(ISBLANK('RESUMEN VIGILANCIA'!Q121),"",'RESUMEN VIGILANCIA'!Q121)</f>
        <v/>
      </c>
      <c r="R115" s="212" t="str">
        <f>IF(ISBLANK('RESUMEN VIGILANCIA'!R121),"",'RESUMEN VIGILANCIA'!R121)</f>
        <v/>
      </c>
      <c r="S115" s="212" t="str">
        <f>IF(ISBLANK('RESUMEN VIGILANCIA'!S121),"",'RESUMEN VIGILANCIA'!S121)</f>
        <v/>
      </c>
      <c r="T115" s="212" t="str">
        <f>IF(ISBLANK('RESUMEN VIGILANCIA'!T121),"",'RESUMEN VIGILANCIA'!T121)</f>
        <v/>
      </c>
      <c r="U115" s="212" t="str">
        <f>IF(ISBLANK('RESUMEN VIGILANCIA'!U121),"",'RESUMEN VIGILANCIA'!U121)</f>
        <v/>
      </c>
      <c r="V115" s="212" t="str">
        <f>IF(ISBLANK('RESUMEN VIGILANCIA'!V121),"",'RESUMEN VIGILANCIA'!V121)</f>
        <v/>
      </c>
      <c r="W115" s="212" t="str">
        <f>IF(ISBLANK('RESUMEN VIGILANCIA'!W121),"",'RESUMEN VIGILANCIA'!W121)</f>
        <v/>
      </c>
      <c r="X115" s="212" t="str">
        <f>IF(ISBLANK('RESUMEN VIGILANCIA'!X121),"",'RESUMEN VIGILANCIA'!X121)</f>
        <v/>
      </c>
      <c r="Y115" s="212" t="str">
        <f>IF(ISBLANK('RESUMEN VIGILANCIA'!Y121),"",'RESUMEN VIGILANCIA'!Y121)</f>
        <v/>
      </c>
      <c r="Z115" s="212" t="str">
        <f>IF(ISBLANK('RESUMEN VIGILANCIA'!Z121),"",'RESUMEN VIGILANCIA'!Z121)</f>
        <v/>
      </c>
      <c r="AA115" s="212" t="str">
        <f>IF(ISBLANK('RESUMEN VIGILANCIA'!AA121),"",'RESUMEN VIGILANCIA'!AA121)</f>
        <v/>
      </c>
      <c r="AB115" s="196" t="str">
        <f>IF(ISBLANK('RESUMEN VIGILANCIA'!AB121),"",'RESUMEN VIGILANCIA'!AB121)</f>
        <v/>
      </c>
      <c r="AC115" s="115">
        <f t="shared" si="1"/>
        <v>24000</v>
      </c>
      <c r="AD115" s="292"/>
      <c r="AE115" s="292">
        <v>42856</v>
      </c>
    </row>
    <row r="116" spans="1:31" s="52" customFormat="1" ht="20.100000000000001" customHeight="1" x14ac:dyDescent="0.25">
      <c r="A116" s="53" t="s">
        <v>444</v>
      </c>
      <c r="B116" s="54" t="s">
        <v>75</v>
      </c>
      <c r="C116" s="152" t="s">
        <v>940</v>
      </c>
      <c r="D116" s="179" t="str">
        <f>IF(ISBLANK('RESUMEN VIGILANCIA'!D122),"",'RESUMEN VIGILANCIA'!D122)</f>
        <v/>
      </c>
      <c r="E116" s="181" t="str">
        <f>IF(ISBLANK('RESUMEN VIGILANCIA'!E122),"",'RESUMEN VIGILANCIA'!E122)</f>
        <v/>
      </c>
      <c r="F116" s="180" t="str">
        <f>IF(ISBLANK('RESUMEN VIGILANCIA'!F122),"",'RESUMEN VIGILANCIA'!F122)</f>
        <v/>
      </c>
      <c r="G116" s="180" t="str">
        <f>IF(ISBLANK('RESUMEN VIGILANCIA'!G122),"",'RESUMEN VIGILANCIA'!G122)</f>
        <v/>
      </c>
      <c r="H116" s="180" t="str">
        <f>IF(ISBLANK('RESUMEN VIGILANCIA'!H122),"",'RESUMEN VIGILANCIA'!H122)</f>
        <v/>
      </c>
      <c r="I116" s="180" t="str">
        <f>IF(ISBLANK('RESUMEN VIGILANCIA'!I122),"",'RESUMEN VIGILANCIA'!I122)</f>
        <v/>
      </c>
      <c r="J116" s="41">
        <f>IF(ISBLANK('RESUMEN VIGILANCIA'!J122),"",'RESUMEN VIGILANCIA'!J122)</f>
        <v>26000</v>
      </c>
      <c r="K116" s="77">
        <f>IF(ISBLANK('RESUMEN VIGILANCIA'!K122),"",'RESUMEN VIGILANCIA'!K122)</f>
        <v>26000</v>
      </c>
      <c r="L116" s="41">
        <f>IF(ISBLANK('RESUMEN VIGILANCIA'!L122),"",'RESUMEN VIGILANCIA'!L122)</f>
        <v>35000</v>
      </c>
      <c r="M116" s="41">
        <f>IF(ISBLANK('RESUMEN VIGILANCIA'!M122),"",'RESUMEN VIGILANCIA'!M122)</f>
        <v>35000</v>
      </c>
      <c r="N116" s="41">
        <f>IF(ISBLANK('RESUMEN VIGILANCIA'!N122),"",'RESUMEN VIGILANCIA'!N122)</f>
        <v>35000</v>
      </c>
      <c r="O116" s="124">
        <f>IF(ISBLANK('RESUMEN VIGILANCIA'!O122),"",'RESUMEN VIGILANCIA'!O122)</f>
        <v>50000</v>
      </c>
      <c r="P116" s="99">
        <f>IF(ISBLANK('RESUMEN VIGILANCIA'!P122),"",'RESUMEN VIGILANCIA'!P122)</f>
        <v>50000</v>
      </c>
      <c r="Q116" s="128">
        <f>IF(ISBLANK('RESUMEN VIGILANCIA'!Q122),"",'RESUMEN VIGILANCIA'!Q122)</f>
        <v>80000</v>
      </c>
      <c r="R116" s="124">
        <f>IF(ISBLANK('RESUMEN VIGILANCIA'!R122),"",'RESUMEN VIGILANCIA'!R122)</f>
        <v>80000</v>
      </c>
      <c r="S116" s="124">
        <f>IF(ISBLANK('RESUMEN VIGILANCIA'!S122),"",'RESUMEN VIGILANCIA'!S122)</f>
        <v>140000</v>
      </c>
      <c r="T116" s="124">
        <f>IF(ISBLANK('RESUMEN VIGILANCIA'!T122),"",'RESUMEN VIGILANCIA'!T122)</f>
        <v>140000</v>
      </c>
      <c r="U116" s="124">
        <f>IF(ISBLANK('RESUMEN VIGILANCIA'!U122),"",'RESUMEN VIGILANCIA'!U122)</f>
        <v>400000</v>
      </c>
      <c r="V116" s="124">
        <f>IF(ISBLANK('RESUMEN VIGILANCIA'!V122),"",'RESUMEN VIGILANCIA'!V122)</f>
        <v>625000</v>
      </c>
      <c r="W116" s="124">
        <f>IF(ISBLANK('RESUMEN VIGILANCIA'!W122),"",'RESUMEN VIGILANCIA'!W122)</f>
        <v>1000000</v>
      </c>
      <c r="X116" s="124">
        <f>IF(ISBLANK('RESUMEN VIGILANCIA'!X122),"",'RESUMEN VIGILANCIA'!X122)</f>
        <v>1200000</v>
      </c>
      <c r="Y116" s="124" t="str">
        <f>IF(ISBLANK('RESUMEN VIGILANCIA'!Y122),"",'RESUMEN VIGILANCIA'!Y122)</f>
        <v/>
      </c>
      <c r="Z116" s="124" t="str">
        <f>IF(ISBLANK('RESUMEN VIGILANCIA'!Z122),"",'RESUMEN VIGILANCIA'!Z122)</f>
        <v/>
      </c>
      <c r="AA116" s="124" t="str">
        <f>IF(ISBLANK('RESUMEN VIGILANCIA'!AA122),"",'RESUMEN VIGILANCIA'!AA122)</f>
        <v/>
      </c>
      <c r="AB116" s="99" t="str">
        <f>IF(ISBLANK('RESUMEN VIGILANCIA'!AB122),"",'RESUMEN VIGILANCIA'!AB122)</f>
        <v/>
      </c>
      <c r="AC116" s="115">
        <f t="shared" si="1"/>
        <v>3922000</v>
      </c>
      <c r="AD116" s="292">
        <v>42887</v>
      </c>
      <c r="AE116" s="292"/>
    </row>
    <row r="117" spans="1:31" s="52" customFormat="1" ht="20.100000000000001" customHeight="1" x14ac:dyDescent="0.25">
      <c r="A117" s="53" t="s">
        <v>162</v>
      </c>
      <c r="B117" s="54" t="s">
        <v>164</v>
      </c>
      <c r="C117" s="152" t="s">
        <v>940</v>
      </c>
      <c r="D117" s="99" t="str">
        <f>IF(ISBLANK('RESUMEN VIGILANCIA'!D123),"",'RESUMEN VIGILANCIA'!D123)</f>
        <v/>
      </c>
      <c r="E117" s="153">
        <f>IF(ISBLANK('RESUMEN VIGILANCIA'!E123),"",'RESUMEN VIGILANCIA'!E123)</f>
        <v>17000</v>
      </c>
      <c r="F117" s="42">
        <f>IF(ISBLANK('RESUMEN VIGILANCIA'!F123),"",'RESUMEN VIGILANCIA'!F123)</f>
        <v>12000</v>
      </c>
      <c r="G117" s="42" t="str">
        <f>IF(ISBLANK('RESUMEN VIGILANCIA'!G123),"",'RESUMEN VIGILANCIA'!G123)</f>
        <v/>
      </c>
      <c r="H117" s="42" t="str">
        <f>IF(ISBLANK('RESUMEN VIGILANCIA'!H123),"",'RESUMEN VIGILANCIA'!H123)</f>
        <v/>
      </c>
      <c r="I117" s="41">
        <f>IF(ISBLANK('RESUMEN VIGILANCIA'!I123),"",'RESUMEN VIGILANCIA'!I123)</f>
        <v>26000</v>
      </c>
      <c r="J117" s="41">
        <f>IF(ISBLANK('RESUMEN VIGILANCIA'!J123),"",'RESUMEN VIGILANCIA'!J123)</f>
        <v>26000</v>
      </c>
      <c r="K117" s="41">
        <f>IF(ISBLANK('RESUMEN VIGILANCIA'!K123),"",'RESUMEN VIGILANCIA'!K123)</f>
        <v>35000</v>
      </c>
      <c r="L117" s="41">
        <f>IF(ISBLANK('RESUMEN VIGILANCIA'!L123),"",'RESUMEN VIGILANCIA'!L123)</f>
        <v>35000</v>
      </c>
      <c r="M117" s="41">
        <f>IF(ISBLANK('RESUMEN VIGILANCIA'!M123),"",'RESUMEN VIGILANCIA'!M123)</f>
        <v>35000</v>
      </c>
      <c r="N117" s="41">
        <f>IF(ISBLANK('RESUMEN VIGILANCIA'!N123),"",'RESUMEN VIGILANCIA'!N123)</f>
        <v>35000</v>
      </c>
      <c r="O117" s="124">
        <f>IF(ISBLANK('RESUMEN VIGILANCIA'!O123),"",'RESUMEN VIGILANCIA'!O123)</f>
        <v>50000</v>
      </c>
      <c r="P117" s="99">
        <f>IF(ISBLANK('RESUMEN VIGILANCIA'!P123),"",'RESUMEN VIGILANCIA'!P123)</f>
        <v>50000</v>
      </c>
      <c r="Q117" s="128">
        <f>IF(ISBLANK('RESUMEN VIGILANCIA'!Q123),"",'RESUMEN VIGILANCIA'!Q123)</f>
        <v>80000</v>
      </c>
      <c r="R117" s="124">
        <f>IF(ISBLANK('RESUMEN VIGILANCIA'!R123),"",'RESUMEN VIGILANCIA'!R123)</f>
        <v>80000</v>
      </c>
      <c r="S117" s="124">
        <f>IF(ISBLANK('RESUMEN VIGILANCIA'!S123),"",'RESUMEN VIGILANCIA'!S123)</f>
        <v>140000</v>
      </c>
      <c r="T117" s="124">
        <f>IF(ISBLANK('RESUMEN VIGILANCIA'!T123),"",'RESUMEN VIGILANCIA'!T123)</f>
        <v>140000</v>
      </c>
      <c r="U117" s="124">
        <f>IF(ISBLANK('RESUMEN VIGILANCIA'!U123),"",'RESUMEN VIGILANCIA'!U123)</f>
        <v>400000</v>
      </c>
      <c r="V117" s="124">
        <f>IF(ISBLANK('RESUMEN VIGILANCIA'!V123),"",'RESUMEN VIGILANCIA'!V123)</f>
        <v>625000</v>
      </c>
      <c r="W117" s="124">
        <f>IF(ISBLANK('RESUMEN VIGILANCIA'!W123),"",'RESUMEN VIGILANCIA'!W123)</f>
        <v>1000000</v>
      </c>
      <c r="X117" s="124">
        <f>IF(ISBLANK('RESUMEN VIGILANCIA'!X123),"",'RESUMEN VIGILANCIA'!X123)</f>
        <v>1200000</v>
      </c>
      <c r="Y117" s="124">
        <f>IF(ISBLANK('RESUMEN VIGILANCIA'!Y123),"",'RESUMEN VIGILANCIA'!Y123)</f>
        <v>400000</v>
      </c>
      <c r="Z117" s="124">
        <f>IF(ISBLANK('RESUMEN VIGILANCIA'!Z123),"",'RESUMEN VIGILANCIA'!Z123)</f>
        <v>20000</v>
      </c>
      <c r="AA117" s="124" t="str">
        <f>IF(ISBLANK('RESUMEN VIGILANCIA'!AA123),"",'RESUMEN VIGILANCIA'!AA123)</f>
        <v/>
      </c>
      <c r="AB117" s="99" t="str">
        <f>IF(ISBLANK('RESUMEN VIGILANCIA'!AB123),"",'RESUMEN VIGILANCIA'!AB123)</f>
        <v/>
      </c>
      <c r="AC117" s="115">
        <f t="shared" si="1"/>
        <v>4406000</v>
      </c>
      <c r="AD117" s="292"/>
      <c r="AE117" s="292"/>
    </row>
    <row r="118" spans="1:31" s="52" customFormat="1" ht="20.100000000000001" customHeight="1" x14ac:dyDescent="0.25">
      <c r="A118" s="53" t="s">
        <v>138</v>
      </c>
      <c r="B118" s="54" t="s">
        <v>140</v>
      </c>
      <c r="C118" s="152" t="s">
        <v>940</v>
      </c>
      <c r="D118" s="99" t="str">
        <f>IF(ISBLANK('RESUMEN VIGILANCIA'!D126),"",'RESUMEN VIGILANCIA'!D126)</f>
        <v/>
      </c>
      <c r="E118" s="153">
        <f>IF(ISBLANK('RESUMEN VIGILANCIA'!E126),"",'RESUMEN VIGILANCIA'!E126)</f>
        <v>17000</v>
      </c>
      <c r="F118" s="41">
        <f>IF(ISBLANK('RESUMEN VIGILANCIA'!F126),"",'RESUMEN VIGILANCIA'!F126)</f>
        <v>17000</v>
      </c>
      <c r="G118" s="41">
        <f>IF(ISBLANK('RESUMEN VIGILANCIA'!G126),"",'RESUMEN VIGILANCIA'!G126)</f>
        <v>17000</v>
      </c>
      <c r="H118" s="41">
        <f>IF(ISBLANK('RESUMEN VIGILANCIA'!H126),"",'RESUMEN VIGILANCIA'!H126)</f>
        <v>17000</v>
      </c>
      <c r="I118" s="41">
        <f>IF(ISBLANK('RESUMEN VIGILANCIA'!I126),"",'RESUMEN VIGILANCIA'!I126)</f>
        <v>26000</v>
      </c>
      <c r="J118" s="41">
        <f>IF(ISBLANK('RESUMEN VIGILANCIA'!J126),"",'RESUMEN VIGILANCIA'!J126)</f>
        <v>26000</v>
      </c>
      <c r="K118" s="41">
        <f>IF(ISBLANK('RESUMEN VIGILANCIA'!K126),"",'RESUMEN VIGILANCIA'!K126)</f>
        <v>35000</v>
      </c>
      <c r="L118" s="41">
        <f>IF(ISBLANK('RESUMEN VIGILANCIA'!L126),"",'RESUMEN VIGILANCIA'!L126)</f>
        <v>35000</v>
      </c>
      <c r="M118" s="41">
        <f>IF(ISBLANK('RESUMEN VIGILANCIA'!M126),"",'RESUMEN VIGILANCIA'!M126)</f>
        <v>35000</v>
      </c>
      <c r="N118" s="41">
        <f>IF(ISBLANK('RESUMEN VIGILANCIA'!N126),"",'RESUMEN VIGILANCIA'!N126)</f>
        <v>35000</v>
      </c>
      <c r="O118" s="124">
        <f>IF(ISBLANK('RESUMEN VIGILANCIA'!O126),"",'RESUMEN VIGILANCIA'!O126)</f>
        <v>50000</v>
      </c>
      <c r="P118" s="99">
        <f>IF(ISBLANK('RESUMEN VIGILANCIA'!P126),"",'RESUMEN VIGILANCIA'!P126)</f>
        <v>50000</v>
      </c>
      <c r="Q118" s="128">
        <f>IF(ISBLANK('RESUMEN VIGILANCIA'!Q126),"",'RESUMEN VIGILANCIA'!Q126)</f>
        <v>80000</v>
      </c>
      <c r="R118" s="124">
        <f>IF(ISBLANK('RESUMEN VIGILANCIA'!R126),"",'RESUMEN VIGILANCIA'!R126)</f>
        <v>80000</v>
      </c>
      <c r="S118" s="124">
        <f>IF(ISBLANK('RESUMEN VIGILANCIA'!S126),"",'RESUMEN VIGILANCIA'!S126)</f>
        <v>140000</v>
      </c>
      <c r="T118" s="124">
        <f>IF(ISBLANK('RESUMEN VIGILANCIA'!T126),"",'RESUMEN VIGILANCIA'!T126)</f>
        <v>140000</v>
      </c>
      <c r="U118" s="124">
        <f>IF(ISBLANK('RESUMEN VIGILANCIA'!U126),"",'RESUMEN VIGILANCIA'!U126)</f>
        <v>400000</v>
      </c>
      <c r="V118" s="124">
        <f>IF(ISBLANK('RESUMEN VIGILANCIA'!V126),"",'RESUMEN VIGILANCIA'!V126)</f>
        <v>625000</v>
      </c>
      <c r="W118" s="124">
        <f>IF(ISBLANK('RESUMEN VIGILANCIA'!W126),"",'RESUMEN VIGILANCIA'!W126)</f>
        <v>1000000</v>
      </c>
      <c r="X118" s="124">
        <f>IF(ISBLANK('RESUMEN VIGILANCIA'!X126),"",'RESUMEN VIGILANCIA'!X126)</f>
        <v>1000000</v>
      </c>
      <c r="Y118" s="124" t="str">
        <f>IF(ISBLANK('RESUMEN VIGILANCIA'!Y126),"",'RESUMEN VIGILANCIA'!Y126)</f>
        <v/>
      </c>
      <c r="Z118" s="124" t="str">
        <f>IF(ISBLANK('RESUMEN VIGILANCIA'!Z126),"",'RESUMEN VIGILANCIA'!Z126)</f>
        <v/>
      </c>
      <c r="AA118" s="124" t="str">
        <f>IF(ISBLANK('RESUMEN VIGILANCIA'!AA126),"",'RESUMEN VIGILANCIA'!AA126)</f>
        <v/>
      </c>
      <c r="AB118" s="99" t="str">
        <f>IF(ISBLANK('RESUMEN VIGILANCIA'!AB126),"",'RESUMEN VIGILANCIA'!AB126)</f>
        <v/>
      </c>
      <c r="AC118" s="115">
        <f t="shared" si="1"/>
        <v>3825000</v>
      </c>
      <c r="AD118" s="292"/>
      <c r="AE118" s="292"/>
    </row>
    <row r="119" spans="1:31" s="52" customFormat="1" ht="20.100000000000001" customHeight="1" x14ac:dyDescent="0.25">
      <c r="A119" s="53" t="s">
        <v>134</v>
      </c>
      <c r="B119" s="54" t="s">
        <v>136</v>
      </c>
      <c r="C119" s="152" t="s">
        <v>940</v>
      </c>
      <c r="D119" s="99" t="str">
        <f>IF(ISBLANK('RESUMEN VIGILANCIA'!D124),"",'RESUMEN VIGILANCIA'!D124)</f>
        <v/>
      </c>
      <c r="E119" s="153">
        <f>IF(ISBLANK('RESUMEN VIGILANCIA'!E124),"",'RESUMEN VIGILANCIA'!E124)</f>
        <v>17000</v>
      </c>
      <c r="F119" s="41">
        <f>IF(ISBLANK('RESUMEN VIGILANCIA'!F124),"",'RESUMEN VIGILANCIA'!F124)</f>
        <v>17000</v>
      </c>
      <c r="G119" s="41">
        <f>IF(ISBLANK('RESUMEN VIGILANCIA'!G124),"",'RESUMEN VIGILANCIA'!G124)</f>
        <v>17000</v>
      </c>
      <c r="H119" s="41">
        <f>IF(ISBLANK('RESUMEN VIGILANCIA'!H124),"",'RESUMEN VIGILANCIA'!H124)</f>
        <v>17000</v>
      </c>
      <c r="I119" s="41">
        <f>IF(ISBLANK('RESUMEN VIGILANCIA'!I124),"",'RESUMEN VIGILANCIA'!I124)</f>
        <v>26000</v>
      </c>
      <c r="J119" s="41">
        <f>IF(ISBLANK('RESUMEN VIGILANCIA'!J124),"",'RESUMEN VIGILANCIA'!J124)</f>
        <v>26000</v>
      </c>
      <c r="K119" s="41">
        <f>IF(ISBLANK('RESUMEN VIGILANCIA'!K124),"",'RESUMEN VIGILANCIA'!K124)</f>
        <v>35000</v>
      </c>
      <c r="L119" s="41">
        <f>IF(ISBLANK('RESUMEN VIGILANCIA'!L124),"",'RESUMEN VIGILANCIA'!L124)</f>
        <v>35000</v>
      </c>
      <c r="M119" s="41">
        <f>IF(ISBLANK('RESUMEN VIGILANCIA'!M124),"",'RESUMEN VIGILANCIA'!M124)</f>
        <v>35000</v>
      </c>
      <c r="N119" s="41">
        <f>IF(ISBLANK('RESUMEN VIGILANCIA'!N124),"",'RESUMEN VIGILANCIA'!N124)</f>
        <v>35000</v>
      </c>
      <c r="O119" s="124">
        <f>IF(ISBLANK('RESUMEN VIGILANCIA'!O124),"",'RESUMEN VIGILANCIA'!O124)</f>
        <v>50000</v>
      </c>
      <c r="P119" s="99">
        <f>IF(ISBLANK('RESUMEN VIGILANCIA'!P124),"",'RESUMEN VIGILANCIA'!P124)</f>
        <v>50000</v>
      </c>
      <c r="Q119" s="128">
        <f>IF(ISBLANK('RESUMEN VIGILANCIA'!Q124),"",'RESUMEN VIGILANCIA'!Q124)</f>
        <v>80000</v>
      </c>
      <c r="R119" s="124">
        <f>IF(ISBLANK('RESUMEN VIGILANCIA'!R124),"",'RESUMEN VIGILANCIA'!R124)</f>
        <v>80000</v>
      </c>
      <c r="S119" s="124">
        <f>IF(ISBLANK('RESUMEN VIGILANCIA'!S124),"",'RESUMEN VIGILANCIA'!S124)</f>
        <v>140000</v>
      </c>
      <c r="T119" s="124">
        <f>IF(ISBLANK('RESUMEN VIGILANCIA'!T124),"",'RESUMEN VIGILANCIA'!T124)</f>
        <v>140000</v>
      </c>
      <c r="U119" s="124">
        <f>IF(ISBLANK('RESUMEN VIGILANCIA'!U124),"",'RESUMEN VIGILANCIA'!U124)</f>
        <v>400000</v>
      </c>
      <c r="V119" s="124">
        <f>IF(ISBLANK('RESUMEN VIGILANCIA'!V124),"",'RESUMEN VIGILANCIA'!V124)</f>
        <v>625000</v>
      </c>
      <c r="W119" s="124">
        <f>IF(ISBLANK('RESUMEN VIGILANCIA'!W124),"",'RESUMEN VIGILANCIA'!W124)</f>
        <v>1000000</v>
      </c>
      <c r="X119" s="124">
        <f>IF(ISBLANK('RESUMEN VIGILANCIA'!X124),"",'RESUMEN VIGILANCIA'!X124)</f>
        <v>1200000</v>
      </c>
      <c r="Y119" s="124" t="str">
        <f>IF(ISBLANK('RESUMEN VIGILANCIA'!Y124),"",'RESUMEN VIGILANCIA'!Y124)</f>
        <v/>
      </c>
      <c r="Z119" s="124" t="str">
        <f>IF(ISBLANK('RESUMEN VIGILANCIA'!Z124),"",'RESUMEN VIGILANCIA'!Z124)</f>
        <v/>
      </c>
      <c r="AA119" s="124" t="str">
        <f>IF(ISBLANK('RESUMEN VIGILANCIA'!AA124),"",'RESUMEN VIGILANCIA'!AA124)</f>
        <v/>
      </c>
      <c r="AB119" s="99" t="str">
        <f>IF(ISBLANK('RESUMEN VIGILANCIA'!AB124),"",'RESUMEN VIGILANCIA'!AB124)</f>
        <v/>
      </c>
      <c r="AC119" s="115">
        <f t="shared" si="1"/>
        <v>4025000</v>
      </c>
      <c r="AD119" s="292"/>
      <c r="AE119" s="292"/>
    </row>
    <row r="120" spans="1:31" s="52" customFormat="1" ht="20.100000000000001" customHeight="1" x14ac:dyDescent="0.25">
      <c r="A120" s="53" t="s">
        <v>287</v>
      </c>
      <c r="B120" s="54" t="s">
        <v>289</v>
      </c>
      <c r="C120" s="152" t="s">
        <v>940</v>
      </c>
      <c r="D120" s="99" t="str">
        <f>IF(ISBLANK('RESUMEN VIGILANCIA'!D101),"",'RESUMEN VIGILANCIA'!D101)</f>
        <v/>
      </c>
      <c r="E120" s="153">
        <f>IF(ISBLANK('RESUMEN VIGILANCIA'!E101),"",'RESUMEN VIGILANCIA'!E101)</f>
        <v>17000</v>
      </c>
      <c r="F120" s="41">
        <f>IF(ISBLANK('RESUMEN VIGILANCIA'!F101),"",'RESUMEN VIGILANCIA'!F101)</f>
        <v>17000</v>
      </c>
      <c r="G120" s="41">
        <f>IF(ISBLANK('RESUMEN VIGILANCIA'!G101),"",'RESUMEN VIGILANCIA'!G101)</f>
        <v>17000</v>
      </c>
      <c r="H120" s="41">
        <f>IF(ISBLANK('RESUMEN VIGILANCIA'!H101),"",'RESUMEN VIGILANCIA'!H101)</f>
        <v>17000</v>
      </c>
      <c r="I120" s="41">
        <f>IF(ISBLANK('RESUMEN VIGILANCIA'!I101),"",'RESUMEN VIGILANCIA'!I101)</f>
        <v>26000</v>
      </c>
      <c r="J120" s="41">
        <f>IF(ISBLANK('RESUMEN VIGILANCIA'!J101),"",'RESUMEN VIGILANCIA'!J101)</f>
        <v>26000</v>
      </c>
      <c r="K120" s="41">
        <f>IF(ISBLANK('RESUMEN VIGILANCIA'!K101),"",'RESUMEN VIGILANCIA'!K101)</f>
        <v>35000</v>
      </c>
      <c r="L120" s="41">
        <f>IF(ISBLANK('RESUMEN VIGILANCIA'!L101),"",'RESUMEN VIGILANCIA'!L101)</f>
        <v>35000</v>
      </c>
      <c r="M120" s="41">
        <f>IF(ISBLANK('RESUMEN VIGILANCIA'!M101),"",'RESUMEN VIGILANCIA'!M101)</f>
        <v>35000</v>
      </c>
      <c r="N120" s="41">
        <f>IF(ISBLANK('RESUMEN VIGILANCIA'!N101),"",'RESUMEN VIGILANCIA'!N101)</f>
        <v>35000</v>
      </c>
      <c r="O120" s="124">
        <f>IF(ISBLANK('RESUMEN VIGILANCIA'!O101),"",'RESUMEN VIGILANCIA'!O101)</f>
        <v>50000</v>
      </c>
      <c r="P120" s="99">
        <f>IF(ISBLANK('RESUMEN VIGILANCIA'!P101),"",'RESUMEN VIGILANCIA'!P101)</f>
        <v>50000</v>
      </c>
      <c r="Q120" s="128">
        <f>IF(ISBLANK('RESUMEN VIGILANCIA'!Q101),"",'RESUMEN VIGILANCIA'!Q101)</f>
        <v>80000</v>
      </c>
      <c r="R120" s="124">
        <f>IF(ISBLANK('RESUMEN VIGILANCIA'!R101),"",'RESUMEN VIGILANCIA'!R101)</f>
        <v>80000</v>
      </c>
      <c r="S120" s="124">
        <f>IF(ISBLANK('RESUMEN VIGILANCIA'!S101),"",'RESUMEN VIGILANCIA'!S101)</f>
        <v>140000</v>
      </c>
      <c r="T120" s="124">
        <f>IF(ISBLANK('RESUMEN VIGILANCIA'!T101),"",'RESUMEN VIGILANCIA'!T101)</f>
        <v>140000</v>
      </c>
      <c r="U120" s="124">
        <f>IF(ISBLANK('RESUMEN VIGILANCIA'!U101),"",'RESUMEN VIGILANCIA'!U101)</f>
        <v>400000</v>
      </c>
      <c r="V120" s="124">
        <f>IF(ISBLANK('RESUMEN VIGILANCIA'!V101),"",'RESUMEN VIGILANCIA'!V101)</f>
        <v>625000</v>
      </c>
      <c r="W120" s="124">
        <f>IF(ISBLANK('RESUMEN VIGILANCIA'!W101),"",'RESUMEN VIGILANCIA'!W101)</f>
        <v>1000000</v>
      </c>
      <c r="X120" s="124" t="str">
        <f>IF(ISBLANK('RESUMEN VIGILANCIA'!X101),"",'RESUMEN VIGILANCIA'!X101)</f>
        <v/>
      </c>
      <c r="Y120" s="124" t="str">
        <f>IF(ISBLANK('RESUMEN VIGILANCIA'!Y101),"",'RESUMEN VIGILANCIA'!Y101)</f>
        <v/>
      </c>
      <c r="Z120" s="124" t="str">
        <f>IF(ISBLANK('RESUMEN VIGILANCIA'!Z101),"",'RESUMEN VIGILANCIA'!Z101)</f>
        <v/>
      </c>
      <c r="AA120" s="124" t="str">
        <f>IF(ISBLANK('RESUMEN VIGILANCIA'!AA101),"",'RESUMEN VIGILANCIA'!AA101)</f>
        <v/>
      </c>
      <c r="AB120" s="99" t="str">
        <f>IF(ISBLANK('RESUMEN VIGILANCIA'!AB101),"",'RESUMEN VIGILANCIA'!AB101)</f>
        <v/>
      </c>
      <c r="AC120" s="115">
        <f t="shared" si="1"/>
        <v>2825000</v>
      </c>
      <c r="AD120" s="292"/>
      <c r="AE120" s="292"/>
    </row>
    <row r="121" spans="1:31" s="52" customFormat="1" ht="20.100000000000001" customHeight="1" x14ac:dyDescent="0.25">
      <c r="A121" s="53" t="s">
        <v>215</v>
      </c>
      <c r="B121" s="54" t="s">
        <v>217</v>
      </c>
      <c r="C121" s="152" t="s">
        <v>940</v>
      </c>
      <c r="D121" s="99" t="str">
        <f>IF(ISBLANK('RESUMEN VIGILANCIA'!D89),"",'RESUMEN VIGILANCIA'!D89)</f>
        <v/>
      </c>
      <c r="E121" s="153">
        <f>IF(ISBLANK('RESUMEN VIGILANCIA'!E89),"",'RESUMEN VIGILANCIA'!E89)</f>
        <v>17000</v>
      </c>
      <c r="F121" s="41">
        <f>IF(ISBLANK('RESUMEN VIGILANCIA'!F89),"",'RESUMEN VIGILANCIA'!F89)</f>
        <v>17000</v>
      </c>
      <c r="G121" s="42" t="str">
        <f>IF(ISBLANK('RESUMEN VIGILANCIA'!G89),"",'RESUMEN VIGILANCIA'!G89)</f>
        <v/>
      </c>
      <c r="H121" s="42" t="str">
        <f>IF(ISBLANK('RESUMEN VIGILANCIA'!H89),"",'RESUMEN VIGILANCIA'!H89)</f>
        <v/>
      </c>
      <c r="I121" s="41">
        <f>IF(ISBLANK('RESUMEN VIGILANCIA'!I89),"",'RESUMEN VIGILANCIA'!I89)</f>
        <v>26000</v>
      </c>
      <c r="J121" s="41">
        <f>IF(ISBLANK('RESUMEN VIGILANCIA'!J89),"",'RESUMEN VIGILANCIA'!J89)</f>
        <v>26000</v>
      </c>
      <c r="K121" s="77">
        <f>IF(ISBLANK('RESUMEN VIGILANCIA'!K89),"",'RESUMEN VIGILANCIA'!K89)</f>
        <v>26000</v>
      </c>
      <c r="L121" s="41" t="str">
        <f>IF(ISBLANK('RESUMEN VIGILANCIA'!L89),"",'RESUMEN VIGILANCIA'!L89)</f>
        <v/>
      </c>
      <c r="M121" s="41" t="str">
        <f>IF(ISBLANK('RESUMEN VIGILANCIA'!M89),"",'RESUMEN VIGILANCIA'!M89)</f>
        <v/>
      </c>
      <c r="N121" s="41" t="str">
        <f>IF(ISBLANK('RESUMEN VIGILANCIA'!N89),"",'RESUMEN VIGILANCIA'!N89)</f>
        <v/>
      </c>
      <c r="O121" s="124" t="str">
        <f>IF(ISBLANK('RESUMEN VIGILANCIA'!O89),"",'RESUMEN VIGILANCIA'!O89)</f>
        <v/>
      </c>
      <c r="P121" s="99" t="str">
        <f>IF(ISBLANK('RESUMEN VIGILANCIA'!P89),"",'RESUMEN VIGILANCIA'!P89)</f>
        <v/>
      </c>
      <c r="Q121" s="128" t="str">
        <f>IF(ISBLANK('RESUMEN VIGILANCIA'!Q89),"",'RESUMEN VIGILANCIA'!Q89)</f>
        <v/>
      </c>
      <c r="R121" s="124" t="str">
        <f>IF(ISBLANK('RESUMEN VIGILANCIA'!R89),"",'RESUMEN VIGILANCIA'!R89)</f>
        <v/>
      </c>
      <c r="S121" s="124" t="str">
        <f>IF(ISBLANK('RESUMEN VIGILANCIA'!S89),"",'RESUMEN VIGILANCIA'!S89)</f>
        <v/>
      </c>
      <c r="T121" s="124" t="str">
        <f>IF(ISBLANK('RESUMEN VIGILANCIA'!T89),"",'RESUMEN VIGILANCIA'!T89)</f>
        <v/>
      </c>
      <c r="U121" s="124" t="str">
        <f>IF(ISBLANK('RESUMEN VIGILANCIA'!U89),"",'RESUMEN VIGILANCIA'!U89)</f>
        <v/>
      </c>
      <c r="V121" s="124" t="str">
        <f>IF(ISBLANK('RESUMEN VIGILANCIA'!V89),"",'RESUMEN VIGILANCIA'!V89)</f>
        <v/>
      </c>
      <c r="W121" s="124" t="str">
        <f>IF(ISBLANK('RESUMEN VIGILANCIA'!W89),"",'RESUMEN VIGILANCIA'!W89)</f>
        <v/>
      </c>
      <c r="X121" s="124" t="str">
        <f>IF(ISBLANK('RESUMEN VIGILANCIA'!X89),"",'RESUMEN VIGILANCIA'!X89)</f>
        <v/>
      </c>
      <c r="Y121" s="124" t="str">
        <f>IF(ISBLANK('RESUMEN VIGILANCIA'!Y89),"",'RESUMEN VIGILANCIA'!Y89)</f>
        <v/>
      </c>
      <c r="Z121" s="124" t="str">
        <f>IF(ISBLANK('RESUMEN VIGILANCIA'!Z89),"",'RESUMEN VIGILANCIA'!Z89)</f>
        <v/>
      </c>
      <c r="AA121" s="124" t="str">
        <f>IF(ISBLANK('RESUMEN VIGILANCIA'!AA89),"",'RESUMEN VIGILANCIA'!AA89)</f>
        <v/>
      </c>
      <c r="AB121" s="99" t="str">
        <f>IF(ISBLANK('RESUMEN VIGILANCIA'!AB89),"",'RESUMEN VIGILANCIA'!AB89)</f>
        <v/>
      </c>
      <c r="AC121" s="115">
        <f t="shared" si="1"/>
        <v>112000</v>
      </c>
      <c r="AD121" s="292"/>
      <c r="AE121" s="292"/>
    </row>
    <row r="122" spans="1:31" s="52" customFormat="1" ht="20.100000000000001" customHeight="1" x14ac:dyDescent="0.25">
      <c r="A122" s="53" t="s">
        <v>537</v>
      </c>
      <c r="B122" s="54" t="s">
        <v>539</v>
      </c>
      <c r="C122" s="152" t="s">
        <v>940</v>
      </c>
      <c r="D122" s="99" t="str">
        <f>IF(ISBLANK('RESUMEN VIGILANCIA'!D102),"",'RESUMEN VIGILANCIA'!D102)</f>
        <v/>
      </c>
      <c r="E122" s="153" t="str">
        <f>IF(ISBLANK('RESUMEN VIGILANCIA'!E102),"",'RESUMEN VIGILANCIA'!E102)</f>
        <v/>
      </c>
      <c r="F122" s="41" t="str">
        <f>IF(ISBLANK('RESUMEN VIGILANCIA'!F102),"",'RESUMEN VIGILANCIA'!F102)</f>
        <v/>
      </c>
      <c r="G122" s="41" t="str">
        <f>IF(ISBLANK('RESUMEN VIGILANCIA'!G102),"",'RESUMEN VIGILANCIA'!G102)</f>
        <v/>
      </c>
      <c r="H122" s="41" t="str">
        <f>IF(ISBLANK('RESUMEN VIGILANCIA'!H102),"",'RESUMEN VIGILANCIA'!H102)</f>
        <v/>
      </c>
      <c r="I122" s="41" t="str">
        <f>IF(ISBLANK('RESUMEN VIGILANCIA'!I102),"",'RESUMEN VIGILANCIA'!I102)</f>
        <v/>
      </c>
      <c r="J122" s="41" t="str">
        <f>IF(ISBLANK('RESUMEN VIGILANCIA'!J102),"",'RESUMEN VIGILANCIA'!J102)</f>
        <v/>
      </c>
      <c r="K122" s="41">
        <f>IF(ISBLANK('RESUMEN VIGILANCIA'!K102),"",'RESUMEN VIGILANCIA'!K102)</f>
        <v>35000</v>
      </c>
      <c r="L122" s="41">
        <f>IF(ISBLANK('RESUMEN VIGILANCIA'!L102),"",'RESUMEN VIGILANCIA'!L102)</f>
        <v>35000</v>
      </c>
      <c r="M122" s="41">
        <f>IF(ISBLANK('RESUMEN VIGILANCIA'!M102),"",'RESUMEN VIGILANCIA'!M102)</f>
        <v>35000</v>
      </c>
      <c r="N122" s="41">
        <f>IF(ISBLANK('RESUMEN VIGILANCIA'!N102),"",'RESUMEN VIGILANCIA'!N102)</f>
        <v>35000</v>
      </c>
      <c r="O122" s="124">
        <f>IF(ISBLANK('RESUMEN VIGILANCIA'!O102),"",'RESUMEN VIGILANCIA'!O102)</f>
        <v>50000</v>
      </c>
      <c r="P122" s="99">
        <f>IF(ISBLANK('RESUMEN VIGILANCIA'!P102),"",'RESUMEN VIGILANCIA'!P102)</f>
        <v>50000</v>
      </c>
      <c r="Q122" s="128">
        <f>IF(ISBLANK('RESUMEN VIGILANCIA'!Q102),"",'RESUMEN VIGILANCIA'!Q102)</f>
        <v>80000</v>
      </c>
      <c r="R122" s="124">
        <f>IF(ISBLANK('RESUMEN VIGILANCIA'!R102),"",'RESUMEN VIGILANCIA'!R102)</f>
        <v>80000</v>
      </c>
      <c r="S122" s="124">
        <f>IF(ISBLANK('RESUMEN VIGILANCIA'!S102),"",'RESUMEN VIGILANCIA'!S102)</f>
        <v>140000</v>
      </c>
      <c r="T122" s="124">
        <f>IF(ISBLANK('RESUMEN VIGILANCIA'!T102),"",'RESUMEN VIGILANCIA'!T102)</f>
        <v>140000</v>
      </c>
      <c r="U122" s="124">
        <f>IF(ISBLANK('RESUMEN VIGILANCIA'!U102),"",'RESUMEN VIGILANCIA'!U102)</f>
        <v>400000</v>
      </c>
      <c r="V122" s="124">
        <f>IF(ISBLANK('RESUMEN VIGILANCIA'!V102),"",'RESUMEN VIGILANCIA'!V102)</f>
        <v>625000</v>
      </c>
      <c r="W122" s="124">
        <f>IF(ISBLANK('RESUMEN VIGILANCIA'!W102),"",'RESUMEN VIGILANCIA'!W102)</f>
        <v>1000000</v>
      </c>
      <c r="X122" s="124">
        <f>IF(ISBLANK('RESUMEN VIGILANCIA'!X102),"",'RESUMEN VIGILANCIA'!X102)</f>
        <v>50000</v>
      </c>
      <c r="Y122" s="124" t="str">
        <f>IF(ISBLANK('RESUMEN VIGILANCIA'!Y102),"",'RESUMEN VIGILANCIA'!Y102)</f>
        <v/>
      </c>
      <c r="Z122" s="124" t="str">
        <f>IF(ISBLANK('RESUMEN VIGILANCIA'!Z102),"",'RESUMEN VIGILANCIA'!Z102)</f>
        <v/>
      </c>
      <c r="AA122" s="124" t="str">
        <f>IF(ISBLANK('RESUMEN VIGILANCIA'!AA102),"",'RESUMEN VIGILANCIA'!AA102)</f>
        <v/>
      </c>
      <c r="AB122" s="99" t="str">
        <f>IF(ISBLANK('RESUMEN VIGILANCIA'!AB102),"",'RESUMEN VIGILANCIA'!AB102)</f>
        <v/>
      </c>
      <c r="AC122" s="115">
        <f t="shared" si="1"/>
        <v>2755000</v>
      </c>
      <c r="AD122" s="292"/>
      <c r="AE122" s="292"/>
    </row>
    <row r="123" spans="1:31" s="52" customFormat="1" ht="20.100000000000001" customHeight="1" x14ac:dyDescent="0.25">
      <c r="A123" s="53" t="s">
        <v>633</v>
      </c>
      <c r="B123" s="54" t="s">
        <v>635</v>
      </c>
      <c r="C123" s="152" t="s">
        <v>940</v>
      </c>
      <c r="D123" s="99" t="str">
        <f>IF(ISBLANK('RESUMEN VIGILANCIA'!D72),"",'RESUMEN VIGILANCIA'!D72)</f>
        <v/>
      </c>
      <c r="E123" s="153" t="str">
        <f>IF(ISBLANK('RESUMEN VIGILANCIA'!E72),"",'RESUMEN VIGILANCIA'!E72)</f>
        <v/>
      </c>
      <c r="F123" s="41" t="str">
        <f>IF(ISBLANK('RESUMEN VIGILANCIA'!F72),"",'RESUMEN VIGILANCIA'!F72)</f>
        <v/>
      </c>
      <c r="G123" s="41" t="str">
        <f>IF(ISBLANK('RESUMEN VIGILANCIA'!G72),"",'RESUMEN VIGILANCIA'!G72)</f>
        <v/>
      </c>
      <c r="H123" s="41" t="str">
        <f>IF(ISBLANK('RESUMEN VIGILANCIA'!H72),"",'RESUMEN VIGILANCIA'!H72)</f>
        <v/>
      </c>
      <c r="I123" s="41" t="str">
        <f>IF(ISBLANK('RESUMEN VIGILANCIA'!I72),"",'RESUMEN VIGILANCIA'!I72)</f>
        <v/>
      </c>
      <c r="J123" s="41" t="str">
        <f>IF(ISBLANK('RESUMEN VIGILANCIA'!J72),"",'RESUMEN VIGILANCIA'!J72)</f>
        <v/>
      </c>
      <c r="K123" s="41" t="str">
        <f>IF(ISBLANK('RESUMEN VIGILANCIA'!K72),"",'RESUMEN VIGILANCIA'!K72)</f>
        <v/>
      </c>
      <c r="L123" s="41" t="str">
        <f>IF(ISBLANK('RESUMEN VIGILANCIA'!L72),"",'RESUMEN VIGILANCIA'!L72)</f>
        <v/>
      </c>
      <c r="M123" s="41" t="str">
        <f>IF(ISBLANK('RESUMEN VIGILANCIA'!M72),"",'RESUMEN VIGILANCIA'!M72)</f>
        <v/>
      </c>
      <c r="N123" s="41" t="str">
        <f>IF(ISBLANK('RESUMEN VIGILANCIA'!N72),"",'RESUMEN VIGILANCIA'!N72)</f>
        <v/>
      </c>
      <c r="O123" s="124" t="str">
        <f>IF(ISBLANK('RESUMEN VIGILANCIA'!O72),"",'RESUMEN VIGILANCIA'!O72)</f>
        <v/>
      </c>
      <c r="P123" s="99" t="str">
        <f>IF(ISBLANK('RESUMEN VIGILANCIA'!P72),"",'RESUMEN VIGILANCIA'!P72)</f>
        <v/>
      </c>
      <c r="Q123" s="128" t="str">
        <f>IF(ISBLANK('RESUMEN VIGILANCIA'!Q72),"",'RESUMEN VIGILANCIA'!Q72)</f>
        <v/>
      </c>
      <c r="R123" s="124">
        <f>IF(ISBLANK('RESUMEN VIGILANCIA'!R72),"",'RESUMEN VIGILANCIA'!R72)</f>
        <v>80000</v>
      </c>
      <c r="S123" s="124">
        <f>IF(ISBLANK('RESUMEN VIGILANCIA'!S72),"",'RESUMEN VIGILANCIA'!S72)</f>
        <v>140000</v>
      </c>
      <c r="T123" s="124">
        <f>IF(ISBLANK('RESUMEN VIGILANCIA'!T72),"",'RESUMEN VIGILANCIA'!T72)</f>
        <v>140000</v>
      </c>
      <c r="U123" s="124">
        <f>IF(ISBLANK('RESUMEN VIGILANCIA'!U72),"",'RESUMEN VIGILANCIA'!U72)</f>
        <v>400000</v>
      </c>
      <c r="V123" s="124">
        <f>IF(ISBLANK('RESUMEN VIGILANCIA'!V72),"",'RESUMEN VIGILANCIA'!V72)</f>
        <v>650000</v>
      </c>
      <c r="W123" s="124">
        <f>IF(ISBLANK('RESUMEN VIGILANCIA'!W72),"",'RESUMEN VIGILANCIA'!W72)</f>
        <v>1000000</v>
      </c>
      <c r="X123" s="124">
        <f>IF(ISBLANK('RESUMEN VIGILANCIA'!X72),"",'RESUMEN VIGILANCIA'!X72)</f>
        <v>1200000</v>
      </c>
      <c r="Y123" s="124" t="str">
        <f>IF(ISBLANK('RESUMEN VIGILANCIA'!Y72),"",'RESUMEN VIGILANCIA'!Y72)</f>
        <v/>
      </c>
      <c r="Z123" s="124" t="str">
        <f>IF(ISBLANK('RESUMEN VIGILANCIA'!Z72),"",'RESUMEN VIGILANCIA'!Z72)</f>
        <v/>
      </c>
      <c r="AA123" s="124" t="str">
        <f>IF(ISBLANK('RESUMEN VIGILANCIA'!AA72),"",'RESUMEN VIGILANCIA'!AA72)</f>
        <v/>
      </c>
      <c r="AB123" s="99" t="str">
        <f>IF(ISBLANK('RESUMEN VIGILANCIA'!AB72),"",'RESUMEN VIGILANCIA'!AB72)</f>
        <v/>
      </c>
      <c r="AC123" s="115">
        <f t="shared" si="1"/>
        <v>3610000</v>
      </c>
      <c r="AD123" s="292"/>
      <c r="AE123" s="292"/>
    </row>
    <row r="124" spans="1:31" s="52" customFormat="1" ht="20.100000000000001" customHeight="1" x14ac:dyDescent="0.25">
      <c r="A124" s="53" t="s">
        <v>114</v>
      </c>
      <c r="B124" s="54" t="s">
        <v>116</v>
      </c>
      <c r="C124" s="152" t="s">
        <v>940</v>
      </c>
      <c r="D124" s="99" t="str">
        <f>IF(ISBLANK('RESUMEN VIGILANCIA'!D125),"",'RESUMEN VIGILANCIA'!D125)</f>
        <v/>
      </c>
      <c r="E124" s="153">
        <f>IF(ISBLANK('RESUMEN VIGILANCIA'!E125),"",'RESUMEN VIGILANCIA'!E125)</f>
        <v>17000</v>
      </c>
      <c r="F124" s="41">
        <f>IF(ISBLANK('RESUMEN VIGILANCIA'!F125),"",'RESUMEN VIGILANCIA'!F125)</f>
        <v>17000</v>
      </c>
      <c r="G124" s="41">
        <f>IF(ISBLANK('RESUMEN VIGILANCIA'!G125),"",'RESUMEN VIGILANCIA'!G125)</f>
        <v>17000</v>
      </c>
      <c r="H124" s="41">
        <f>IF(ISBLANK('RESUMEN VIGILANCIA'!H125),"",'RESUMEN VIGILANCIA'!H125)</f>
        <v>17000</v>
      </c>
      <c r="I124" s="41">
        <f>IF(ISBLANK('RESUMEN VIGILANCIA'!I125),"",'RESUMEN VIGILANCIA'!I125)</f>
        <v>26000</v>
      </c>
      <c r="J124" s="41">
        <f>IF(ISBLANK('RESUMEN VIGILANCIA'!J125),"",'RESUMEN VIGILANCIA'!J125)</f>
        <v>26000</v>
      </c>
      <c r="K124" s="41">
        <f>IF(ISBLANK('RESUMEN VIGILANCIA'!K125),"",'RESUMEN VIGILANCIA'!K125)</f>
        <v>35000</v>
      </c>
      <c r="L124" s="41">
        <f>IF(ISBLANK('RESUMEN VIGILANCIA'!L125),"",'RESUMEN VIGILANCIA'!L125)</f>
        <v>35000</v>
      </c>
      <c r="M124" s="41">
        <f>IF(ISBLANK('RESUMEN VIGILANCIA'!M125),"",'RESUMEN VIGILANCIA'!M125)</f>
        <v>35000</v>
      </c>
      <c r="N124" s="41">
        <f>IF(ISBLANK('RESUMEN VIGILANCIA'!N125),"",'RESUMEN VIGILANCIA'!N125)</f>
        <v>35000</v>
      </c>
      <c r="O124" s="124">
        <f>IF(ISBLANK('RESUMEN VIGILANCIA'!O125),"",'RESUMEN VIGILANCIA'!O125)</f>
        <v>50000</v>
      </c>
      <c r="P124" s="99">
        <f>IF(ISBLANK('RESUMEN VIGILANCIA'!P125),"",'RESUMEN VIGILANCIA'!P125)</f>
        <v>50000</v>
      </c>
      <c r="Q124" s="128">
        <f>IF(ISBLANK('RESUMEN VIGILANCIA'!Q125),"",'RESUMEN VIGILANCIA'!Q125)</f>
        <v>80000</v>
      </c>
      <c r="R124" s="124">
        <f>IF(ISBLANK('RESUMEN VIGILANCIA'!R125),"",'RESUMEN VIGILANCIA'!R125)</f>
        <v>80000</v>
      </c>
      <c r="S124" s="124">
        <f>IF(ISBLANK('RESUMEN VIGILANCIA'!S125),"",'RESUMEN VIGILANCIA'!S125)</f>
        <v>140000</v>
      </c>
      <c r="T124" s="124">
        <f>IF(ISBLANK('RESUMEN VIGILANCIA'!T125),"",'RESUMEN VIGILANCIA'!T125)</f>
        <v>150000</v>
      </c>
      <c r="U124" s="124">
        <f>IF(ISBLANK('RESUMEN VIGILANCIA'!U125),"",'RESUMEN VIGILANCIA'!U125)</f>
        <v>400000</v>
      </c>
      <c r="V124" s="124">
        <f>IF(ISBLANK('RESUMEN VIGILANCIA'!V125),"",'RESUMEN VIGILANCIA'!V125)</f>
        <v>625000</v>
      </c>
      <c r="W124" s="124">
        <f>IF(ISBLANK('RESUMEN VIGILANCIA'!W125),"",'RESUMEN VIGILANCIA'!W125)</f>
        <v>1000000</v>
      </c>
      <c r="X124" s="124">
        <f>IF(ISBLANK('RESUMEN VIGILANCIA'!X125),"",'RESUMEN VIGILANCIA'!X125)</f>
        <v>925000</v>
      </c>
      <c r="Y124" s="124" t="str">
        <f>IF(ISBLANK('RESUMEN VIGILANCIA'!Y125),"",'RESUMEN VIGILANCIA'!Y125)</f>
        <v/>
      </c>
      <c r="Z124" s="124" t="str">
        <f>IF(ISBLANK('RESUMEN VIGILANCIA'!Z125),"",'RESUMEN VIGILANCIA'!Z125)</f>
        <v/>
      </c>
      <c r="AA124" s="124" t="str">
        <f>IF(ISBLANK('RESUMEN VIGILANCIA'!AA125),"",'RESUMEN VIGILANCIA'!AA125)</f>
        <v/>
      </c>
      <c r="AB124" s="99" t="str">
        <f>IF(ISBLANK('RESUMEN VIGILANCIA'!AB125),"",'RESUMEN VIGILANCIA'!AB125)</f>
        <v/>
      </c>
      <c r="AC124" s="115">
        <f t="shared" si="1"/>
        <v>3760000</v>
      </c>
      <c r="AD124" s="292"/>
      <c r="AE124" s="292"/>
    </row>
    <row r="125" spans="1:31" s="52" customFormat="1" ht="20.100000000000001" customHeight="1" x14ac:dyDescent="0.25">
      <c r="A125" s="163" t="s">
        <v>871</v>
      </c>
      <c r="B125" s="164" t="s">
        <v>720</v>
      </c>
      <c r="C125" s="152"/>
      <c r="D125" s="99" t="str">
        <f>IF(ISBLANK('RESUMEN VIGILANCIA'!D118),"",'RESUMEN VIGILANCIA'!D118)</f>
        <v/>
      </c>
      <c r="E125" s="153" t="str">
        <f>IF(ISBLANK('RESUMEN VIGILANCIA'!E118),"",'RESUMEN VIGILANCIA'!E118)</f>
        <v/>
      </c>
      <c r="F125" s="41" t="str">
        <f>IF(ISBLANK('RESUMEN VIGILANCIA'!F118),"",'RESUMEN VIGILANCIA'!F118)</f>
        <v/>
      </c>
      <c r="G125" s="41" t="str">
        <f>IF(ISBLANK('RESUMEN VIGILANCIA'!G118),"",'RESUMEN VIGILANCIA'!G118)</f>
        <v/>
      </c>
      <c r="H125" s="41" t="str">
        <f>IF(ISBLANK('RESUMEN VIGILANCIA'!H118),"",'RESUMEN VIGILANCIA'!H118)</f>
        <v/>
      </c>
      <c r="I125" s="41" t="str">
        <f>IF(ISBLANK('RESUMEN VIGILANCIA'!I118),"",'RESUMEN VIGILANCIA'!I118)</f>
        <v/>
      </c>
      <c r="J125" s="41" t="str">
        <f>IF(ISBLANK('RESUMEN VIGILANCIA'!J118),"",'RESUMEN VIGILANCIA'!J118)</f>
        <v/>
      </c>
      <c r="K125" s="41" t="str">
        <f>IF(ISBLANK('RESUMEN VIGILANCIA'!K118),"",'RESUMEN VIGILANCIA'!K118)</f>
        <v/>
      </c>
      <c r="L125" s="41" t="str">
        <f>IF(ISBLANK('RESUMEN VIGILANCIA'!L118),"",'RESUMEN VIGILANCIA'!L118)</f>
        <v/>
      </c>
      <c r="M125" s="41" t="str">
        <f>IF(ISBLANK('RESUMEN VIGILANCIA'!M118),"",'RESUMEN VIGILANCIA'!M118)</f>
        <v/>
      </c>
      <c r="N125" s="41" t="str">
        <f>IF(ISBLANK('RESUMEN VIGILANCIA'!N118),"",'RESUMEN VIGILANCIA'!N118)</f>
        <v/>
      </c>
      <c r="O125" s="124" t="str">
        <f>IF(ISBLANK('RESUMEN VIGILANCIA'!O118),"",'RESUMEN VIGILANCIA'!O118)</f>
        <v/>
      </c>
      <c r="P125" s="99" t="str">
        <f>IF(ISBLANK('RESUMEN VIGILANCIA'!P118),"",'RESUMEN VIGILANCIA'!P118)</f>
        <v/>
      </c>
      <c r="Q125" s="128" t="str">
        <f>IF(ISBLANK('RESUMEN VIGILANCIA'!Q118),"",'RESUMEN VIGILANCIA'!Q118)</f>
        <v/>
      </c>
      <c r="R125" s="124" t="str">
        <f>IF(ISBLANK('RESUMEN VIGILANCIA'!R118),"",'RESUMEN VIGILANCIA'!R118)</f>
        <v/>
      </c>
      <c r="S125" s="124" t="str">
        <f>IF(ISBLANK('RESUMEN VIGILANCIA'!S118),"",'RESUMEN VIGILANCIA'!S118)</f>
        <v/>
      </c>
      <c r="T125" s="211" t="str">
        <f>IF(ISBLANK('RESUMEN VIGILANCIA'!T118),"",'RESUMEN VIGILANCIA'!T118)</f>
        <v>VENDIDA</v>
      </c>
      <c r="U125" s="247" t="str">
        <f>IF(ISBLANK('RESUMEN VIGILANCIA'!U118),"",'RESUMEN VIGILANCIA'!U118)</f>
        <v/>
      </c>
      <c r="V125" s="247" t="str">
        <f>IF(ISBLANK('RESUMEN VIGILANCIA'!V118),"",'RESUMEN VIGILANCIA'!V118)</f>
        <v/>
      </c>
      <c r="W125" s="247" t="str">
        <f>IF(ISBLANK('RESUMEN VIGILANCIA'!W118),"",'RESUMEN VIGILANCIA'!W118)</f>
        <v/>
      </c>
      <c r="X125" s="247" t="str">
        <f>IF(ISBLANK('RESUMEN VIGILANCIA'!X118),"",'RESUMEN VIGILANCIA'!X118)</f>
        <v/>
      </c>
      <c r="Y125" s="247" t="str">
        <f>IF(ISBLANK('RESUMEN VIGILANCIA'!Y118),"",'RESUMEN VIGILANCIA'!Y118)</f>
        <v/>
      </c>
      <c r="Z125" s="247" t="str">
        <f>IF(ISBLANK('RESUMEN VIGILANCIA'!Z118),"",'RESUMEN VIGILANCIA'!Z118)</f>
        <v/>
      </c>
      <c r="AA125" s="247" t="str">
        <f>IF(ISBLANK('RESUMEN VIGILANCIA'!AA118),"",'RESUMEN VIGILANCIA'!AA118)</f>
        <v/>
      </c>
      <c r="AB125" s="199" t="str">
        <f>IF(ISBLANK('RESUMEN VIGILANCIA'!AB118),"",'RESUMEN VIGILANCIA'!AB118)</f>
        <v/>
      </c>
      <c r="AC125" s="200">
        <f>SUM(D125:AB125)</f>
        <v>0</v>
      </c>
      <c r="AD125" s="296"/>
      <c r="AE125" s="296">
        <v>43160</v>
      </c>
    </row>
    <row r="126" spans="1:31" s="52" customFormat="1" ht="20.100000000000001" customHeight="1" x14ac:dyDescent="0.25">
      <c r="A126" s="163" t="s">
        <v>718</v>
      </c>
      <c r="B126" s="164" t="s">
        <v>720</v>
      </c>
      <c r="C126" s="150" t="s">
        <v>941</v>
      </c>
      <c r="D126" s="182" t="str">
        <f>IF(ISBLANK('RESUMEN VIGILANCIA'!D119),"",'RESUMEN VIGILANCIA'!D119)</f>
        <v/>
      </c>
      <c r="E126" s="215" t="str">
        <f>IF(ISBLANK('RESUMEN VIGILANCIA'!E119),"",'RESUMEN VIGILANCIA'!E119)</f>
        <v/>
      </c>
      <c r="F126" s="184" t="str">
        <f>IF(ISBLANK('RESUMEN VIGILANCIA'!F119),"",'RESUMEN VIGILANCIA'!F119)</f>
        <v/>
      </c>
      <c r="G126" s="184" t="str">
        <f>IF(ISBLANK('RESUMEN VIGILANCIA'!G119),"",'RESUMEN VIGILANCIA'!G119)</f>
        <v/>
      </c>
      <c r="H126" s="184" t="str">
        <f>IF(ISBLANK('RESUMEN VIGILANCIA'!H119),"",'RESUMEN VIGILANCIA'!H119)</f>
        <v/>
      </c>
      <c r="I126" s="184" t="str">
        <f>IF(ISBLANK('RESUMEN VIGILANCIA'!I119),"",'RESUMEN VIGILANCIA'!I119)</f>
        <v/>
      </c>
      <c r="J126" s="184" t="str">
        <f>IF(ISBLANK('RESUMEN VIGILANCIA'!J119),"",'RESUMEN VIGILANCIA'!J119)</f>
        <v/>
      </c>
      <c r="K126" s="184" t="str">
        <f>IF(ISBLANK('RESUMEN VIGILANCIA'!K119),"",'RESUMEN VIGILANCIA'!K119)</f>
        <v/>
      </c>
      <c r="L126" s="184" t="str">
        <f>IF(ISBLANK('RESUMEN VIGILANCIA'!L119),"",'RESUMEN VIGILANCIA'!L119)</f>
        <v/>
      </c>
      <c r="M126" s="184" t="str">
        <f>IF(ISBLANK('RESUMEN VIGILANCIA'!M119),"",'RESUMEN VIGILANCIA'!M119)</f>
        <v/>
      </c>
      <c r="N126" s="184" t="str">
        <f>IF(ISBLANK('RESUMEN VIGILANCIA'!N119),"",'RESUMEN VIGILANCIA'!N119)</f>
        <v/>
      </c>
      <c r="O126" s="216" t="str">
        <f>IF(ISBLANK('RESUMEN VIGILANCIA'!O119),"",'RESUMEN VIGILANCIA'!O119)</f>
        <v/>
      </c>
      <c r="P126" s="182" t="str">
        <f>IF(ISBLANK('RESUMEN VIGILANCIA'!P119),"",'RESUMEN VIGILANCIA'!P119)</f>
        <v/>
      </c>
      <c r="Q126" s="217" t="str">
        <f>IF(ISBLANK('RESUMEN VIGILANCIA'!Q119),"",'RESUMEN VIGILANCIA'!Q119)</f>
        <v/>
      </c>
      <c r="R126" s="216" t="str">
        <f>IF(ISBLANK('RESUMEN VIGILANCIA'!R119),"",'RESUMEN VIGILANCIA'!R119)</f>
        <v/>
      </c>
      <c r="S126" s="216" t="str">
        <f>IF(ISBLANK('RESUMEN VIGILANCIA'!S119),"",'RESUMEN VIGILANCIA'!S119)</f>
        <v/>
      </c>
      <c r="T126" s="124">
        <f>IF(ISBLANK('RESUMEN VIGILANCIA'!T119),"",'RESUMEN VIGILANCIA'!T119)</f>
        <v>140000</v>
      </c>
      <c r="U126" s="124">
        <f>IF(ISBLANK('RESUMEN VIGILANCIA'!U119),"",'RESUMEN VIGILANCIA'!U119)</f>
        <v>400000</v>
      </c>
      <c r="V126" s="124">
        <f>IF(ISBLANK('RESUMEN VIGILANCIA'!V119),"",'RESUMEN VIGILANCIA'!V119)</f>
        <v>400000</v>
      </c>
      <c r="W126" s="211" t="str">
        <f>IF(ISBLANK('RESUMEN VIGILANCIA'!W119),"",'RESUMEN VIGILANCIA'!W119)</f>
        <v>ALQUILADA</v>
      </c>
      <c r="X126" s="247" t="str">
        <f>IF(ISBLANK('RESUMEN VIGILANCIA'!X119),"",'RESUMEN VIGILANCIA'!X119)</f>
        <v/>
      </c>
      <c r="Y126" s="247" t="str">
        <f>IF(ISBLANK('RESUMEN VIGILANCIA'!Y119),"",'RESUMEN VIGILANCIA'!Y119)</f>
        <v/>
      </c>
      <c r="Z126" s="247" t="str">
        <f>IF(ISBLANK('RESUMEN VIGILANCIA'!Z119),"",'RESUMEN VIGILANCIA'!Z119)</f>
        <v/>
      </c>
      <c r="AA126" s="247" t="str">
        <f>IF(ISBLANK('RESUMEN VIGILANCIA'!AA119),"",'RESUMEN VIGILANCIA'!AA119)</f>
        <v/>
      </c>
      <c r="AB126" s="199" t="str">
        <f>IF(ISBLANK('RESUMEN VIGILANCIA'!AB119),"",'RESUMEN VIGILANCIA'!AB119)</f>
        <v/>
      </c>
      <c r="AC126" s="200">
        <f>SUM(D126:AB126)</f>
        <v>940000</v>
      </c>
      <c r="AD126" s="296">
        <v>43191</v>
      </c>
      <c r="AE126" s="296">
        <v>43252</v>
      </c>
    </row>
    <row r="127" spans="1:31" s="52" customFormat="1" ht="20.100000000000001" customHeight="1" x14ac:dyDescent="0.25">
      <c r="A127" s="53" t="s">
        <v>786</v>
      </c>
      <c r="B127" s="54" t="s">
        <v>720</v>
      </c>
      <c r="C127" s="152" t="s">
        <v>940</v>
      </c>
      <c r="D127" s="182" t="str">
        <f>IF(ISBLANK('RESUMEN VIGILANCIA'!D120),"",'RESUMEN VIGILANCIA'!D120)</f>
        <v/>
      </c>
      <c r="E127" s="215" t="str">
        <f>IF(ISBLANK('RESUMEN VIGILANCIA'!E120),"",'RESUMEN VIGILANCIA'!E120)</f>
        <v/>
      </c>
      <c r="F127" s="184" t="str">
        <f>IF(ISBLANK('RESUMEN VIGILANCIA'!F120),"",'RESUMEN VIGILANCIA'!F120)</f>
        <v/>
      </c>
      <c r="G127" s="184" t="str">
        <f>IF(ISBLANK('RESUMEN VIGILANCIA'!G120),"",'RESUMEN VIGILANCIA'!G120)</f>
        <v/>
      </c>
      <c r="H127" s="184" t="str">
        <f>IF(ISBLANK('RESUMEN VIGILANCIA'!H120),"",'RESUMEN VIGILANCIA'!H120)</f>
        <v/>
      </c>
      <c r="I127" s="184" t="str">
        <f>IF(ISBLANK('RESUMEN VIGILANCIA'!I120),"",'RESUMEN VIGILANCIA'!I120)</f>
        <v/>
      </c>
      <c r="J127" s="184" t="str">
        <f>IF(ISBLANK('RESUMEN VIGILANCIA'!J120),"",'RESUMEN VIGILANCIA'!J120)</f>
        <v/>
      </c>
      <c r="K127" s="184" t="str">
        <f>IF(ISBLANK('RESUMEN VIGILANCIA'!K120),"",'RESUMEN VIGILANCIA'!K120)</f>
        <v/>
      </c>
      <c r="L127" s="184" t="str">
        <f>IF(ISBLANK('RESUMEN VIGILANCIA'!L120),"",'RESUMEN VIGILANCIA'!L120)</f>
        <v/>
      </c>
      <c r="M127" s="184" t="str">
        <f>IF(ISBLANK('RESUMEN VIGILANCIA'!M120),"",'RESUMEN VIGILANCIA'!M120)</f>
        <v/>
      </c>
      <c r="N127" s="184" t="str">
        <f>IF(ISBLANK('RESUMEN VIGILANCIA'!N120),"",'RESUMEN VIGILANCIA'!N120)</f>
        <v/>
      </c>
      <c r="O127" s="216" t="str">
        <f>IF(ISBLANK('RESUMEN VIGILANCIA'!O120),"",'RESUMEN VIGILANCIA'!O120)</f>
        <v/>
      </c>
      <c r="P127" s="182" t="str">
        <f>IF(ISBLANK('RESUMEN VIGILANCIA'!P120),"",'RESUMEN VIGILANCIA'!P120)</f>
        <v/>
      </c>
      <c r="Q127" s="217" t="str">
        <f>IF(ISBLANK('RESUMEN VIGILANCIA'!Q120),"",'RESUMEN VIGILANCIA'!Q120)</f>
        <v/>
      </c>
      <c r="R127" s="216" t="str">
        <f>IF(ISBLANK('RESUMEN VIGILANCIA'!R120),"",'RESUMEN VIGILANCIA'!R120)</f>
        <v/>
      </c>
      <c r="S127" s="216" t="str">
        <f>IF(ISBLANK('RESUMEN VIGILANCIA'!S120),"",'RESUMEN VIGILANCIA'!S120)</f>
        <v/>
      </c>
      <c r="T127" s="287" t="str">
        <f>IF(ISBLANK('RESUMEN VIGILANCIA'!T120),"",'RESUMEN VIGILANCIA'!T120)</f>
        <v/>
      </c>
      <c r="U127" s="287" t="str">
        <f>IF(ISBLANK('RESUMEN VIGILANCIA'!U120),"",'RESUMEN VIGILANCIA'!U120)</f>
        <v/>
      </c>
      <c r="V127" s="287">
        <f>IF(ISBLANK('RESUMEN VIGILANCIA'!V120),"",'RESUMEN VIGILANCIA'!V120)</f>
        <v>225000</v>
      </c>
      <c r="W127" s="124">
        <f>IF(ISBLANK('RESUMEN VIGILANCIA'!W120),"",'RESUMEN VIGILANCIA'!W120)</f>
        <v>1000000</v>
      </c>
      <c r="X127" s="124" t="str">
        <f>IF(ISBLANK('RESUMEN VIGILANCIA'!X120),"",'RESUMEN VIGILANCIA'!X120)</f>
        <v/>
      </c>
      <c r="Y127" s="124" t="str">
        <f>IF(ISBLANK('RESUMEN VIGILANCIA'!Y120),"",'RESUMEN VIGILANCIA'!Y120)</f>
        <v/>
      </c>
      <c r="Z127" s="124" t="str">
        <f>IF(ISBLANK('RESUMEN VIGILANCIA'!Z120),"",'RESUMEN VIGILANCIA'!Z120)</f>
        <v/>
      </c>
      <c r="AA127" s="124" t="str">
        <f>IF(ISBLANK('RESUMEN VIGILANCIA'!AA120),"",'RESUMEN VIGILANCIA'!AA120)</f>
        <v/>
      </c>
      <c r="AB127" s="99" t="str">
        <f>IF(ISBLANK('RESUMEN VIGILANCIA'!AB120),"",'RESUMEN VIGILANCIA'!AB120)</f>
        <v/>
      </c>
      <c r="AC127" s="115">
        <f t="shared" si="1"/>
        <v>1225000</v>
      </c>
      <c r="AD127" s="292">
        <v>43282</v>
      </c>
      <c r="AE127" s="292"/>
    </row>
    <row r="128" spans="1:31" s="52" customFormat="1" ht="20.100000000000001" customHeight="1" x14ac:dyDescent="0.25">
      <c r="A128" s="53" t="s">
        <v>219</v>
      </c>
      <c r="B128" s="54" t="s">
        <v>221</v>
      </c>
      <c r="C128" s="152" t="s">
        <v>940</v>
      </c>
      <c r="D128" s="99" t="str">
        <f>IF(ISBLANK('RESUMEN VIGILANCIA'!D115),"",'RESUMEN VIGILANCIA'!D115)</f>
        <v/>
      </c>
      <c r="E128" s="153">
        <f>IF(ISBLANK('RESUMEN VIGILANCIA'!E115),"",'RESUMEN VIGILANCIA'!E115)</f>
        <v>17000</v>
      </c>
      <c r="F128" s="41">
        <f>IF(ISBLANK('RESUMEN VIGILANCIA'!F115),"",'RESUMEN VIGILANCIA'!F115)</f>
        <v>17000</v>
      </c>
      <c r="G128" s="41">
        <f>IF(ISBLANK('RESUMEN VIGILANCIA'!G115),"",'RESUMEN VIGILANCIA'!G115)</f>
        <v>17000</v>
      </c>
      <c r="H128" s="41">
        <f>IF(ISBLANK('RESUMEN VIGILANCIA'!H115),"",'RESUMEN VIGILANCIA'!H115)</f>
        <v>17000</v>
      </c>
      <c r="I128" s="41">
        <f>IF(ISBLANK('RESUMEN VIGILANCIA'!I115),"",'RESUMEN VIGILANCIA'!I115)</f>
        <v>26000</v>
      </c>
      <c r="J128" s="41">
        <f>IF(ISBLANK('RESUMEN VIGILANCIA'!J115),"",'RESUMEN VIGILANCIA'!J115)</f>
        <v>26000</v>
      </c>
      <c r="K128" s="41">
        <f>IF(ISBLANK('RESUMEN VIGILANCIA'!K115),"",'RESUMEN VIGILANCIA'!K115)</f>
        <v>35000</v>
      </c>
      <c r="L128" s="41">
        <f>IF(ISBLANK('RESUMEN VIGILANCIA'!L115),"",'RESUMEN VIGILANCIA'!L115)</f>
        <v>35000</v>
      </c>
      <c r="M128" s="41">
        <f>IF(ISBLANK('RESUMEN VIGILANCIA'!M115),"",'RESUMEN VIGILANCIA'!M115)</f>
        <v>35000</v>
      </c>
      <c r="N128" s="41">
        <f>IF(ISBLANK('RESUMEN VIGILANCIA'!N115),"",'RESUMEN VIGILANCIA'!N115)</f>
        <v>35000</v>
      </c>
      <c r="O128" s="124">
        <f>IF(ISBLANK('RESUMEN VIGILANCIA'!O115),"",'RESUMEN VIGILANCIA'!O115)</f>
        <v>50000</v>
      </c>
      <c r="P128" s="99">
        <f>IF(ISBLANK('RESUMEN VIGILANCIA'!P115),"",'RESUMEN VIGILANCIA'!P115)</f>
        <v>50000</v>
      </c>
      <c r="Q128" s="128">
        <f>IF(ISBLANK('RESUMEN VIGILANCIA'!Q115),"",'RESUMEN VIGILANCIA'!Q115)</f>
        <v>80000</v>
      </c>
      <c r="R128" s="124">
        <f>IF(ISBLANK('RESUMEN VIGILANCIA'!R115),"",'RESUMEN VIGILANCIA'!R115)</f>
        <v>80000</v>
      </c>
      <c r="S128" s="124">
        <f>IF(ISBLANK('RESUMEN VIGILANCIA'!S115),"",'RESUMEN VIGILANCIA'!S115)</f>
        <v>140000</v>
      </c>
      <c r="T128" s="124">
        <f>IF(ISBLANK('RESUMEN VIGILANCIA'!T115),"",'RESUMEN VIGILANCIA'!T115)</f>
        <v>140000</v>
      </c>
      <c r="U128" s="124">
        <f>IF(ISBLANK('RESUMEN VIGILANCIA'!U115),"",'RESUMEN VIGILANCIA'!U115)</f>
        <v>400000</v>
      </c>
      <c r="V128" s="124">
        <f>IF(ISBLANK('RESUMEN VIGILANCIA'!V115),"",'RESUMEN VIGILANCIA'!V115)</f>
        <v>625000</v>
      </c>
      <c r="W128" s="124">
        <f>IF(ISBLANK('RESUMEN VIGILANCIA'!W115),"",'RESUMEN VIGILANCIA'!W115)</f>
        <v>1000000</v>
      </c>
      <c r="X128" s="124">
        <f>IF(ISBLANK('RESUMEN VIGILANCIA'!X115),"",'RESUMEN VIGILANCIA'!X115)</f>
        <v>1200000</v>
      </c>
      <c r="Y128" s="124" t="str">
        <f>IF(ISBLANK('RESUMEN VIGILANCIA'!Y115),"",'RESUMEN VIGILANCIA'!Y115)</f>
        <v/>
      </c>
      <c r="Z128" s="124" t="str">
        <f>IF(ISBLANK('RESUMEN VIGILANCIA'!Z115),"",'RESUMEN VIGILANCIA'!Z115)</f>
        <v/>
      </c>
      <c r="AA128" s="124" t="str">
        <f>IF(ISBLANK('RESUMEN VIGILANCIA'!AA115),"",'RESUMEN VIGILANCIA'!AA115)</f>
        <v/>
      </c>
      <c r="AB128" s="99" t="str">
        <f>IF(ISBLANK('RESUMEN VIGILANCIA'!AB115),"",'RESUMEN VIGILANCIA'!AB115)</f>
        <v/>
      </c>
      <c r="AC128" s="115">
        <f t="shared" si="1"/>
        <v>4025000</v>
      </c>
      <c r="AD128" s="292"/>
      <c r="AE128" s="292"/>
    </row>
    <row r="129" spans="1:31" s="52" customFormat="1" ht="20.100000000000001" customHeight="1" x14ac:dyDescent="0.25">
      <c r="A129" s="56" t="s">
        <v>402</v>
      </c>
      <c r="B129" s="57" t="s">
        <v>404</v>
      </c>
      <c r="C129" s="150" t="s">
        <v>938</v>
      </c>
      <c r="D129" s="100" t="str">
        <f>IF(ISBLANK('RESUMEN VIGILANCIA'!D103),"",'RESUMEN VIGILANCIA'!D103)</f>
        <v/>
      </c>
      <c r="E129" s="151" t="str">
        <f>IF(ISBLANK('RESUMEN VIGILANCIA'!E103),"",'RESUMEN VIGILANCIA'!E103)</f>
        <v/>
      </c>
      <c r="F129" s="43" t="str">
        <f>IF(ISBLANK('RESUMEN VIGILANCIA'!F103),"",'RESUMEN VIGILANCIA'!F103)</f>
        <v/>
      </c>
      <c r="G129" s="43" t="str">
        <f>IF(ISBLANK('RESUMEN VIGILANCIA'!G103),"",'RESUMEN VIGILANCIA'!G103)</f>
        <v/>
      </c>
      <c r="H129" s="43">
        <f>IF(ISBLANK('RESUMEN VIGILANCIA'!H103),"",'RESUMEN VIGILANCIA'!H103)</f>
        <v>10000</v>
      </c>
      <c r="I129" s="43">
        <f>IF(ISBLANK('RESUMEN VIGILANCIA'!I103),"",'RESUMEN VIGILANCIA'!I103)</f>
        <v>10000</v>
      </c>
      <c r="J129" s="43">
        <f>IF(ISBLANK('RESUMEN VIGILANCIA'!J103),"",'RESUMEN VIGILANCIA'!J103)</f>
        <v>13000</v>
      </c>
      <c r="K129" s="43">
        <f>IF(ISBLANK('RESUMEN VIGILANCIA'!K103),"",'RESUMEN VIGILANCIA'!K103)</f>
        <v>15000</v>
      </c>
      <c r="L129" s="43">
        <f>IF(ISBLANK('RESUMEN VIGILANCIA'!L103),"",'RESUMEN VIGILANCIA'!L103)</f>
        <v>15000</v>
      </c>
      <c r="M129" s="43">
        <f>IF(ISBLANK('RESUMEN VIGILANCIA'!M103),"",'RESUMEN VIGILANCIA'!M103)</f>
        <v>17000</v>
      </c>
      <c r="N129" s="43">
        <f>IF(ISBLANK('RESUMEN VIGILANCIA'!N103),"",'RESUMEN VIGILANCIA'!N103)</f>
        <v>15000</v>
      </c>
      <c r="O129" s="123">
        <f>IF(ISBLANK('RESUMEN VIGILANCIA'!O103),"",'RESUMEN VIGILANCIA'!O103)</f>
        <v>15000</v>
      </c>
      <c r="P129" s="100">
        <f>IF(ISBLANK('RESUMEN VIGILANCIA'!P103),"",'RESUMEN VIGILANCIA'!P103)</f>
        <v>17000</v>
      </c>
      <c r="Q129" s="130">
        <f>IF(ISBLANK('RESUMEN VIGILANCIA'!Q103),"",'RESUMEN VIGILANCIA'!Q103)</f>
        <v>40000</v>
      </c>
      <c r="R129" s="123">
        <f>IF(ISBLANK('RESUMEN VIGILANCIA'!R103),"",'RESUMEN VIGILANCIA'!R103)</f>
        <v>40000</v>
      </c>
      <c r="S129" s="123">
        <f>IF(ISBLANK('RESUMEN VIGILANCIA'!S103),"",'RESUMEN VIGILANCIA'!S103)</f>
        <v>80000</v>
      </c>
      <c r="T129" s="123">
        <f>IF(ISBLANK('RESUMEN VIGILANCIA'!T103),"",'RESUMEN VIGILANCIA'!T103)</f>
        <v>80000</v>
      </c>
      <c r="U129" s="123">
        <f>IF(ISBLANK('RESUMEN VIGILANCIA'!U103),"",'RESUMEN VIGILANCIA'!U103)</f>
        <v>200000</v>
      </c>
      <c r="V129" s="123">
        <f>IF(ISBLANK('RESUMEN VIGILANCIA'!V103),"",'RESUMEN VIGILANCIA'!V103)</f>
        <v>300000</v>
      </c>
      <c r="W129" s="123">
        <f>IF(ISBLANK('RESUMEN VIGILANCIA'!W103),"",'RESUMEN VIGILANCIA'!W103)</f>
        <v>500000</v>
      </c>
      <c r="X129" s="123" t="str">
        <f>IF(ISBLANK('RESUMEN VIGILANCIA'!X103),"",'RESUMEN VIGILANCIA'!X103)</f>
        <v/>
      </c>
      <c r="Y129" s="123" t="str">
        <f>IF(ISBLANK('RESUMEN VIGILANCIA'!Y103),"",'RESUMEN VIGILANCIA'!Y103)</f>
        <v/>
      </c>
      <c r="Z129" s="123" t="str">
        <f>IF(ISBLANK('RESUMEN VIGILANCIA'!Z103),"",'RESUMEN VIGILANCIA'!Z103)</f>
        <v/>
      </c>
      <c r="AA129" s="123" t="str">
        <f>IF(ISBLANK('RESUMEN VIGILANCIA'!AA103),"",'RESUMEN VIGILANCIA'!AA103)</f>
        <v/>
      </c>
      <c r="AB129" s="100" t="str">
        <f>IF(ISBLANK('RESUMEN VIGILANCIA'!AB103),"",'RESUMEN VIGILANCIA'!AB103)</f>
        <v/>
      </c>
      <c r="AC129" s="114">
        <f t="shared" si="1"/>
        <v>1367000</v>
      </c>
      <c r="AD129" s="291"/>
      <c r="AE129" s="291"/>
    </row>
    <row r="130" spans="1:31" s="52" customFormat="1" ht="20.100000000000001" customHeight="1" x14ac:dyDescent="0.25">
      <c r="A130" s="86" t="s">
        <v>423</v>
      </c>
      <c r="B130" s="87" t="s">
        <v>424</v>
      </c>
      <c r="C130" s="152" t="s">
        <v>940</v>
      </c>
      <c r="D130" s="99" t="str">
        <f>IF(ISBLANK('RESUMEN VIGILANCIA'!D86),"",'RESUMEN VIGILANCIA'!D86)</f>
        <v/>
      </c>
      <c r="E130" s="153">
        <f>IF(ISBLANK('RESUMEN VIGILANCIA'!E86),"",'RESUMEN VIGILANCIA'!E86)</f>
        <v>30000</v>
      </c>
      <c r="F130" s="41">
        <f>IF(ISBLANK('RESUMEN VIGILANCIA'!F86),"",'RESUMEN VIGILANCIA'!F86)</f>
        <v>30000</v>
      </c>
      <c r="G130" s="41">
        <f>IF(ISBLANK('RESUMEN VIGILANCIA'!G86),"",'RESUMEN VIGILANCIA'!G86)</f>
        <v>30000</v>
      </c>
      <c r="H130" s="41">
        <f>IF(ISBLANK('RESUMEN VIGILANCIA'!H86),"",'RESUMEN VIGILANCIA'!H86)</f>
        <v>30000</v>
      </c>
      <c r="I130" s="41">
        <f>IF(ISBLANK('RESUMEN VIGILANCIA'!I86),"",'RESUMEN VIGILANCIA'!I86)</f>
        <v>40000</v>
      </c>
      <c r="J130" s="41">
        <f>IF(ISBLANK('RESUMEN VIGILANCIA'!J86),"",'RESUMEN VIGILANCIA'!J86)</f>
        <v>40000</v>
      </c>
      <c r="K130" s="41">
        <f>IF(ISBLANK('RESUMEN VIGILANCIA'!K86),"",'RESUMEN VIGILANCIA'!K86)</f>
        <v>54000</v>
      </c>
      <c r="L130" s="41">
        <f>IF(ISBLANK('RESUMEN VIGILANCIA'!L86),"",'RESUMEN VIGILANCIA'!L86)</f>
        <v>54000</v>
      </c>
      <c r="M130" s="41">
        <f>IF(ISBLANK('RESUMEN VIGILANCIA'!M86),"",'RESUMEN VIGILANCIA'!M86)</f>
        <v>54000</v>
      </c>
      <c r="N130" s="41">
        <f>IF(ISBLANK('RESUMEN VIGILANCIA'!N86),"",'RESUMEN VIGILANCIA'!N86)</f>
        <v>54000</v>
      </c>
      <c r="O130" s="124">
        <f>IF(ISBLANK('RESUMEN VIGILANCIA'!O86),"",'RESUMEN VIGILANCIA'!O86)</f>
        <v>71000</v>
      </c>
      <c r="P130" s="99">
        <f>IF(ISBLANK('RESUMEN VIGILANCIA'!P86),"",'RESUMEN VIGILANCIA'!P86)</f>
        <v>71000</v>
      </c>
      <c r="Q130" s="128">
        <f>IF(ISBLANK('RESUMEN VIGILANCIA'!Q86),"",'RESUMEN VIGILANCIA'!Q86)</f>
        <v>113600</v>
      </c>
      <c r="R130" s="124">
        <f>IF(ISBLANK('RESUMEN VIGILANCIA'!R86),"",'RESUMEN VIGILANCIA'!R86)</f>
        <v>113600</v>
      </c>
      <c r="S130" s="124">
        <f>IF(ISBLANK('RESUMEN VIGILANCIA'!S86),"",'RESUMEN VIGILANCIA'!S86)</f>
        <v>200000</v>
      </c>
      <c r="T130" s="124">
        <f>IF(ISBLANK('RESUMEN VIGILANCIA'!T86),"",'RESUMEN VIGILANCIA'!T86)</f>
        <v>200000</v>
      </c>
      <c r="U130" s="124">
        <f>IF(ISBLANK('RESUMEN VIGILANCIA'!U86),"",'RESUMEN VIGILANCIA'!U86)</f>
        <v>580000</v>
      </c>
      <c r="V130" s="124">
        <f>IF(ISBLANK('RESUMEN VIGILANCIA'!V86),"",'RESUMEN VIGILANCIA'!V86)</f>
        <v>905000</v>
      </c>
      <c r="W130" s="124">
        <f>IF(ISBLANK('RESUMEN VIGILANCIA'!W86),"",'RESUMEN VIGILANCIA'!W86)</f>
        <v>1450000</v>
      </c>
      <c r="X130" s="124">
        <f>IF(ISBLANK('RESUMEN VIGILANCIA'!X86),"",'RESUMEN VIGILANCIA'!X86)</f>
        <v>1740000</v>
      </c>
      <c r="Y130" s="124" t="str">
        <f>IF(ISBLANK('RESUMEN VIGILANCIA'!Y86),"",'RESUMEN VIGILANCIA'!Y86)</f>
        <v/>
      </c>
      <c r="Z130" s="124" t="str">
        <f>IF(ISBLANK('RESUMEN VIGILANCIA'!Z86),"",'RESUMEN VIGILANCIA'!Z86)</f>
        <v/>
      </c>
      <c r="AA130" s="124" t="str">
        <f>IF(ISBLANK('RESUMEN VIGILANCIA'!AA86),"",'RESUMEN VIGILANCIA'!AA86)</f>
        <v/>
      </c>
      <c r="AB130" s="99" t="str">
        <f>IF(ISBLANK('RESUMEN VIGILANCIA'!AB86),"",'RESUMEN VIGILANCIA'!AB86)</f>
        <v/>
      </c>
      <c r="AC130" s="121">
        <f t="shared" si="1"/>
        <v>5860200</v>
      </c>
      <c r="AD130" s="297"/>
      <c r="AE130" s="297"/>
    </row>
    <row r="131" spans="1:31" x14ac:dyDescent="0.2">
      <c r="A131" s="66"/>
      <c r="B131" s="67" t="s">
        <v>808</v>
      </c>
      <c r="C131" s="158"/>
      <c r="D131" s="103">
        <f t="shared" ref="D131:AB131" si="2">SUM(D2:D130)</f>
        <v>10000</v>
      </c>
      <c r="E131" s="157">
        <f t="shared" si="2"/>
        <v>1025500</v>
      </c>
      <c r="F131" s="46">
        <f t="shared" si="2"/>
        <v>1062000</v>
      </c>
      <c r="G131" s="46">
        <f t="shared" si="2"/>
        <v>1008500</v>
      </c>
      <c r="H131" s="46">
        <f t="shared" si="2"/>
        <v>1047600</v>
      </c>
      <c r="I131" s="46">
        <f t="shared" si="2"/>
        <v>1508000</v>
      </c>
      <c r="J131" s="46">
        <f t="shared" si="2"/>
        <v>1565000</v>
      </c>
      <c r="K131" s="46">
        <f t="shared" si="2"/>
        <v>2091000</v>
      </c>
      <c r="L131" s="46">
        <f t="shared" si="2"/>
        <v>2110500</v>
      </c>
      <c r="M131" s="46">
        <f t="shared" si="2"/>
        <v>2076900</v>
      </c>
      <c r="N131" s="46">
        <f t="shared" si="2"/>
        <v>2142000</v>
      </c>
      <c r="O131" s="126">
        <f t="shared" si="2"/>
        <v>3040000</v>
      </c>
      <c r="P131" s="127">
        <f t="shared" si="2"/>
        <v>3077000</v>
      </c>
      <c r="Q131" s="85">
        <f t="shared" si="2"/>
        <v>5400000</v>
      </c>
      <c r="R131" s="83">
        <f t="shared" si="2"/>
        <v>5700000</v>
      </c>
      <c r="S131" s="83">
        <f t="shared" si="2"/>
        <v>9820000</v>
      </c>
      <c r="T131" s="83">
        <f t="shared" si="2"/>
        <v>10315000</v>
      </c>
      <c r="U131" s="83">
        <f t="shared" si="2"/>
        <v>28010000</v>
      </c>
      <c r="V131" s="83">
        <f t="shared" si="2"/>
        <v>44810000</v>
      </c>
      <c r="W131" s="83">
        <f t="shared" si="2"/>
        <v>73625000</v>
      </c>
      <c r="X131" s="83">
        <f t="shared" si="2"/>
        <v>55720000</v>
      </c>
      <c r="Y131" s="83">
        <f t="shared" si="2"/>
        <v>3836000</v>
      </c>
      <c r="Z131" s="83">
        <f t="shared" si="2"/>
        <v>20000</v>
      </c>
      <c r="AA131" s="83">
        <f t="shared" si="2"/>
        <v>0</v>
      </c>
      <c r="AB131" s="98">
        <f t="shared" si="2"/>
        <v>0</v>
      </c>
      <c r="AC131" s="120">
        <f>SUM(D131:AB131)</f>
        <v>259020000</v>
      </c>
      <c r="AD131" s="298"/>
      <c r="AE131" s="298"/>
    </row>
    <row r="132" spans="1:31" x14ac:dyDescent="0.2">
      <c r="A132" s="226"/>
      <c r="B132" s="67" t="s">
        <v>876</v>
      </c>
      <c r="C132" s="158"/>
      <c r="D132" s="230">
        <f>'RESUMEN VIGILANCIA'!D132</f>
        <v>2</v>
      </c>
      <c r="E132" s="231">
        <f>'RESUMEN VIGILANCIA'!E132</f>
        <v>75</v>
      </c>
      <c r="F132" s="232">
        <f>'RESUMEN VIGILANCIA'!F132</f>
        <v>75</v>
      </c>
      <c r="G132" s="232">
        <f>'RESUMEN VIGILANCIA'!G132</f>
        <v>69</v>
      </c>
      <c r="H132" s="232">
        <f>'RESUMEN VIGILANCIA'!H132</f>
        <v>70</v>
      </c>
      <c r="I132" s="232">
        <f>'RESUMEN VIGILANCIA'!I132</f>
        <v>69</v>
      </c>
      <c r="J132" s="232">
        <f>'RESUMEN VIGILANCIA'!J132</f>
        <v>68</v>
      </c>
      <c r="K132" s="232">
        <f>'RESUMEN VIGILANCIA'!K132</f>
        <v>71</v>
      </c>
      <c r="L132" s="232">
        <f>'RESUMEN VIGILANCIA'!L132</f>
        <v>71</v>
      </c>
      <c r="M132" s="232">
        <f>'RESUMEN VIGILANCIA'!M132</f>
        <v>68</v>
      </c>
      <c r="N132" s="232">
        <f>'RESUMEN VIGILANCIA'!N132</f>
        <v>68</v>
      </c>
      <c r="O132" s="232">
        <f>'RESUMEN VIGILANCIA'!O132</f>
        <v>68</v>
      </c>
      <c r="P132" s="230">
        <f>'RESUMEN VIGILANCIA'!P132</f>
        <v>68</v>
      </c>
      <c r="Q132" s="231">
        <f>'RESUMEN VIGILANCIA'!Q132</f>
        <v>74</v>
      </c>
      <c r="R132" s="232">
        <f>'RESUMEN VIGILANCIA'!R132</f>
        <v>76</v>
      </c>
      <c r="S132" s="232">
        <f>'RESUMEN VIGILANCIA'!S132</f>
        <v>76</v>
      </c>
      <c r="T132" s="232">
        <f>'RESUMEN VIGILANCIA'!T132</f>
        <v>77</v>
      </c>
      <c r="U132" s="232">
        <f>'RESUMEN VIGILANCIA'!U132</f>
        <v>78</v>
      </c>
      <c r="V132" s="232">
        <f>'RESUMEN VIGILANCIA'!V132</f>
        <v>78</v>
      </c>
      <c r="W132" s="232">
        <f>'RESUMEN VIGILANCIA'!W132</f>
        <v>77</v>
      </c>
      <c r="X132" s="232">
        <f>'RESUMEN VIGILANCIA'!X132</f>
        <v>50</v>
      </c>
      <c r="Y132" s="232">
        <f>'RESUMEN VIGILANCIA'!Y132</f>
        <v>7</v>
      </c>
      <c r="Z132" s="232">
        <f>'RESUMEN VIGILANCIA'!Z132</f>
        <v>1</v>
      </c>
      <c r="AA132" s="232">
        <f>'RESUMEN VIGILANCIA'!AA132</f>
        <v>0</v>
      </c>
      <c r="AB132" s="230">
        <f>'RESUMEN VIGILANCIA'!AB132</f>
        <v>0</v>
      </c>
      <c r="AC132" s="118">
        <f>SUM(D132:AB132)</f>
        <v>1436</v>
      </c>
      <c r="AD132" s="299"/>
      <c r="AE132" s="299"/>
    </row>
    <row r="133" spans="1:31" x14ac:dyDescent="0.2">
      <c r="A133" s="227"/>
      <c r="B133" s="228" t="s">
        <v>877</v>
      </c>
      <c r="C133" s="158"/>
      <c r="D133" s="230">
        <f>'RESUMEN VIGILANCIA'!D133</f>
        <v>0</v>
      </c>
      <c r="E133" s="231">
        <f>'RESUMEN VIGILANCIA'!E133</f>
        <v>46</v>
      </c>
      <c r="F133" s="232">
        <f>'RESUMEN VIGILANCIA'!F133</f>
        <v>50</v>
      </c>
      <c r="G133" s="232">
        <f>'RESUMEN VIGILANCIA'!G133</f>
        <v>46</v>
      </c>
      <c r="H133" s="232">
        <f>'RESUMEN VIGILANCIA'!H133</f>
        <v>52</v>
      </c>
      <c r="I133" s="232">
        <f>'RESUMEN VIGILANCIA'!I133</f>
        <v>48</v>
      </c>
      <c r="J133" s="232">
        <f>'RESUMEN VIGILANCIA'!J133</f>
        <v>51</v>
      </c>
      <c r="K133" s="232">
        <f>'RESUMEN VIGILANCIA'!K133</f>
        <v>47</v>
      </c>
      <c r="L133" s="232">
        <f>'RESUMEN VIGILANCIA'!L133</f>
        <v>50</v>
      </c>
      <c r="M133" s="232">
        <f>'RESUMEN VIGILANCIA'!M133</f>
        <v>50</v>
      </c>
      <c r="N133" s="232">
        <f>'RESUMEN VIGILANCIA'!N133</f>
        <v>52</v>
      </c>
      <c r="O133" s="232">
        <f>'RESUMEN VIGILANCIA'!O133</f>
        <v>52</v>
      </c>
      <c r="P133" s="230">
        <f>'RESUMEN VIGILANCIA'!P133</f>
        <v>52</v>
      </c>
      <c r="Q133" s="231">
        <f>'RESUMEN VIGILANCIA'!Q133</f>
        <v>59</v>
      </c>
      <c r="R133" s="232">
        <f>'RESUMEN VIGILANCIA'!R133</f>
        <v>63</v>
      </c>
      <c r="S133" s="232">
        <f>'RESUMEN VIGILANCIA'!S133</f>
        <v>61</v>
      </c>
      <c r="T133" s="232">
        <f>'RESUMEN VIGILANCIA'!T133</f>
        <v>64</v>
      </c>
      <c r="U133" s="232">
        <f>'RESUMEN VIGILANCIA'!U133</f>
        <v>64</v>
      </c>
      <c r="V133" s="232">
        <f>'RESUMEN VIGILANCIA'!V133</f>
        <v>62</v>
      </c>
      <c r="W133" s="232">
        <f>'RESUMEN VIGILANCIA'!W133</f>
        <v>69</v>
      </c>
      <c r="X133" s="232">
        <f>'RESUMEN VIGILANCIA'!X133</f>
        <v>41</v>
      </c>
      <c r="Y133" s="232">
        <f>'RESUMEN VIGILANCIA'!Y133</f>
        <v>0</v>
      </c>
      <c r="Z133" s="232">
        <f>'RESUMEN VIGILANCIA'!Z133</f>
        <v>0</v>
      </c>
      <c r="AA133" s="232">
        <f>'RESUMEN VIGILANCIA'!AA133</f>
        <v>0</v>
      </c>
      <c r="AB133" s="230">
        <f>'RESUMEN VIGILANCIA'!AB133</f>
        <v>0</v>
      </c>
      <c r="AC133" s="118">
        <f>SUM(D133:AB133)</f>
        <v>1079</v>
      </c>
      <c r="AD133" s="299"/>
      <c r="AE133" s="299"/>
    </row>
    <row r="134" spans="1:31" x14ac:dyDescent="0.2">
      <c r="A134" s="82" t="s">
        <v>879</v>
      </c>
      <c r="B134" s="132"/>
      <c r="C134" s="158"/>
      <c r="D134" s="133"/>
      <c r="E134" s="85">
        <f>IF(NOT(ISBLANK('RESUMEN VIGILANCIA'!E135)),'RESUMEN VIGILANCIA'!E135,"")</f>
        <v>17000</v>
      </c>
      <c r="F134" s="83">
        <f>IF(NOT(ISBLANK('RESUMEN VIGILANCIA'!F135)),'RESUMEN VIGILANCIA'!F135,"")</f>
        <v>17000</v>
      </c>
      <c r="G134" s="83">
        <f>IF(NOT(ISBLANK('RESUMEN VIGILANCIA'!G135)),'RESUMEN VIGILANCIA'!G135,"")</f>
        <v>17000</v>
      </c>
      <c r="H134" s="83">
        <f>IF(NOT(ISBLANK('RESUMEN VIGILANCIA'!H135)),'RESUMEN VIGILANCIA'!H135,"")</f>
        <v>17000</v>
      </c>
      <c r="I134" s="83">
        <f>IF(NOT(ISBLANK('RESUMEN VIGILANCIA'!I135)),'RESUMEN VIGILANCIA'!I135,"")</f>
        <v>26000</v>
      </c>
      <c r="J134" s="83">
        <f>IF(NOT(ISBLANK('RESUMEN VIGILANCIA'!J135)),'RESUMEN VIGILANCIA'!J135,"")</f>
        <v>26000</v>
      </c>
      <c r="K134" s="83">
        <f>IF(NOT(ISBLANK('RESUMEN VIGILANCIA'!K135)),'RESUMEN VIGILANCIA'!K135,"")</f>
        <v>35000</v>
      </c>
      <c r="L134" s="83">
        <f>IF(NOT(ISBLANK('RESUMEN VIGILANCIA'!L135)),'RESUMEN VIGILANCIA'!L135,"")</f>
        <v>35000</v>
      </c>
      <c r="M134" s="83">
        <f>IF(NOT(ISBLANK('RESUMEN VIGILANCIA'!M135)),'RESUMEN VIGILANCIA'!M135,"")</f>
        <v>35000</v>
      </c>
      <c r="N134" s="83">
        <f>IF(NOT(ISBLANK('RESUMEN VIGILANCIA'!N135)),'RESUMEN VIGILANCIA'!N135,"")</f>
        <v>35000</v>
      </c>
      <c r="O134" s="83">
        <f>IF(NOT(ISBLANK('RESUMEN VIGILANCIA'!O135)),'RESUMEN VIGILANCIA'!O135,"")</f>
        <v>50000</v>
      </c>
      <c r="P134" s="98">
        <f>IF(NOT(ISBLANK('RESUMEN VIGILANCIA'!P135)),'RESUMEN VIGILANCIA'!P135,"")</f>
        <v>50000</v>
      </c>
      <c r="Q134" s="97">
        <f>IF(NOT(ISBLANK('RESUMEN VIGILANCIA'!Q135)),'RESUMEN VIGILANCIA'!Q135,"")</f>
        <v>80000</v>
      </c>
      <c r="R134" s="84">
        <f>IF(NOT(ISBLANK('RESUMEN VIGILANCIA'!R135)),'RESUMEN VIGILANCIA'!R135,"")</f>
        <v>80000</v>
      </c>
      <c r="S134" s="84">
        <f>IF(NOT(ISBLANK('RESUMEN VIGILANCIA'!S135)),'RESUMEN VIGILANCIA'!S135,"")</f>
        <v>140000</v>
      </c>
      <c r="T134" s="84">
        <f>IF(NOT(ISBLANK('RESUMEN VIGILANCIA'!T135)),'RESUMEN VIGILANCIA'!T135,"")</f>
        <v>140000</v>
      </c>
      <c r="U134" s="84">
        <f>IF(NOT(ISBLANK('RESUMEN VIGILANCIA'!U135)),'RESUMEN VIGILANCIA'!U135,"")</f>
        <v>400000</v>
      </c>
      <c r="V134" s="84">
        <f>IF(NOT(ISBLANK('RESUMEN VIGILANCIA'!V135)),'RESUMEN VIGILANCIA'!V135,"")</f>
        <v>625000</v>
      </c>
      <c r="W134" s="84">
        <f>IF(NOT(ISBLANK('RESUMEN VIGILANCIA'!W135)),'RESUMEN VIGILANCIA'!W135,"")</f>
        <v>1000000</v>
      </c>
      <c r="X134" s="84">
        <f>IF(NOT(ISBLANK('RESUMEN VIGILANCIA'!X135)),'RESUMEN VIGILANCIA'!X135,"")</f>
        <v>1200000</v>
      </c>
      <c r="Y134" s="84" t="str">
        <f>IF(NOT(ISBLANK('RESUMEN VIGILANCIA'!Y135)),'RESUMEN VIGILANCIA'!Y135,"")</f>
        <v/>
      </c>
      <c r="Z134" s="84" t="str">
        <f>IF(NOT(ISBLANK('RESUMEN VIGILANCIA'!Z135)),'RESUMEN VIGILANCIA'!Z135,"")</f>
        <v/>
      </c>
      <c r="AA134" s="84" t="str">
        <f>IF(NOT(ISBLANK('RESUMEN VIGILANCIA'!AA135)),'RESUMEN VIGILANCIA'!AA135,"")</f>
        <v/>
      </c>
      <c r="AB134" s="98" t="str">
        <f>IF(NOT(ISBLANK('RESUMEN VIGILANCIA'!AB135)),'RESUMEN VIGILANCIA'!AB135,"")</f>
        <v/>
      </c>
      <c r="AC134" s="111"/>
      <c r="AD134" s="300"/>
      <c r="AE134" s="300"/>
    </row>
  </sheetData>
  <autoFilter ref="A1:AC134"/>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J140"/>
  <sheetViews>
    <sheetView showGridLines="0" workbookViewId="0">
      <pane xSplit="2" ySplit="1" topLeftCell="C2" activePane="bottomRight" state="frozen"/>
      <selection pane="topRight" activeCell="C1" sqref="C1"/>
      <selection pane="bottomLeft" activeCell="A2" sqref="A2"/>
      <selection pane="bottomRight" activeCell="A2" sqref="A2"/>
    </sheetView>
  </sheetViews>
  <sheetFormatPr baseColWidth="10" defaultColWidth="10.7109375" defaultRowHeight="15" x14ac:dyDescent="0.25"/>
  <cols>
    <col min="1" max="1" width="27.5703125" bestFit="1" customWidth="1"/>
    <col min="2" max="2" width="27.140625" bestFit="1" customWidth="1"/>
    <col min="3" max="9" width="11.28515625" customWidth="1"/>
    <col min="10" max="10" width="1.7109375" customWidth="1"/>
    <col min="11" max="37" width="10.7109375" customWidth="1"/>
  </cols>
  <sheetData>
    <row r="1" spans="1:9" ht="25.5" x14ac:dyDescent="0.25">
      <c r="A1" s="49" t="s">
        <v>5</v>
      </c>
      <c r="B1" s="50" t="s">
        <v>7</v>
      </c>
      <c r="C1" s="40" t="s">
        <v>453</v>
      </c>
      <c r="D1" s="162" t="s">
        <v>673</v>
      </c>
      <c r="E1" s="162" t="s">
        <v>746</v>
      </c>
      <c r="F1" s="70" t="s">
        <v>369</v>
      </c>
      <c r="G1" s="40" t="s">
        <v>460</v>
      </c>
      <c r="H1" s="162" t="s">
        <v>734</v>
      </c>
      <c r="I1" s="40" t="s">
        <v>652</v>
      </c>
    </row>
    <row r="2" spans="1:9" x14ac:dyDescent="0.25">
      <c r="A2" s="53" t="s">
        <v>248</v>
      </c>
      <c r="B2" s="54" t="s">
        <v>250</v>
      </c>
      <c r="C2" s="72">
        <f>SUMIFS(Vigilancia!$E:$E,Vigilancia!$F:$F,$A2,Vigilancia!$J:$J,C$1)</f>
        <v>0</v>
      </c>
      <c r="D2" s="72">
        <f>SUMIFS(Vigilancia!$E:$E,Vigilancia!$F:$F,$A2,Vigilancia!$J:$J,D$1)</f>
        <v>400000</v>
      </c>
      <c r="E2" s="72">
        <f>SUMIFS(Vigilancia!$E:$E,Vigilancia!$F:$F,$A2,Vigilancia!$J:$J,E$1)</f>
        <v>0</v>
      </c>
      <c r="F2" s="72">
        <f>SUMIFS(Vigilancia!$E:$E,Vigilancia!$F:$F,$A2,Vigilancia!$J:$J,F$1)</f>
        <v>0</v>
      </c>
      <c r="G2" s="72">
        <f>SUMIFS(Vigilancia!$E:$E,Vigilancia!$F:$F,$A2,Vigilancia!$J:$J,G$1)</f>
        <v>0</v>
      </c>
      <c r="H2" s="72">
        <f>SUMIFS(Vigilancia!$E:$E,Vigilancia!$F:$F,$A2,Vigilancia!$J:$J,H$1)</f>
        <v>0</v>
      </c>
      <c r="I2" s="72">
        <f>SUMIFS(Vigilancia!$E:$E,Vigilancia!$F:$F,$A2,Vigilancia!$J:$J,I$1)</f>
        <v>0</v>
      </c>
    </row>
    <row r="3" spans="1:9" x14ac:dyDescent="0.25">
      <c r="A3" s="53" t="s">
        <v>270</v>
      </c>
      <c r="B3" s="54" t="s">
        <v>272</v>
      </c>
      <c r="C3" s="72">
        <f>SUMIFS(Vigilancia!$E:$E,Vigilancia!$F:$F,$A3,Vigilancia!$J:$J,C$1)</f>
        <v>0</v>
      </c>
      <c r="D3" s="72">
        <f>SUMIFS(Vigilancia!$E:$E,Vigilancia!$F:$F,$A3,Vigilancia!$J:$J,D$1)</f>
        <v>0</v>
      </c>
      <c r="E3" s="72">
        <f>SUMIFS(Vigilancia!$E:$E,Vigilancia!$F:$F,$A3,Vigilancia!$J:$J,E$1)</f>
        <v>0</v>
      </c>
      <c r="F3" s="72">
        <f>SUMIFS(Vigilancia!$E:$E,Vigilancia!$F:$F,$A3,Vigilancia!$J:$J,F$1)</f>
        <v>0</v>
      </c>
      <c r="G3" s="72">
        <f>SUMIFS(Vigilancia!$E:$E,Vigilancia!$F:$F,$A3,Vigilancia!$J:$J,G$1)</f>
        <v>0</v>
      </c>
      <c r="H3" s="72">
        <f>SUMIFS(Vigilancia!$E:$E,Vigilancia!$F:$F,$A3,Vigilancia!$J:$J,H$1)</f>
        <v>0</v>
      </c>
      <c r="I3" s="72">
        <f>SUMIFS(Vigilancia!$E:$E,Vigilancia!$F:$F,$A3,Vigilancia!$J:$J,I$1)</f>
        <v>0</v>
      </c>
    </row>
    <row r="4" spans="1:9" x14ac:dyDescent="0.25">
      <c r="A4" s="53" t="s">
        <v>197</v>
      </c>
      <c r="B4" s="54" t="s">
        <v>199</v>
      </c>
      <c r="C4" s="72">
        <f>SUMIFS(Vigilancia!$E:$E,Vigilancia!$F:$F,$A4,Vigilancia!$J:$J,C$1)</f>
        <v>0</v>
      </c>
      <c r="D4" s="72">
        <f>SUMIFS(Vigilancia!$E:$E,Vigilancia!$F:$F,$A4,Vigilancia!$J:$J,D$1)</f>
        <v>350000</v>
      </c>
      <c r="E4" s="72">
        <f>SUMIFS(Vigilancia!$E:$E,Vigilancia!$F:$F,$A4,Vigilancia!$J:$J,E$1)</f>
        <v>0</v>
      </c>
      <c r="F4" s="72">
        <f>SUMIFS(Vigilancia!$E:$E,Vigilancia!$F:$F,$A4,Vigilancia!$J:$J,F$1)</f>
        <v>0</v>
      </c>
      <c r="G4" s="72">
        <f>SUMIFS(Vigilancia!$E:$E,Vigilancia!$F:$F,$A4,Vigilancia!$J:$J,G$1)</f>
        <v>0</v>
      </c>
      <c r="H4" s="72">
        <f>SUMIFS(Vigilancia!$E:$E,Vigilancia!$F:$F,$A4,Vigilancia!$J:$J,H$1)</f>
        <v>0</v>
      </c>
      <c r="I4" s="72">
        <f>SUMIFS(Vigilancia!$E:$E,Vigilancia!$F:$F,$A4,Vigilancia!$J:$J,I$1)</f>
        <v>0</v>
      </c>
    </row>
    <row r="5" spans="1:9" x14ac:dyDescent="0.25">
      <c r="A5" s="53" t="s">
        <v>337</v>
      </c>
      <c r="B5" s="54" t="s">
        <v>339</v>
      </c>
      <c r="C5" s="72">
        <f>SUMIFS(Vigilancia!$E:$E,Vigilancia!$F:$F,$A5,Vigilancia!$J:$J,C$1)</f>
        <v>7000</v>
      </c>
      <c r="D5" s="72">
        <f>SUMIFS(Vigilancia!$E:$E,Vigilancia!$F:$F,$A5,Vigilancia!$J:$J,D$1)</f>
        <v>350000</v>
      </c>
      <c r="E5" s="393">
        <f>SUMIFS(Vigilancia!$E:$E,Vigilancia!$F:$F,$A5,Vigilancia!$J:$J,E$1)</f>
        <v>1220000</v>
      </c>
      <c r="F5" s="72">
        <f>SUMIFS(Vigilancia!$E:$E,Vigilancia!$F:$F,$A5,Vigilancia!$J:$J,F$1)</f>
        <v>0</v>
      </c>
      <c r="G5" s="72">
        <f>SUMIFS(Vigilancia!$E:$E,Vigilancia!$F:$F,$A5,Vigilancia!$J:$J,G$1)</f>
        <v>0</v>
      </c>
      <c r="H5" s="72">
        <f>SUMIFS(Vigilancia!$E:$E,Vigilancia!$F:$F,$A5,Vigilancia!$J:$J,H$1)</f>
        <v>0</v>
      </c>
      <c r="I5" s="72">
        <f>SUMIFS(Vigilancia!$E:$E,Vigilancia!$F:$F,$A5,Vigilancia!$J:$J,I$1)</f>
        <v>0</v>
      </c>
    </row>
    <row r="6" spans="1:9" x14ac:dyDescent="0.25">
      <c r="A6" s="53" t="s">
        <v>62</v>
      </c>
      <c r="B6" s="54" t="s">
        <v>64</v>
      </c>
      <c r="C6" s="72">
        <f>SUMIFS(Vigilancia!$E:$E,Vigilancia!$F:$F,$A6,Vigilancia!$J:$J,C$1)</f>
        <v>0</v>
      </c>
      <c r="D6" s="72">
        <f>SUMIFS(Vigilancia!$E:$E,Vigilancia!$F:$F,$A6,Vigilancia!$J:$J,D$1)</f>
        <v>350000</v>
      </c>
      <c r="E6" s="393">
        <f>SUMIFS(Vigilancia!$E:$E,Vigilancia!$F:$F,$A6,Vigilancia!$J:$J,E$1)</f>
        <v>0</v>
      </c>
      <c r="F6" s="72">
        <f>SUMIFS(Vigilancia!$E:$E,Vigilancia!$F:$F,$A6,Vigilancia!$J:$J,F$1)</f>
        <v>0</v>
      </c>
      <c r="G6" s="72">
        <f>SUMIFS(Vigilancia!$E:$E,Vigilancia!$F:$F,$A6,Vigilancia!$J:$J,G$1)</f>
        <v>0</v>
      </c>
      <c r="H6" s="72">
        <f>SUMIFS(Vigilancia!$E:$E,Vigilancia!$F:$F,$A6,Vigilancia!$J:$J,H$1)</f>
        <v>0</v>
      </c>
      <c r="I6" s="72">
        <f>SUMIFS(Vigilancia!$E:$E,Vigilancia!$F:$F,$A6,Vigilancia!$J:$J,I$1)</f>
        <v>0</v>
      </c>
    </row>
    <row r="7" spans="1:9" x14ac:dyDescent="0.25">
      <c r="A7" s="53" t="s">
        <v>94</v>
      </c>
      <c r="B7" s="54" t="s">
        <v>96</v>
      </c>
      <c r="C7" s="72">
        <f>SUMIFS(Vigilancia!$E:$E,Vigilancia!$F:$F,$A7,Vigilancia!$J:$J,C$1)</f>
        <v>0</v>
      </c>
      <c r="D7" s="72">
        <f>SUMIFS(Vigilancia!$E:$E,Vigilancia!$F:$F,$A7,Vigilancia!$J:$J,D$1)</f>
        <v>0</v>
      </c>
      <c r="E7" s="393">
        <f>SUMIFS(Vigilancia!$E:$E,Vigilancia!$F:$F,$A7,Vigilancia!$J:$J,E$1)</f>
        <v>0</v>
      </c>
      <c r="F7" s="72">
        <f>SUMIFS(Vigilancia!$E:$E,Vigilancia!$F:$F,$A7,Vigilancia!$J:$J,F$1)</f>
        <v>0</v>
      </c>
      <c r="G7" s="72">
        <f>SUMIFS(Vigilancia!$E:$E,Vigilancia!$F:$F,$A7,Vigilancia!$J:$J,G$1)</f>
        <v>0</v>
      </c>
      <c r="H7" s="72">
        <f>SUMIFS(Vigilancia!$E:$E,Vigilancia!$F:$F,$A7,Vigilancia!$J:$J,H$1)</f>
        <v>0</v>
      </c>
      <c r="I7" s="72">
        <f>SUMIFS(Vigilancia!$E:$E,Vigilancia!$F:$F,$A7,Vigilancia!$J:$J,I$1)</f>
        <v>0</v>
      </c>
    </row>
    <row r="8" spans="1:9" x14ac:dyDescent="0.25">
      <c r="A8" s="53" t="s">
        <v>809</v>
      </c>
      <c r="B8" s="54" t="s">
        <v>810</v>
      </c>
      <c r="C8" s="72">
        <f>SUMIFS(Vigilancia!$E:$E,Vigilancia!$F:$F,$A8,Vigilancia!$J:$J,C$1)</f>
        <v>0</v>
      </c>
      <c r="D8" s="72">
        <f>SUMIFS(Vigilancia!$E:$E,Vigilancia!$F:$F,$A8,Vigilancia!$J:$J,D$1)</f>
        <v>0</v>
      </c>
      <c r="E8" s="393">
        <f>SUMIFS(Vigilancia!$E:$E,Vigilancia!$F:$F,$A8,Vigilancia!$J:$J,E$1)</f>
        <v>0</v>
      </c>
      <c r="F8" s="72">
        <f>SUMIFS(Vigilancia!$E:$E,Vigilancia!$F:$F,$A8,Vigilancia!$J:$J,F$1)</f>
        <v>0</v>
      </c>
      <c r="G8" s="72">
        <f>SUMIFS(Vigilancia!$E:$E,Vigilancia!$F:$F,$A8,Vigilancia!$J:$J,G$1)</f>
        <v>0</v>
      </c>
      <c r="H8" s="72">
        <f>SUMIFS(Vigilancia!$E:$E,Vigilancia!$F:$F,$A8,Vigilancia!$J:$J,H$1)</f>
        <v>0</v>
      </c>
      <c r="I8" s="72">
        <f>SUMIFS(Vigilancia!$E:$E,Vigilancia!$F:$F,$A8,Vigilancia!$J:$J,I$1)</f>
        <v>0</v>
      </c>
    </row>
    <row r="9" spans="1:9" x14ac:dyDescent="0.25">
      <c r="A9" s="53" t="s">
        <v>57</v>
      </c>
      <c r="B9" s="54" t="s">
        <v>59</v>
      </c>
      <c r="C9" s="72">
        <f>SUMIFS(Vigilancia!$E:$E,Vigilancia!$F:$F,$A9,Vigilancia!$J:$J,C$1)</f>
        <v>7000</v>
      </c>
      <c r="D9" s="72">
        <f>SUMIFS(Vigilancia!$E:$E,Vigilancia!$F:$F,$A9,Vigilancia!$J:$J,D$1)</f>
        <v>350000</v>
      </c>
      <c r="E9" s="393">
        <f>SUMIFS(Vigilancia!$E:$E,Vigilancia!$F:$F,$A9,Vigilancia!$J:$J,E$1)</f>
        <v>1220000</v>
      </c>
      <c r="F9" s="72">
        <f>SUMIFS(Vigilancia!$E:$E,Vigilancia!$F:$F,$A9,Vigilancia!$J:$J,F$1)</f>
        <v>0</v>
      </c>
      <c r="G9" s="72">
        <f>SUMIFS(Vigilancia!$E:$E,Vigilancia!$F:$F,$A9,Vigilancia!$J:$J,G$1)</f>
        <v>0</v>
      </c>
      <c r="H9" s="72">
        <f>SUMIFS(Vigilancia!$E:$E,Vigilancia!$F:$F,$A9,Vigilancia!$J:$J,H$1)</f>
        <v>0</v>
      </c>
      <c r="I9" s="72">
        <f>SUMIFS(Vigilancia!$E:$E,Vigilancia!$F:$F,$A9,Vigilancia!$J:$J,I$1)</f>
        <v>0</v>
      </c>
    </row>
    <row r="10" spans="1:9" x14ac:dyDescent="0.25">
      <c r="A10" s="53" t="s">
        <v>439</v>
      </c>
      <c r="B10" s="54" t="s">
        <v>441</v>
      </c>
      <c r="C10" s="72">
        <f>SUMIFS(Vigilancia!$E:$E,Vigilancia!$F:$F,$A10,Vigilancia!$J:$J,C$1)</f>
        <v>7000</v>
      </c>
      <c r="D10" s="72">
        <f>SUMIFS(Vigilancia!$E:$E,Vigilancia!$F:$F,$A10,Vigilancia!$J:$J,D$1)</f>
        <v>350000</v>
      </c>
      <c r="E10" s="393">
        <f>SUMIFS(Vigilancia!$E:$E,Vigilancia!$F:$F,$A10,Vigilancia!$J:$J,E$1)</f>
        <v>1220000</v>
      </c>
      <c r="F10" s="72">
        <f>SUMIFS(Vigilancia!$E:$E,Vigilancia!$F:$F,$A10,Vigilancia!$J:$J,F$1)</f>
        <v>0</v>
      </c>
      <c r="G10" s="72">
        <f>SUMIFS(Vigilancia!$E:$E,Vigilancia!$F:$F,$A10,Vigilancia!$J:$J,G$1)</f>
        <v>0</v>
      </c>
      <c r="H10" s="72">
        <f>SUMIFS(Vigilancia!$E:$E,Vigilancia!$F:$F,$A10,Vigilancia!$J:$J,H$1)</f>
        <v>0</v>
      </c>
      <c r="I10" s="72">
        <f>SUMIFS(Vigilancia!$E:$E,Vigilancia!$F:$F,$A10,Vigilancia!$J:$J,I$1)</f>
        <v>0</v>
      </c>
    </row>
    <row r="11" spans="1:9" x14ac:dyDescent="0.25">
      <c r="A11" s="53" t="s">
        <v>811</v>
      </c>
      <c r="B11" s="54" t="s">
        <v>812</v>
      </c>
      <c r="C11" s="72">
        <f>SUMIFS(Vigilancia!$E:$E,Vigilancia!$F:$F,$A11,Vigilancia!$J:$J,C$1)</f>
        <v>0</v>
      </c>
      <c r="D11" s="72">
        <f>SUMIFS(Vigilancia!$E:$E,Vigilancia!$F:$F,$A11,Vigilancia!$J:$J,D$1)</f>
        <v>0</v>
      </c>
      <c r="E11" s="393">
        <f>SUMIFS(Vigilancia!$E:$E,Vigilancia!$F:$F,$A11,Vigilancia!$J:$J,E$1)</f>
        <v>0</v>
      </c>
      <c r="F11" s="72">
        <f>SUMIFS(Vigilancia!$E:$E,Vigilancia!$F:$F,$A11,Vigilancia!$J:$J,F$1)</f>
        <v>0</v>
      </c>
      <c r="G11" s="72">
        <f>SUMIFS(Vigilancia!$E:$E,Vigilancia!$F:$F,$A11,Vigilancia!$J:$J,G$1)</f>
        <v>0</v>
      </c>
      <c r="H11" s="72">
        <f>SUMIFS(Vigilancia!$E:$E,Vigilancia!$F:$F,$A11,Vigilancia!$J:$J,H$1)</f>
        <v>0</v>
      </c>
      <c r="I11" s="72">
        <f>SUMIFS(Vigilancia!$E:$E,Vigilancia!$F:$F,$A11,Vigilancia!$J:$J,I$1)</f>
        <v>0</v>
      </c>
    </row>
    <row r="12" spans="1:9" x14ac:dyDescent="0.25">
      <c r="A12" s="53" t="s">
        <v>813</v>
      </c>
      <c r="B12" s="54" t="s">
        <v>814</v>
      </c>
      <c r="C12" s="72">
        <f>SUMIFS(Vigilancia!$E:$E,Vigilancia!$F:$F,$A12,Vigilancia!$J:$J,C$1)</f>
        <v>0</v>
      </c>
      <c r="D12" s="72">
        <f>SUMIFS(Vigilancia!$E:$E,Vigilancia!$F:$F,$A12,Vigilancia!$J:$J,D$1)</f>
        <v>0</v>
      </c>
      <c r="E12" s="393">
        <f>SUMIFS(Vigilancia!$E:$E,Vigilancia!$F:$F,$A12,Vigilancia!$J:$J,E$1)</f>
        <v>0</v>
      </c>
      <c r="F12" s="72">
        <f>SUMIFS(Vigilancia!$E:$E,Vigilancia!$F:$F,$A12,Vigilancia!$J:$J,F$1)</f>
        <v>0</v>
      </c>
      <c r="G12" s="72">
        <f>SUMIFS(Vigilancia!$E:$E,Vigilancia!$F:$F,$A12,Vigilancia!$J:$J,G$1)</f>
        <v>0</v>
      </c>
      <c r="H12" s="72">
        <f>SUMIFS(Vigilancia!$E:$E,Vigilancia!$F:$F,$A12,Vigilancia!$J:$J,H$1)</f>
        <v>0</v>
      </c>
      <c r="I12" s="72">
        <f>SUMIFS(Vigilancia!$E:$E,Vigilancia!$F:$F,$A12,Vigilancia!$J:$J,I$1)</f>
        <v>0</v>
      </c>
    </row>
    <row r="13" spans="1:9" x14ac:dyDescent="0.25">
      <c r="A13" s="53" t="s">
        <v>177</v>
      </c>
      <c r="B13" s="54" t="s">
        <v>179</v>
      </c>
      <c r="C13" s="72">
        <f>SUMIFS(Vigilancia!$E:$E,Vigilancia!$F:$F,$A13,Vigilancia!$J:$J,C$1)</f>
        <v>7000</v>
      </c>
      <c r="D13" s="72">
        <f>SUMIFS(Vigilancia!$E:$E,Vigilancia!$F:$F,$A13,Vigilancia!$J:$J,D$1)</f>
        <v>0</v>
      </c>
      <c r="E13" s="393">
        <f>SUMIFS(Vigilancia!$E:$E,Vigilancia!$F:$F,$A13,Vigilancia!$J:$J,E$1)</f>
        <v>0</v>
      </c>
      <c r="F13" s="72">
        <f>SUMIFS(Vigilancia!$E:$E,Vigilancia!$F:$F,$A13,Vigilancia!$J:$J,F$1)</f>
        <v>0</v>
      </c>
      <c r="G13" s="72">
        <f>SUMIFS(Vigilancia!$E:$E,Vigilancia!$F:$F,$A13,Vigilancia!$J:$J,G$1)</f>
        <v>0</v>
      </c>
      <c r="H13" s="72">
        <f>SUMIFS(Vigilancia!$E:$E,Vigilancia!$F:$F,$A13,Vigilancia!$J:$J,H$1)</f>
        <v>0</v>
      </c>
      <c r="I13" s="72">
        <f>SUMIFS(Vigilancia!$E:$E,Vigilancia!$F:$F,$A13,Vigilancia!$J:$J,I$1)</f>
        <v>0</v>
      </c>
    </row>
    <row r="14" spans="1:9" x14ac:dyDescent="0.25">
      <c r="A14" s="53" t="s">
        <v>264</v>
      </c>
      <c r="B14" s="54" t="s">
        <v>266</v>
      </c>
      <c r="C14" s="72">
        <f>SUMIFS(Vigilancia!$E:$E,Vigilancia!$F:$F,$A14,Vigilancia!$J:$J,C$1)</f>
        <v>7000</v>
      </c>
      <c r="D14" s="72">
        <f>SUMIFS(Vigilancia!$E:$E,Vigilancia!$F:$F,$A14,Vigilancia!$J:$J,D$1)</f>
        <v>350000</v>
      </c>
      <c r="E14" s="393">
        <f>SUMIFS(Vigilancia!$E:$E,Vigilancia!$F:$F,$A14,Vigilancia!$J:$J,E$1)</f>
        <v>0</v>
      </c>
      <c r="F14" s="72">
        <f>SUMIFS(Vigilancia!$E:$E,Vigilancia!$F:$F,$A14,Vigilancia!$J:$J,F$1)</f>
        <v>18000</v>
      </c>
      <c r="G14" s="72">
        <f>SUMIFS(Vigilancia!$E:$E,Vigilancia!$F:$F,$A14,Vigilancia!$J:$J,G$1)</f>
        <v>0</v>
      </c>
      <c r="H14" s="72">
        <f>SUMIFS(Vigilancia!$E:$E,Vigilancia!$F:$F,$A14,Vigilancia!$J:$J,H$1)</f>
        <v>0</v>
      </c>
      <c r="I14" s="72">
        <f>SUMIFS(Vigilancia!$E:$E,Vigilancia!$F:$F,$A14,Vigilancia!$J:$J,I$1)</f>
        <v>0</v>
      </c>
    </row>
    <row r="15" spans="1:9" x14ac:dyDescent="0.25">
      <c r="A15" s="53" t="s">
        <v>815</v>
      </c>
      <c r="B15" s="54" t="s">
        <v>816</v>
      </c>
      <c r="C15" s="72">
        <f>SUMIFS(Vigilancia!$E:$E,Vigilancia!$F:$F,$A15,Vigilancia!$J:$J,C$1)</f>
        <v>0</v>
      </c>
      <c r="D15" s="72">
        <f>SUMIFS(Vigilancia!$E:$E,Vigilancia!$F:$F,$A15,Vigilancia!$J:$J,D$1)</f>
        <v>0</v>
      </c>
      <c r="E15" s="393">
        <f>SUMIFS(Vigilancia!$E:$E,Vigilancia!$F:$F,$A15,Vigilancia!$J:$J,E$1)</f>
        <v>0</v>
      </c>
      <c r="F15" s="72">
        <f>SUMIFS(Vigilancia!$E:$E,Vigilancia!$F:$F,$A15,Vigilancia!$J:$J,F$1)</f>
        <v>0</v>
      </c>
      <c r="G15" s="72">
        <f>SUMIFS(Vigilancia!$E:$E,Vigilancia!$F:$F,$A15,Vigilancia!$J:$J,G$1)</f>
        <v>0</v>
      </c>
      <c r="H15" s="72">
        <f>SUMIFS(Vigilancia!$E:$E,Vigilancia!$F:$F,$A15,Vigilancia!$J:$J,H$1)</f>
        <v>0</v>
      </c>
      <c r="I15" s="72">
        <f>SUMIFS(Vigilancia!$E:$E,Vigilancia!$F:$F,$A15,Vigilancia!$J:$J,I$1)</f>
        <v>0</v>
      </c>
    </row>
    <row r="16" spans="1:9" x14ac:dyDescent="0.25">
      <c r="A16" s="53" t="s">
        <v>817</v>
      </c>
      <c r="B16" s="54" t="s">
        <v>816</v>
      </c>
      <c r="C16" s="72">
        <f>SUMIFS(Vigilancia!$E:$E,Vigilancia!$F:$F,$A16,Vigilancia!$J:$J,C$1)</f>
        <v>0</v>
      </c>
      <c r="D16" s="72">
        <f>SUMIFS(Vigilancia!$E:$E,Vigilancia!$F:$F,$A16,Vigilancia!$J:$J,D$1)</f>
        <v>0</v>
      </c>
      <c r="E16" s="393">
        <f>SUMIFS(Vigilancia!$E:$E,Vigilancia!$F:$F,$A16,Vigilancia!$J:$J,E$1)</f>
        <v>0</v>
      </c>
      <c r="F16" s="72">
        <f>SUMIFS(Vigilancia!$E:$E,Vigilancia!$F:$F,$A16,Vigilancia!$J:$J,F$1)</f>
        <v>0</v>
      </c>
      <c r="G16" s="72">
        <f>SUMIFS(Vigilancia!$E:$E,Vigilancia!$F:$F,$A16,Vigilancia!$J:$J,G$1)</f>
        <v>0</v>
      </c>
      <c r="H16" s="72">
        <f>SUMIFS(Vigilancia!$E:$E,Vigilancia!$F:$F,$A16,Vigilancia!$J:$J,H$1)</f>
        <v>0</v>
      </c>
      <c r="I16" s="72">
        <f>SUMIFS(Vigilancia!$E:$E,Vigilancia!$F:$F,$A16,Vigilancia!$J:$J,I$1)</f>
        <v>0</v>
      </c>
    </row>
    <row r="17" spans="1:9" x14ac:dyDescent="0.25">
      <c r="A17" s="53" t="s">
        <v>334</v>
      </c>
      <c r="B17" s="54" t="s">
        <v>335</v>
      </c>
      <c r="C17" s="72">
        <f>SUMIFS(Vigilancia!$E:$E,Vigilancia!$F:$F,$A17,Vigilancia!$J:$J,C$1)</f>
        <v>7000</v>
      </c>
      <c r="D17" s="72">
        <f>SUMIFS(Vigilancia!$E:$E,Vigilancia!$F:$F,$A17,Vigilancia!$J:$J,D$1)</f>
        <v>350000</v>
      </c>
      <c r="E17" s="393">
        <f>SUMIFS(Vigilancia!$E:$E,Vigilancia!$F:$F,$A17,Vigilancia!$J:$J,E$1)</f>
        <v>1220000</v>
      </c>
      <c r="F17" s="72">
        <f>SUMIFS(Vigilancia!$E:$E,Vigilancia!$F:$F,$A17,Vigilancia!$J:$J,F$1)</f>
        <v>0</v>
      </c>
      <c r="G17" s="72">
        <f>SUMIFS(Vigilancia!$E:$E,Vigilancia!$F:$F,$A17,Vigilancia!$J:$J,G$1)</f>
        <v>0</v>
      </c>
      <c r="H17" s="72">
        <f>SUMIFS(Vigilancia!$E:$E,Vigilancia!$F:$F,$A17,Vigilancia!$J:$J,H$1)</f>
        <v>0</v>
      </c>
      <c r="I17" s="72">
        <f>SUMIFS(Vigilancia!$E:$E,Vigilancia!$F:$F,$A17,Vigilancia!$J:$J,I$1)</f>
        <v>0</v>
      </c>
    </row>
    <row r="18" spans="1:9" x14ac:dyDescent="0.25">
      <c r="A18" s="60" t="s">
        <v>818</v>
      </c>
      <c r="B18" s="61" t="s">
        <v>819</v>
      </c>
      <c r="C18" s="73">
        <f>SUMIFS(Vigilancia!$E:$E,Vigilancia!$F:$F,$A18,Vigilancia!$J:$J,C$1)</f>
        <v>0</v>
      </c>
      <c r="D18" s="73">
        <f>SUMIFS(Vigilancia!$E:$E,Vigilancia!$F:$F,$A18,Vigilancia!$J:$J,D$1)</f>
        <v>0</v>
      </c>
      <c r="E18" s="73">
        <f>SUMIFS(Vigilancia!$E:$E,Vigilancia!$F:$F,$A18,Vigilancia!$J:$J,E$1)</f>
        <v>0</v>
      </c>
      <c r="F18" s="73">
        <f>SUMIFS(Vigilancia!$E:$E,Vigilancia!$F:$F,$A18,Vigilancia!$J:$J,F$1)</f>
        <v>0</v>
      </c>
      <c r="G18" s="73">
        <f>SUMIFS(Vigilancia!$E:$E,Vigilancia!$F:$F,$A18,Vigilancia!$J:$J,G$1)</f>
        <v>0</v>
      </c>
      <c r="H18" s="73">
        <f>SUMIFS(Vigilancia!$E:$E,Vigilancia!$F:$F,$A18,Vigilancia!$J:$J,H$1)</f>
        <v>0</v>
      </c>
      <c r="I18" s="73">
        <f>SUMIFS(Vigilancia!$E:$E,Vigilancia!$F:$F,$A18,Vigilancia!$J:$J,I$1)</f>
        <v>0</v>
      </c>
    </row>
    <row r="19" spans="1:9" x14ac:dyDescent="0.25">
      <c r="A19" s="60" t="s">
        <v>820</v>
      </c>
      <c r="B19" s="61" t="s">
        <v>821</v>
      </c>
      <c r="C19" s="73">
        <f>SUMIFS(Vigilancia!$E:$E,Vigilancia!$F:$F,$A19,Vigilancia!$J:$J,C$1)</f>
        <v>0</v>
      </c>
      <c r="D19" s="73">
        <f>SUMIFS(Vigilancia!$E:$E,Vigilancia!$F:$F,$A19,Vigilancia!$J:$J,D$1)</f>
        <v>0</v>
      </c>
      <c r="E19" s="73">
        <f>SUMIFS(Vigilancia!$E:$E,Vigilancia!$F:$F,$A19,Vigilancia!$J:$J,E$1)</f>
        <v>0</v>
      </c>
      <c r="F19" s="73">
        <f>SUMIFS(Vigilancia!$E:$E,Vigilancia!$F:$F,$A19,Vigilancia!$J:$J,F$1)</f>
        <v>0</v>
      </c>
      <c r="G19" s="73">
        <f>SUMIFS(Vigilancia!$E:$E,Vigilancia!$F:$F,$A19,Vigilancia!$J:$J,G$1)</f>
        <v>0</v>
      </c>
      <c r="H19" s="73">
        <f>SUMIFS(Vigilancia!$E:$E,Vigilancia!$F:$F,$A19,Vigilancia!$J:$J,H$1)</f>
        <v>0</v>
      </c>
      <c r="I19" s="73">
        <f>SUMIFS(Vigilancia!$E:$E,Vigilancia!$F:$F,$A19,Vigilancia!$J:$J,I$1)</f>
        <v>0</v>
      </c>
    </row>
    <row r="20" spans="1:9" x14ac:dyDescent="0.25">
      <c r="A20" s="60" t="s">
        <v>822</v>
      </c>
      <c r="B20" s="61" t="s">
        <v>823</v>
      </c>
      <c r="C20" s="73">
        <f>SUMIFS(Vigilancia!$E:$E,Vigilancia!$F:$F,$A20,Vigilancia!$J:$J,C$1)</f>
        <v>0</v>
      </c>
      <c r="D20" s="73">
        <f>SUMIFS(Vigilancia!$E:$E,Vigilancia!$F:$F,$A20,Vigilancia!$J:$J,D$1)</f>
        <v>0</v>
      </c>
      <c r="E20" s="73">
        <f>SUMIFS(Vigilancia!$E:$E,Vigilancia!$F:$F,$A20,Vigilancia!$J:$J,E$1)</f>
        <v>0</v>
      </c>
      <c r="F20" s="73">
        <f>SUMIFS(Vigilancia!$E:$E,Vigilancia!$F:$F,$A20,Vigilancia!$J:$J,F$1)</f>
        <v>0</v>
      </c>
      <c r="G20" s="73">
        <f>SUMIFS(Vigilancia!$E:$E,Vigilancia!$F:$F,$A20,Vigilancia!$J:$J,G$1)</f>
        <v>0</v>
      </c>
      <c r="H20" s="73">
        <f>SUMIFS(Vigilancia!$E:$E,Vigilancia!$F:$F,$A20,Vigilancia!$J:$J,H$1)</f>
        <v>0</v>
      </c>
      <c r="I20" s="73">
        <f>SUMIFS(Vigilancia!$E:$E,Vigilancia!$F:$F,$A20,Vigilancia!$J:$J,I$1)</f>
        <v>0</v>
      </c>
    </row>
    <row r="21" spans="1:9" x14ac:dyDescent="0.25">
      <c r="A21" s="60" t="s">
        <v>824</v>
      </c>
      <c r="B21" s="61" t="s">
        <v>825</v>
      </c>
      <c r="C21" s="73">
        <f>SUMIFS(Vigilancia!$E:$E,Vigilancia!$F:$F,$A21,Vigilancia!$J:$J,C$1)</f>
        <v>0</v>
      </c>
      <c r="D21" s="73">
        <f>SUMIFS(Vigilancia!$E:$E,Vigilancia!$F:$F,$A21,Vigilancia!$J:$J,D$1)</f>
        <v>0</v>
      </c>
      <c r="E21" s="73">
        <f>SUMIFS(Vigilancia!$E:$E,Vigilancia!$F:$F,$A21,Vigilancia!$J:$J,E$1)</f>
        <v>0</v>
      </c>
      <c r="F21" s="73">
        <f>SUMIFS(Vigilancia!$E:$E,Vigilancia!$F:$F,$A21,Vigilancia!$J:$J,F$1)</f>
        <v>0</v>
      </c>
      <c r="G21" s="73">
        <f>SUMIFS(Vigilancia!$E:$E,Vigilancia!$F:$F,$A21,Vigilancia!$J:$J,G$1)</f>
        <v>0</v>
      </c>
      <c r="H21" s="73">
        <f>SUMIFS(Vigilancia!$E:$E,Vigilancia!$F:$F,$A21,Vigilancia!$J:$J,H$1)</f>
        <v>0</v>
      </c>
      <c r="I21" s="73">
        <f>SUMIFS(Vigilancia!$E:$E,Vigilancia!$F:$F,$A21,Vigilancia!$J:$J,I$1)</f>
        <v>0</v>
      </c>
    </row>
    <row r="22" spans="1:9" x14ac:dyDescent="0.25">
      <c r="A22" s="60" t="s">
        <v>826</v>
      </c>
      <c r="B22" s="61" t="s">
        <v>827</v>
      </c>
      <c r="C22" s="73">
        <f>SUMIFS(Vigilancia!$E:$E,Vigilancia!$F:$F,$A22,Vigilancia!$J:$J,C$1)</f>
        <v>0</v>
      </c>
      <c r="D22" s="73">
        <f>SUMIFS(Vigilancia!$E:$E,Vigilancia!$F:$F,$A22,Vigilancia!$J:$J,D$1)</f>
        <v>0</v>
      </c>
      <c r="E22" s="73">
        <f>SUMIFS(Vigilancia!$E:$E,Vigilancia!$F:$F,$A22,Vigilancia!$J:$J,E$1)</f>
        <v>0</v>
      </c>
      <c r="F22" s="73">
        <f>SUMIFS(Vigilancia!$E:$E,Vigilancia!$F:$F,$A22,Vigilancia!$J:$J,F$1)</f>
        <v>0</v>
      </c>
      <c r="G22" s="73">
        <f>SUMIFS(Vigilancia!$E:$E,Vigilancia!$F:$F,$A22,Vigilancia!$J:$J,G$1)</f>
        <v>0</v>
      </c>
      <c r="H22" s="73">
        <f>SUMIFS(Vigilancia!$E:$E,Vigilancia!$F:$F,$A22,Vigilancia!$J:$J,H$1)</f>
        <v>0</v>
      </c>
      <c r="I22" s="73">
        <f>SUMIFS(Vigilancia!$E:$E,Vigilancia!$F:$F,$A22,Vigilancia!$J:$J,I$1)</f>
        <v>0</v>
      </c>
    </row>
    <row r="23" spans="1:9" x14ac:dyDescent="0.25">
      <c r="A23" s="60" t="s">
        <v>828</v>
      </c>
      <c r="B23" s="61" t="s">
        <v>829</v>
      </c>
      <c r="C23" s="73">
        <f>SUMIFS(Vigilancia!$E:$E,Vigilancia!$F:$F,$A23,Vigilancia!$J:$J,C$1)</f>
        <v>0</v>
      </c>
      <c r="D23" s="73">
        <f>SUMIFS(Vigilancia!$E:$E,Vigilancia!$F:$F,$A23,Vigilancia!$J:$J,D$1)</f>
        <v>0</v>
      </c>
      <c r="E23" s="73">
        <f>SUMIFS(Vigilancia!$E:$E,Vigilancia!$F:$F,$A23,Vigilancia!$J:$J,E$1)</f>
        <v>0</v>
      </c>
      <c r="F23" s="73">
        <f>SUMIFS(Vigilancia!$E:$E,Vigilancia!$F:$F,$A23,Vigilancia!$J:$J,F$1)</f>
        <v>0</v>
      </c>
      <c r="G23" s="73">
        <f>SUMIFS(Vigilancia!$E:$E,Vigilancia!$F:$F,$A23,Vigilancia!$J:$J,G$1)</f>
        <v>0</v>
      </c>
      <c r="H23" s="73">
        <f>SUMIFS(Vigilancia!$E:$E,Vigilancia!$F:$F,$A23,Vigilancia!$J:$J,H$1)</f>
        <v>0</v>
      </c>
      <c r="I23" s="73">
        <f>SUMIFS(Vigilancia!$E:$E,Vigilancia!$F:$F,$A23,Vigilancia!$J:$J,I$1)</f>
        <v>0</v>
      </c>
    </row>
    <row r="24" spans="1:9" x14ac:dyDescent="0.25">
      <c r="A24" s="60" t="s">
        <v>830</v>
      </c>
      <c r="B24" s="61" t="s">
        <v>831</v>
      </c>
      <c r="C24" s="73">
        <f>SUMIFS(Vigilancia!$E:$E,Vigilancia!$F:$F,$A24,Vigilancia!$J:$J,C$1)</f>
        <v>0</v>
      </c>
      <c r="D24" s="73">
        <f>SUMIFS(Vigilancia!$E:$E,Vigilancia!$F:$F,$A24,Vigilancia!$J:$J,D$1)</f>
        <v>0</v>
      </c>
      <c r="E24" s="73">
        <f>SUMIFS(Vigilancia!$E:$E,Vigilancia!$F:$F,$A24,Vigilancia!$J:$J,E$1)</f>
        <v>0</v>
      </c>
      <c r="F24" s="73">
        <f>SUMIFS(Vigilancia!$E:$E,Vigilancia!$F:$F,$A24,Vigilancia!$J:$J,F$1)</f>
        <v>0</v>
      </c>
      <c r="G24" s="73">
        <f>SUMIFS(Vigilancia!$E:$E,Vigilancia!$F:$F,$A24,Vigilancia!$J:$J,G$1)</f>
        <v>0</v>
      </c>
      <c r="H24" s="73">
        <f>SUMIFS(Vigilancia!$E:$E,Vigilancia!$F:$F,$A24,Vigilancia!$J:$J,H$1)</f>
        <v>0</v>
      </c>
      <c r="I24" s="73">
        <f>SUMIFS(Vigilancia!$E:$E,Vigilancia!$F:$F,$A24,Vigilancia!$J:$J,I$1)</f>
        <v>0</v>
      </c>
    </row>
    <row r="25" spans="1:9" x14ac:dyDescent="0.25">
      <c r="A25" s="60" t="s">
        <v>465</v>
      </c>
      <c r="B25" s="61" t="s">
        <v>832</v>
      </c>
      <c r="C25" s="73">
        <f>SUMIFS(Vigilancia!$E:$E,Vigilancia!$F:$F,$A25,Vigilancia!$J:$J,C$1)</f>
        <v>7500</v>
      </c>
      <c r="D25" s="73">
        <f>SUMIFS(Vigilancia!$E:$E,Vigilancia!$F:$F,$A25,Vigilancia!$J:$J,D$1)</f>
        <v>0</v>
      </c>
      <c r="E25" s="73">
        <f>SUMIFS(Vigilancia!$E:$E,Vigilancia!$F:$F,$A25,Vigilancia!$J:$J,E$1)</f>
        <v>0</v>
      </c>
      <c r="F25" s="73">
        <f>SUMIFS(Vigilancia!$E:$E,Vigilancia!$F:$F,$A25,Vigilancia!$J:$J,F$1)</f>
        <v>0</v>
      </c>
      <c r="G25" s="73">
        <f>SUMIFS(Vigilancia!$E:$E,Vigilancia!$F:$F,$A25,Vigilancia!$J:$J,G$1)</f>
        <v>0</v>
      </c>
      <c r="H25" s="73">
        <f>SUMIFS(Vigilancia!$E:$E,Vigilancia!$F:$F,$A25,Vigilancia!$J:$J,H$1)</f>
        <v>0</v>
      </c>
      <c r="I25" s="73">
        <f>SUMIFS(Vigilancia!$E:$E,Vigilancia!$F:$F,$A25,Vigilancia!$J:$J,I$1)</f>
        <v>0</v>
      </c>
    </row>
    <row r="26" spans="1:9" x14ac:dyDescent="0.25">
      <c r="A26" s="60" t="s">
        <v>833</v>
      </c>
      <c r="B26" s="61" t="s">
        <v>834</v>
      </c>
      <c r="C26" s="73">
        <f>SUMIFS(Vigilancia!$E:$E,Vigilancia!$F:$F,$A26,Vigilancia!$J:$J,C$1)</f>
        <v>0</v>
      </c>
      <c r="D26" s="73">
        <f>SUMIFS(Vigilancia!$E:$E,Vigilancia!$F:$F,$A26,Vigilancia!$J:$J,D$1)</f>
        <v>0</v>
      </c>
      <c r="E26" s="73">
        <f>SUMIFS(Vigilancia!$E:$E,Vigilancia!$F:$F,$A26,Vigilancia!$J:$J,E$1)</f>
        <v>0</v>
      </c>
      <c r="F26" s="73">
        <f>SUMIFS(Vigilancia!$E:$E,Vigilancia!$F:$F,$A26,Vigilancia!$J:$J,F$1)</f>
        <v>0</v>
      </c>
      <c r="G26" s="73">
        <f>SUMIFS(Vigilancia!$E:$E,Vigilancia!$F:$F,$A26,Vigilancia!$J:$J,G$1)</f>
        <v>0</v>
      </c>
      <c r="H26" s="73">
        <f>SUMIFS(Vigilancia!$E:$E,Vigilancia!$F:$F,$A26,Vigilancia!$J:$J,H$1)</f>
        <v>0</v>
      </c>
      <c r="I26" s="73">
        <f>SUMIFS(Vigilancia!$E:$E,Vigilancia!$F:$F,$A26,Vigilancia!$J:$J,I$1)</f>
        <v>0</v>
      </c>
    </row>
    <row r="27" spans="1:9" x14ac:dyDescent="0.25">
      <c r="A27" s="60" t="s">
        <v>835</v>
      </c>
      <c r="B27" s="61" t="s">
        <v>836</v>
      </c>
      <c r="C27" s="73">
        <f>SUMIFS(Vigilancia!$E:$E,Vigilancia!$F:$F,$A27,Vigilancia!$J:$J,C$1)</f>
        <v>0</v>
      </c>
      <c r="D27" s="73">
        <f>SUMIFS(Vigilancia!$E:$E,Vigilancia!$F:$F,$A27,Vigilancia!$J:$J,D$1)</f>
        <v>0</v>
      </c>
      <c r="E27" s="73">
        <f>SUMIFS(Vigilancia!$E:$E,Vigilancia!$F:$F,$A27,Vigilancia!$J:$J,E$1)</f>
        <v>0</v>
      </c>
      <c r="F27" s="73">
        <f>SUMIFS(Vigilancia!$E:$E,Vigilancia!$F:$F,$A27,Vigilancia!$J:$J,F$1)</f>
        <v>0</v>
      </c>
      <c r="G27" s="73">
        <f>SUMIFS(Vigilancia!$E:$E,Vigilancia!$F:$F,$A27,Vigilancia!$J:$J,G$1)</f>
        <v>0</v>
      </c>
      <c r="H27" s="73">
        <f>SUMIFS(Vigilancia!$E:$E,Vigilancia!$F:$F,$A27,Vigilancia!$J:$J,H$1)</f>
        <v>0</v>
      </c>
      <c r="I27" s="73">
        <f>SUMIFS(Vigilancia!$E:$E,Vigilancia!$F:$F,$A27,Vigilancia!$J:$J,I$1)</f>
        <v>0</v>
      </c>
    </row>
    <row r="28" spans="1:9" x14ac:dyDescent="0.25">
      <c r="A28" s="60" t="s">
        <v>837</v>
      </c>
      <c r="B28" s="61" t="s">
        <v>838</v>
      </c>
      <c r="C28" s="73">
        <f>SUMIFS(Vigilancia!$E:$E,Vigilancia!$F:$F,$A28,Vigilancia!$J:$J,C$1)</f>
        <v>0</v>
      </c>
      <c r="D28" s="73">
        <f>SUMIFS(Vigilancia!$E:$E,Vigilancia!$F:$F,$A28,Vigilancia!$J:$J,D$1)</f>
        <v>0</v>
      </c>
      <c r="E28" s="73">
        <f>SUMIFS(Vigilancia!$E:$E,Vigilancia!$F:$F,$A28,Vigilancia!$J:$J,E$1)</f>
        <v>0</v>
      </c>
      <c r="F28" s="73">
        <f>SUMIFS(Vigilancia!$E:$E,Vigilancia!$F:$F,$A28,Vigilancia!$J:$J,F$1)</f>
        <v>0</v>
      </c>
      <c r="G28" s="73">
        <f>SUMIFS(Vigilancia!$E:$E,Vigilancia!$F:$F,$A28,Vigilancia!$J:$J,G$1)</f>
        <v>0</v>
      </c>
      <c r="H28" s="73">
        <f>SUMIFS(Vigilancia!$E:$E,Vigilancia!$F:$F,$A28,Vigilancia!$J:$J,H$1)</f>
        <v>0</v>
      </c>
      <c r="I28" s="73">
        <f>SUMIFS(Vigilancia!$E:$E,Vigilancia!$F:$F,$A28,Vigilancia!$J:$J,I$1)</f>
        <v>0</v>
      </c>
    </row>
    <row r="29" spans="1:9" x14ac:dyDescent="0.25">
      <c r="A29" s="60" t="s">
        <v>839</v>
      </c>
      <c r="B29" s="61" t="s">
        <v>840</v>
      </c>
      <c r="C29" s="73">
        <f>SUMIFS(Vigilancia!$E:$E,Vigilancia!$F:$F,$A29,Vigilancia!$J:$J,C$1)</f>
        <v>0</v>
      </c>
      <c r="D29" s="73">
        <f>SUMIFS(Vigilancia!$E:$E,Vigilancia!$F:$F,$A29,Vigilancia!$J:$J,D$1)</f>
        <v>0</v>
      </c>
      <c r="E29" s="73">
        <f>SUMIFS(Vigilancia!$E:$E,Vigilancia!$F:$F,$A29,Vigilancia!$J:$J,E$1)</f>
        <v>0</v>
      </c>
      <c r="F29" s="73">
        <f>SUMIFS(Vigilancia!$E:$E,Vigilancia!$F:$F,$A29,Vigilancia!$J:$J,F$1)</f>
        <v>0</v>
      </c>
      <c r="G29" s="73">
        <f>SUMIFS(Vigilancia!$E:$E,Vigilancia!$F:$F,$A29,Vigilancia!$J:$J,G$1)</f>
        <v>0</v>
      </c>
      <c r="H29" s="73">
        <f>SUMIFS(Vigilancia!$E:$E,Vigilancia!$F:$F,$A29,Vigilancia!$J:$J,H$1)</f>
        <v>0</v>
      </c>
      <c r="I29" s="73">
        <f>SUMIFS(Vigilancia!$E:$E,Vigilancia!$F:$F,$A29,Vigilancia!$J:$J,I$1)</f>
        <v>0</v>
      </c>
    </row>
    <row r="30" spans="1:9" x14ac:dyDescent="0.25">
      <c r="A30" s="53" t="s">
        <v>48</v>
      </c>
      <c r="B30" s="54" t="s">
        <v>50</v>
      </c>
      <c r="C30" s="72">
        <f>SUMIFS(Vigilancia!$E:$E,Vigilancia!$F:$F,$A30,Vigilancia!$J:$J,C$1)</f>
        <v>7000</v>
      </c>
      <c r="D30" s="72">
        <f>SUMIFS(Vigilancia!$E:$E,Vigilancia!$F:$F,$A30,Vigilancia!$J:$J,D$1)</f>
        <v>350000</v>
      </c>
      <c r="E30" s="393">
        <f>SUMIFS(Vigilancia!$E:$E,Vigilancia!$F:$F,$A30,Vigilancia!$J:$J,E$1)</f>
        <v>1220000</v>
      </c>
      <c r="F30" s="72">
        <f>SUMIFS(Vigilancia!$E:$E,Vigilancia!$F:$F,$A30,Vigilancia!$J:$J,F$1)</f>
        <v>0</v>
      </c>
      <c r="G30" s="72">
        <f>SUMIFS(Vigilancia!$E:$E,Vigilancia!$F:$F,$A30,Vigilancia!$J:$J,G$1)</f>
        <v>0</v>
      </c>
      <c r="H30" s="72">
        <f>SUMIFS(Vigilancia!$E:$E,Vigilancia!$F:$F,$A30,Vigilancia!$J:$J,H$1)</f>
        <v>0</v>
      </c>
      <c r="I30" s="72">
        <f>SUMIFS(Vigilancia!$E:$E,Vigilancia!$F:$F,$A30,Vigilancia!$J:$J,I$1)</f>
        <v>0</v>
      </c>
    </row>
    <row r="31" spans="1:9" x14ac:dyDescent="0.25">
      <c r="A31" s="53" t="s">
        <v>841</v>
      </c>
      <c r="B31" s="54" t="s">
        <v>842</v>
      </c>
      <c r="C31" s="72">
        <f>SUMIFS(Vigilancia!$E:$E,Vigilancia!$F:$F,$A31,Vigilancia!$J:$J,C$1)</f>
        <v>0</v>
      </c>
      <c r="D31" s="72">
        <f>SUMIFS(Vigilancia!$E:$E,Vigilancia!$F:$F,$A31,Vigilancia!$J:$J,D$1)</f>
        <v>0</v>
      </c>
      <c r="E31" s="393">
        <f>SUMIFS(Vigilancia!$E:$E,Vigilancia!$F:$F,$A31,Vigilancia!$J:$J,E$1)</f>
        <v>0</v>
      </c>
      <c r="F31" s="72">
        <f>SUMIFS(Vigilancia!$E:$E,Vigilancia!$F:$F,$A31,Vigilancia!$J:$J,F$1)</f>
        <v>0</v>
      </c>
      <c r="G31" s="72">
        <f>SUMIFS(Vigilancia!$E:$E,Vigilancia!$F:$F,$A31,Vigilancia!$J:$J,G$1)</f>
        <v>0</v>
      </c>
      <c r="H31" s="72">
        <f>SUMIFS(Vigilancia!$E:$E,Vigilancia!$F:$F,$A31,Vigilancia!$J:$J,H$1)</f>
        <v>0</v>
      </c>
      <c r="I31" s="72">
        <f>SUMIFS(Vigilancia!$E:$E,Vigilancia!$F:$F,$A31,Vigilancia!$J:$J,I$1)</f>
        <v>0</v>
      </c>
    </row>
    <row r="32" spans="1:9" x14ac:dyDescent="0.25">
      <c r="A32" s="53" t="s">
        <v>100</v>
      </c>
      <c r="B32" s="54" t="s">
        <v>101</v>
      </c>
      <c r="C32" s="72">
        <f>SUMIFS(Vigilancia!$E:$E,Vigilancia!$F:$F,$A32,Vigilancia!$J:$J,C$1)</f>
        <v>7000</v>
      </c>
      <c r="D32" s="72">
        <f>SUMIFS(Vigilancia!$E:$E,Vigilancia!$F:$F,$A32,Vigilancia!$J:$J,D$1)</f>
        <v>350000</v>
      </c>
      <c r="E32" s="393">
        <f>SUMIFS(Vigilancia!$E:$E,Vigilancia!$F:$F,$A32,Vigilancia!$J:$J,E$1)</f>
        <v>1220000</v>
      </c>
      <c r="F32" s="72">
        <f>SUMIFS(Vigilancia!$E:$E,Vigilancia!$F:$F,$A32,Vigilancia!$J:$J,F$1)</f>
        <v>0</v>
      </c>
      <c r="G32" s="72">
        <f>SUMIFS(Vigilancia!$E:$E,Vigilancia!$F:$F,$A32,Vigilancia!$J:$J,G$1)</f>
        <v>0</v>
      </c>
      <c r="H32" s="72">
        <f>SUMIFS(Vigilancia!$E:$E,Vigilancia!$F:$F,$A32,Vigilancia!$J:$J,H$1)</f>
        <v>0</v>
      </c>
      <c r="I32" s="72">
        <f>SUMIFS(Vigilancia!$E:$E,Vigilancia!$F:$F,$A32,Vigilancia!$J:$J,I$1)</f>
        <v>0</v>
      </c>
    </row>
    <row r="33" spans="1:10" x14ac:dyDescent="0.25">
      <c r="A33" s="53" t="s">
        <v>28</v>
      </c>
      <c r="B33" s="54" t="s">
        <v>30</v>
      </c>
      <c r="C33" s="72">
        <f>SUMIFS(Vigilancia!$E:$E,Vigilancia!$F:$F,$A33,Vigilancia!$J:$J,C$1)</f>
        <v>4320</v>
      </c>
      <c r="D33" s="72">
        <f>SUMIFS(Vigilancia!$E:$E,Vigilancia!$F:$F,$A33,Vigilancia!$J:$J,D$1)</f>
        <v>350000</v>
      </c>
      <c r="E33" s="393">
        <f>SUMIFS(Vigilancia!$E:$E,Vigilancia!$F:$F,$A33,Vigilancia!$J:$J,E$1)</f>
        <v>1200000</v>
      </c>
      <c r="F33" s="72">
        <f>SUMIFS(Vigilancia!$E:$E,Vigilancia!$F:$F,$A33,Vigilancia!$J:$J,F$1)</f>
        <v>0</v>
      </c>
      <c r="G33" s="72">
        <f>SUMIFS(Vigilancia!$E:$E,Vigilancia!$F:$F,$A33,Vigilancia!$J:$J,G$1)</f>
        <v>0</v>
      </c>
      <c r="H33" s="72">
        <f>SUMIFS(Vigilancia!$E:$E,Vigilancia!$F:$F,$A33,Vigilancia!$J:$J,H$1)</f>
        <v>0</v>
      </c>
      <c r="I33" s="72">
        <f>SUMIFS(Vigilancia!$E:$E,Vigilancia!$F:$F,$A33,Vigilancia!$J:$J,I$1)</f>
        <v>0</v>
      </c>
    </row>
    <row r="34" spans="1:10" x14ac:dyDescent="0.25">
      <c r="A34" s="53" t="s">
        <v>118</v>
      </c>
      <c r="B34" s="54" t="s">
        <v>120</v>
      </c>
      <c r="C34" s="72">
        <f>SUMIFS(Vigilancia!$E:$E,Vigilancia!$F:$F,$A34,Vigilancia!$J:$J,C$1)</f>
        <v>5000</v>
      </c>
      <c r="D34" s="72">
        <f>SUMIFS(Vigilancia!$E:$E,Vigilancia!$F:$F,$A34,Vigilancia!$J:$J,D$1)</f>
        <v>350000</v>
      </c>
      <c r="E34" s="393">
        <f>SUMIFS(Vigilancia!$E:$E,Vigilancia!$F:$F,$A34,Vigilancia!$J:$J,E$1)</f>
        <v>0</v>
      </c>
      <c r="F34" s="72">
        <f>SUMIFS(Vigilancia!$E:$E,Vigilancia!$F:$F,$A34,Vigilancia!$J:$J,F$1)</f>
        <v>0</v>
      </c>
      <c r="G34" s="72">
        <f>SUMIFS(Vigilancia!$E:$E,Vigilancia!$F:$F,$A34,Vigilancia!$J:$J,G$1)</f>
        <v>0</v>
      </c>
      <c r="H34" s="72">
        <f>SUMIFS(Vigilancia!$E:$E,Vigilancia!$F:$F,$A34,Vigilancia!$J:$J,H$1)</f>
        <v>0</v>
      </c>
      <c r="I34" s="72">
        <f>SUMIFS(Vigilancia!$E:$E,Vigilancia!$F:$F,$A34,Vigilancia!$J:$J,I$1)</f>
        <v>0</v>
      </c>
    </row>
    <row r="35" spans="1:10" x14ac:dyDescent="0.25">
      <c r="A35" s="53" t="s">
        <v>354</v>
      </c>
      <c r="B35" s="54" t="s">
        <v>356</v>
      </c>
      <c r="C35" s="72">
        <f>SUMIFS(Vigilancia!$E:$E,Vigilancia!$F:$F,$A35,Vigilancia!$J:$J,C$1)</f>
        <v>7000</v>
      </c>
      <c r="D35" s="72">
        <f>SUMIFS(Vigilancia!$E:$E,Vigilancia!$F:$F,$A35,Vigilancia!$J:$J,D$1)</f>
        <v>0</v>
      </c>
      <c r="E35" s="393">
        <f>SUMIFS(Vigilancia!$E:$E,Vigilancia!$F:$F,$A35,Vigilancia!$J:$J,E$1)</f>
        <v>0</v>
      </c>
      <c r="F35" s="72">
        <f>SUMIFS(Vigilancia!$E:$E,Vigilancia!$F:$F,$A35,Vigilancia!$J:$J,F$1)</f>
        <v>0</v>
      </c>
      <c r="G35" s="72">
        <f>SUMIFS(Vigilancia!$E:$E,Vigilancia!$F:$F,$A35,Vigilancia!$J:$J,G$1)</f>
        <v>0</v>
      </c>
      <c r="H35" s="72">
        <f>SUMIFS(Vigilancia!$E:$E,Vigilancia!$F:$F,$A35,Vigilancia!$J:$J,H$1)</f>
        <v>0</v>
      </c>
      <c r="I35" s="72">
        <f>SUMIFS(Vigilancia!$E:$E,Vigilancia!$F:$F,$A35,Vigilancia!$J:$J,I$1)</f>
        <v>0</v>
      </c>
    </row>
    <row r="36" spans="1:10" x14ac:dyDescent="0.25">
      <c r="A36" s="53" t="s">
        <v>18</v>
      </c>
      <c r="B36" s="54" t="s">
        <v>20</v>
      </c>
      <c r="C36" s="72">
        <f>SUMIFS(Vigilancia!$E:$E,Vigilancia!$F:$F,$A36,Vigilancia!$J:$J,C$1)</f>
        <v>0</v>
      </c>
      <c r="D36" s="72">
        <f>SUMIFS(Vigilancia!$E:$E,Vigilancia!$F:$F,$A36,Vigilancia!$J:$J,D$1)</f>
        <v>0</v>
      </c>
      <c r="E36" s="234">
        <f>SUMIFS(Vigilancia!$E:$E,Vigilancia!$F:$F,$A36,Vigilancia!$J:$J,E$1)</f>
        <v>0</v>
      </c>
      <c r="F36" s="72">
        <f>SUMIFS(Vigilancia!$E:$E,Vigilancia!$F:$F,$A36,Vigilancia!$J:$J,F$1)</f>
        <v>0</v>
      </c>
      <c r="G36" s="72">
        <f>SUMIFS(Vigilancia!$E:$E,Vigilancia!$F:$F,$A36,Vigilancia!$J:$J,G$1)</f>
        <v>0</v>
      </c>
      <c r="H36" s="72">
        <f>SUMIFS(Vigilancia!$E:$E,Vigilancia!$F:$F,$A36,Vigilancia!$J:$J,H$1)</f>
        <v>0</v>
      </c>
      <c r="I36" s="72">
        <f>SUMIFS(Vigilancia!$E:$E,Vigilancia!$F:$F,$A36,Vigilancia!$J:$J,I$1)</f>
        <v>0</v>
      </c>
    </row>
    <row r="37" spans="1:10" x14ac:dyDescent="0.25">
      <c r="A37" s="53" t="s">
        <v>324</v>
      </c>
      <c r="B37" s="54" t="s">
        <v>326</v>
      </c>
      <c r="C37" s="72">
        <f>SUMIFS(Vigilancia!$E:$E,Vigilancia!$F:$F,$A37,Vigilancia!$J:$J,C$1)</f>
        <v>3000</v>
      </c>
      <c r="D37" s="72">
        <f>SUMIFS(Vigilancia!$E:$E,Vigilancia!$F:$F,$A37,Vigilancia!$J:$J,D$1)</f>
        <v>500000</v>
      </c>
      <c r="E37" s="393">
        <f>SUMIFS(Vigilancia!$E:$E,Vigilancia!$F:$F,$A37,Vigilancia!$J:$J,E$1)</f>
        <v>850000</v>
      </c>
      <c r="F37" s="72">
        <f>SUMIFS(Vigilancia!$E:$E,Vigilancia!$F:$F,$A37,Vigilancia!$J:$J,F$1)</f>
        <v>0</v>
      </c>
      <c r="G37" s="72">
        <f>SUMIFS(Vigilancia!$E:$E,Vigilancia!$F:$F,$A37,Vigilancia!$J:$J,G$1)</f>
        <v>0</v>
      </c>
      <c r="H37" s="72">
        <f>SUMIFS(Vigilancia!$E:$E,Vigilancia!$F:$F,$A37,Vigilancia!$J:$J,H$1)</f>
        <v>0</v>
      </c>
      <c r="I37" s="72">
        <f>SUMIFS(Vigilancia!$E:$E,Vigilancia!$F:$F,$A37,Vigilancia!$J:$J,I$1)</f>
        <v>0</v>
      </c>
    </row>
    <row r="38" spans="1:10" x14ac:dyDescent="0.25">
      <c r="A38" s="53" t="s">
        <v>480</v>
      </c>
      <c r="B38" s="54" t="s">
        <v>482</v>
      </c>
      <c r="C38" s="72">
        <f>SUMIFS(Vigilancia!$E:$E,Vigilancia!$F:$F,$A38,Vigilancia!$J:$J,C$1)</f>
        <v>0</v>
      </c>
      <c r="D38" s="72">
        <f>SUMIFS(Vigilancia!$E:$E,Vigilancia!$F:$F,$A38,Vigilancia!$J:$J,D$1)</f>
        <v>0</v>
      </c>
      <c r="E38" s="393">
        <f>SUMIFS(Vigilancia!$E:$E,Vigilancia!$F:$F,$A38,Vigilancia!$J:$J,E$1)</f>
        <v>0</v>
      </c>
      <c r="F38" s="72">
        <f>SUMIFS(Vigilancia!$E:$E,Vigilancia!$F:$F,$A38,Vigilancia!$J:$J,F$1)</f>
        <v>0</v>
      </c>
      <c r="G38" s="72">
        <f>SUMIFS(Vigilancia!$E:$E,Vigilancia!$F:$F,$A38,Vigilancia!$J:$J,G$1)</f>
        <v>0</v>
      </c>
      <c r="H38" s="72">
        <f>SUMIFS(Vigilancia!$E:$E,Vigilancia!$F:$F,$A38,Vigilancia!$J:$J,H$1)</f>
        <v>0</v>
      </c>
      <c r="I38" s="72">
        <f>SUMIFS(Vigilancia!$E:$E,Vigilancia!$F:$F,$A38,Vigilancia!$J:$J,I$1)</f>
        <v>0</v>
      </c>
    </row>
    <row r="39" spans="1:10" ht="15.75" thickBot="1" x14ac:dyDescent="0.3">
      <c r="A39" s="192" t="s">
        <v>455</v>
      </c>
      <c r="B39" s="190" t="s">
        <v>456</v>
      </c>
      <c r="C39" s="72">
        <f>SUMIFS(Vigilancia!$E:$E,Vigilancia!$F:$F,$A39,Vigilancia!$J:$J,C$1)</f>
        <v>7000</v>
      </c>
      <c r="D39" s="72">
        <f>SUMIFS(Vigilancia!$E:$E,Vigilancia!$F:$F,$A39,Vigilancia!$J:$J,D$1)</f>
        <v>0</v>
      </c>
      <c r="E39" s="393">
        <f>SUMIFS(Vigilancia!$E:$E,Vigilancia!$F:$F,$A39,Vigilancia!$J:$J,E$1)</f>
        <v>1220000</v>
      </c>
      <c r="F39" s="72">
        <f>SUMIFS(Vigilancia!$E:$E,Vigilancia!$F:$F,$A39,Vigilancia!$J:$J,F$1)</f>
        <v>0</v>
      </c>
      <c r="G39" s="72">
        <f>SUMIFS(Vigilancia!$E:$E,Vigilancia!$F:$F,$A39,Vigilancia!$J:$J,G$1)</f>
        <v>0</v>
      </c>
      <c r="H39" s="72">
        <f>SUMIFS(Vigilancia!$E:$E,Vigilancia!$F:$F,$A39,Vigilancia!$J:$J,H$1)</f>
        <v>0</v>
      </c>
      <c r="I39" s="72">
        <f>SUMIFS(Vigilancia!$E:$E,Vigilancia!$F:$F,$A39,Vigilancia!$J:$J,I$1)</f>
        <v>0</v>
      </c>
    </row>
    <row r="40" spans="1:10" x14ac:dyDescent="0.25">
      <c r="A40" s="163" t="s">
        <v>148</v>
      </c>
      <c r="B40" s="164" t="s">
        <v>150</v>
      </c>
      <c r="C40" s="165">
        <f>SUMIFS(Vigilancia!$E:$E,Vigilancia!$F:$F,$A40,Vigilancia!$J:$J,C$1)</f>
        <v>7000</v>
      </c>
      <c r="D40" s="165">
        <f>SUMIFS(Vigilancia!$E:$E,Vigilancia!$F:$F,$A40,Vigilancia!$J:$J,D$1)</f>
        <v>0</v>
      </c>
      <c r="E40" s="165">
        <f>SUMIFS(Vigilancia!$E:$E,Vigilancia!$F:$F,$A40,Vigilancia!$J:$J,E$1)</f>
        <v>0</v>
      </c>
      <c r="F40" s="194">
        <f>SUMIFS(Vigilancia!$E:$E,Vigilancia!$F:$F,$A40,Vigilancia!$J:$J,F$1)</f>
        <v>0</v>
      </c>
      <c r="G40" s="165">
        <f>SUMIFS(Vigilancia!$E:$E,Vigilancia!$F:$F,$A40,Vigilancia!$J:$J,G$1)</f>
        <v>0</v>
      </c>
      <c r="H40" s="165">
        <f>SUMIFS(Vigilancia!$E:$E,Vigilancia!$F:$F,$A40,Vigilancia!$J:$J,H$1)</f>
        <v>0</v>
      </c>
      <c r="I40" s="305">
        <f>SUMIFS(Vigilancia!$E:$E,Vigilancia!$F:$F,$A40,Vigilancia!$J:$J,I$1)</f>
        <v>0</v>
      </c>
      <c r="J40" s="306"/>
    </row>
    <row r="41" spans="1:10" ht="15.75" thickBot="1" x14ac:dyDescent="0.3">
      <c r="A41" s="53" t="s">
        <v>698</v>
      </c>
      <c r="B41" s="54" t="s">
        <v>150</v>
      </c>
      <c r="C41" s="72">
        <f>SUMIFS(Vigilancia!$E:$E,Vigilancia!$F:$F,$A41,Vigilancia!$J:$J,C$1)</f>
        <v>0</v>
      </c>
      <c r="D41" s="72">
        <f>SUMIFS(Vigilancia!$E:$E,Vigilancia!$F:$F,$A41,Vigilancia!$J:$J,D$1)</f>
        <v>350000</v>
      </c>
      <c r="E41" s="393">
        <f>SUMIFS(Vigilancia!$E:$E,Vigilancia!$F:$F,$A41,Vigilancia!$J:$J,E$1)</f>
        <v>1220000</v>
      </c>
      <c r="F41" s="189">
        <f>SUMIFS(Vigilancia!$E:$E,Vigilancia!$F:$F,$A41,Vigilancia!$J:$J,F$1)</f>
        <v>0</v>
      </c>
      <c r="G41" s="72">
        <f>SUMIFS(Vigilancia!$E:$E,Vigilancia!$F:$F,$A41,Vigilancia!$J:$J,G$1)</f>
        <v>0</v>
      </c>
      <c r="H41" s="72">
        <f>SUMIFS(Vigilancia!$E:$E,Vigilancia!$F:$F,$A41,Vigilancia!$J:$J,H$1)</f>
        <v>0</v>
      </c>
      <c r="I41" s="304">
        <f>SUMIFS(Vigilancia!$E:$E,Vigilancia!$F:$F,$A41,Vigilancia!$J:$J,I$1)</f>
        <v>0</v>
      </c>
      <c r="J41" s="308"/>
    </row>
    <row r="42" spans="1:10" x14ac:dyDescent="0.25">
      <c r="A42" s="53" t="s">
        <v>342</v>
      </c>
      <c r="B42" s="54" t="s">
        <v>344</v>
      </c>
      <c r="C42" s="72">
        <f>SUMIFS(Vigilancia!$E:$E,Vigilancia!$F:$F,$A42,Vigilancia!$J:$J,C$1)</f>
        <v>0</v>
      </c>
      <c r="D42" s="72">
        <f>SUMIFS(Vigilancia!$E:$E,Vigilancia!$F:$F,$A42,Vigilancia!$J:$J,D$1)</f>
        <v>350000</v>
      </c>
      <c r="E42" s="393">
        <f>SUMIFS(Vigilancia!$E:$E,Vigilancia!$F:$F,$A42,Vigilancia!$J:$J,E$1)</f>
        <v>1220000</v>
      </c>
      <c r="F42" s="189">
        <f>SUMIFS(Vigilancia!$E:$E,Vigilancia!$F:$F,$A42,Vigilancia!$J:$J,F$1)</f>
        <v>0</v>
      </c>
      <c r="G42" s="72">
        <f>SUMIFS(Vigilancia!$E:$E,Vigilancia!$F:$F,$A42,Vigilancia!$J:$J,G$1)</f>
        <v>0</v>
      </c>
      <c r="H42" s="72">
        <f>SUMIFS(Vigilancia!$E:$E,Vigilancia!$F:$F,$A42,Vigilancia!$J:$J,H$1)</f>
        <v>0</v>
      </c>
      <c r="I42" s="72">
        <f>SUMIFS(Vigilancia!$E:$E,Vigilancia!$F:$F,$A42,Vigilancia!$J:$J,I$1)</f>
        <v>0</v>
      </c>
    </row>
    <row r="43" spans="1:10" x14ac:dyDescent="0.25">
      <c r="A43" s="53" t="s">
        <v>284</v>
      </c>
      <c r="B43" s="54" t="s">
        <v>285</v>
      </c>
      <c r="C43" s="72">
        <f>SUMIFS(Vigilancia!$E:$E,Vigilancia!$F:$F,$A43,Vigilancia!$J:$J,C$1)</f>
        <v>0</v>
      </c>
      <c r="D43" s="72">
        <f>SUMIFS(Vigilancia!$E:$E,Vigilancia!$F:$F,$A43,Vigilancia!$J:$J,D$1)</f>
        <v>350000</v>
      </c>
      <c r="E43" s="393">
        <f>SUMIFS(Vigilancia!$E:$E,Vigilancia!$F:$F,$A43,Vigilancia!$J:$J,E$1)</f>
        <v>1200000</v>
      </c>
      <c r="F43" s="189">
        <f>SUMIFS(Vigilancia!$E:$E,Vigilancia!$F:$F,$A43,Vigilancia!$J:$J,F$1)</f>
        <v>0</v>
      </c>
      <c r="G43" s="72">
        <f>SUMIFS(Vigilancia!$E:$E,Vigilancia!$F:$F,$A43,Vigilancia!$J:$J,G$1)</f>
        <v>0</v>
      </c>
      <c r="H43" s="72">
        <f>SUMIFS(Vigilancia!$E:$E,Vigilancia!$F:$F,$A43,Vigilancia!$J:$J,H$1)</f>
        <v>0</v>
      </c>
      <c r="I43" s="72">
        <f>SUMIFS(Vigilancia!$E:$E,Vigilancia!$F:$F,$A43,Vigilancia!$J:$J,I$1)</f>
        <v>0</v>
      </c>
    </row>
    <row r="44" spans="1:10" ht="15.75" thickBot="1" x14ac:dyDescent="0.3">
      <c r="A44" s="53" t="s">
        <v>844</v>
      </c>
      <c r="B44" s="54" t="s">
        <v>845</v>
      </c>
      <c r="C44" s="72">
        <f>SUMIFS(Vigilancia!$E:$E,Vigilancia!$F:$F,$A44,Vigilancia!$J:$J,C$1)</f>
        <v>0</v>
      </c>
      <c r="D44" s="72">
        <f>SUMIFS(Vigilancia!$E:$E,Vigilancia!$F:$F,$A44,Vigilancia!$J:$J,D$1)</f>
        <v>0</v>
      </c>
      <c r="E44" s="72">
        <f>SUMIFS(Vigilancia!$E:$E,Vigilancia!$F:$F,$A44,Vigilancia!$J:$J,E$1)</f>
        <v>0</v>
      </c>
      <c r="F44" s="189">
        <f>SUMIFS(Vigilancia!$E:$E,Vigilancia!$F:$F,$A44,Vigilancia!$J:$J,F$1)</f>
        <v>0</v>
      </c>
      <c r="G44" s="72">
        <f>SUMIFS(Vigilancia!$E:$E,Vigilancia!$F:$F,$A44,Vigilancia!$J:$J,G$1)</f>
        <v>0</v>
      </c>
      <c r="H44" s="72">
        <f>SUMIFS(Vigilancia!$E:$E,Vigilancia!$F:$F,$A44,Vigilancia!$J:$J,H$1)</f>
        <v>0</v>
      </c>
      <c r="I44" s="72">
        <f>SUMIFS(Vigilancia!$E:$E,Vigilancia!$F:$F,$A44,Vigilancia!$J:$J,I$1)</f>
        <v>0</v>
      </c>
    </row>
    <row r="45" spans="1:10" x14ac:dyDescent="0.25">
      <c r="A45" s="163" t="s">
        <v>846</v>
      </c>
      <c r="B45" s="164" t="s">
        <v>775</v>
      </c>
      <c r="C45" s="165">
        <f>SUMIFS(Vigilancia!$E:$E,Vigilancia!$F:$F,$A45,Vigilancia!$J:$J,C$1)</f>
        <v>0</v>
      </c>
      <c r="D45" s="165">
        <f>SUMIFS(Vigilancia!$E:$E,Vigilancia!$F:$F,$A45,Vigilancia!$J:$J,D$1)</f>
        <v>0</v>
      </c>
      <c r="E45" s="165">
        <f>SUMIFS(Vigilancia!$E:$E,Vigilancia!$F:$F,$A45,Vigilancia!$J:$J,E$1)</f>
        <v>0</v>
      </c>
      <c r="F45" s="194">
        <f>SUMIFS(Vigilancia!$E:$E,Vigilancia!$F:$F,$A45,Vigilancia!$J:$J,F$1)</f>
        <v>0</v>
      </c>
      <c r="G45" s="165">
        <f>SUMIFS(Vigilancia!$E:$E,Vigilancia!$F:$F,$A45,Vigilancia!$J:$J,G$1)</f>
        <v>0</v>
      </c>
      <c r="H45" s="165">
        <f>SUMIFS(Vigilancia!$E:$E,Vigilancia!$F:$F,$A45,Vigilancia!$J:$J,H$1)</f>
        <v>0</v>
      </c>
      <c r="I45" s="305">
        <f>SUMIFS(Vigilancia!$E:$E,Vigilancia!$F:$F,$A45,Vigilancia!$J:$J,I$1)</f>
        <v>0</v>
      </c>
      <c r="J45" s="306"/>
    </row>
    <row r="46" spans="1:10" ht="15.75" thickBot="1" x14ac:dyDescent="0.3">
      <c r="A46" s="53" t="s">
        <v>773</v>
      </c>
      <c r="B46" s="54" t="s">
        <v>775</v>
      </c>
      <c r="C46" s="72">
        <f>SUMIFS(Vigilancia!$E:$E,Vigilancia!$F:$F,$A46,Vigilancia!$J:$J,C$1)</f>
        <v>0</v>
      </c>
      <c r="D46" s="72">
        <f>SUMIFS(Vigilancia!$E:$E,Vigilancia!$F:$F,$A46,Vigilancia!$J:$J,D$1)</f>
        <v>0</v>
      </c>
      <c r="E46" s="393">
        <f>SUMIFS(Vigilancia!$E:$E,Vigilancia!$F:$F,$A46,Vigilancia!$J:$J,E$1)</f>
        <v>1220000</v>
      </c>
      <c r="F46" s="189">
        <f>SUMIFS(Vigilancia!$E:$E,Vigilancia!$F:$F,$A46,Vigilancia!$J:$J,F$1)</f>
        <v>0</v>
      </c>
      <c r="G46" s="72">
        <f>SUMIFS(Vigilancia!$E:$E,Vigilancia!$F:$F,$A46,Vigilancia!$J:$J,G$1)</f>
        <v>0</v>
      </c>
      <c r="H46" s="72">
        <f>SUMIFS(Vigilancia!$E:$E,Vigilancia!$F:$F,$A46,Vigilancia!$J:$J,H$1)</f>
        <v>0</v>
      </c>
      <c r="I46" s="304">
        <f>SUMIFS(Vigilancia!$E:$E,Vigilancia!$F:$F,$A46,Vigilancia!$J:$J,I$1)</f>
        <v>0</v>
      </c>
      <c r="J46" s="308"/>
    </row>
    <row r="47" spans="1:10" x14ac:dyDescent="0.25">
      <c r="A47" s="193" t="s">
        <v>70</v>
      </c>
      <c r="B47" s="191" t="s">
        <v>72</v>
      </c>
      <c r="C47" s="72">
        <f>SUMIFS(Vigilancia!$E:$E,Vigilancia!$F:$F,$A47,Vigilancia!$J:$J,C$1)</f>
        <v>7000</v>
      </c>
      <c r="D47" s="72">
        <f>SUMIFS(Vigilancia!$E:$E,Vigilancia!$F:$F,$A47,Vigilancia!$J:$J,D$1)</f>
        <v>350000</v>
      </c>
      <c r="E47" s="393">
        <f>SUMIFS(Vigilancia!$E:$E,Vigilancia!$F:$F,$A47,Vigilancia!$J:$J,E$1)</f>
        <v>1220000</v>
      </c>
      <c r="F47" s="72">
        <f>SUMIFS(Vigilancia!$E:$E,Vigilancia!$F:$F,$A47,Vigilancia!$J:$J,F$1)</f>
        <v>0</v>
      </c>
      <c r="G47" s="72">
        <f>SUMIFS(Vigilancia!$E:$E,Vigilancia!$F:$F,$A47,Vigilancia!$J:$J,G$1)</f>
        <v>0</v>
      </c>
      <c r="H47" s="72">
        <f>SUMIFS(Vigilancia!$E:$E,Vigilancia!$F:$F,$A47,Vigilancia!$J:$J,H$1)</f>
        <v>0</v>
      </c>
      <c r="I47" s="72">
        <f>SUMIFS(Vigilancia!$E:$E,Vigilancia!$F:$F,$A47,Vigilancia!$J:$J,I$1)</f>
        <v>0</v>
      </c>
    </row>
    <row r="48" spans="1:10" x14ac:dyDescent="0.25">
      <c r="A48" s="53" t="s">
        <v>107</v>
      </c>
      <c r="B48" s="54" t="s">
        <v>109</v>
      </c>
      <c r="C48" s="72">
        <f>SUMIFS(Vigilancia!$E:$E,Vigilancia!$F:$F,$A48,Vigilancia!$J:$J,C$1)</f>
        <v>7000</v>
      </c>
      <c r="D48" s="72">
        <f>SUMIFS(Vigilancia!$E:$E,Vigilancia!$F:$F,$A48,Vigilancia!$J:$J,D$1)</f>
        <v>350000</v>
      </c>
      <c r="E48" s="393">
        <f>SUMIFS(Vigilancia!$E:$E,Vigilancia!$F:$F,$A48,Vigilancia!$J:$J,E$1)</f>
        <v>1220000</v>
      </c>
      <c r="F48" s="72">
        <f>SUMIFS(Vigilancia!$E:$E,Vigilancia!$F:$F,$A48,Vigilancia!$J:$J,F$1)</f>
        <v>0</v>
      </c>
      <c r="G48" s="72">
        <f>SUMIFS(Vigilancia!$E:$E,Vigilancia!$F:$F,$A48,Vigilancia!$J:$J,G$1)</f>
        <v>1500</v>
      </c>
      <c r="H48" s="72">
        <f>SUMIFS(Vigilancia!$E:$E,Vigilancia!$F:$F,$A48,Vigilancia!$J:$J,H$1)</f>
        <v>0</v>
      </c>
      <c r="I48" s="72">
        <f>SUMIFS(Vigilancia!$E:$E,Vigilancia!$F:$F,$A48,Vigilancia!$J:$J,I$1)</f>
        <v>0</v>
      </c>
    </row>
    <row r="49" spans="1:9" x14ac:dyDescent="0.25">
      <c r="A49" s="53" t="s">
        <v>239</v>
      </c>
      <c r="B49" s="54" t="s">
        <v>241</v>
      </c>
      <c r="C49" s="72">
        <f>SUMIFS(Vigilancia!$E:$E,Vigilancia!$F:$F,$A49,Vigilancia!$J:$J,C$1)</f>
        <v>7000</v>
      </c>
      <c r="D49" s="72">
        <f>SUMIFS(Vigilancia!$E:$E,Vigilancia!$F:$F,$A49,Vigilancia!$J:$J,D$1)</f>
        <v>0</v>
      </c>
      <c r="E49" s="393">
        <f>SUMIFS(Vigilancia!$E:$E,Vigilancia!$F:$F,$A49,Vigilancia!$J:$J,E$1)</f>
        <v>0</v>
      </c>
      <c r="F49" s="72">
        <f>SUMIFS(Vigilancia!$E:$E,Vigilancia!$F:$F,$A49,Vigilancia!$J:$J,F$1)</f>
        <v>0</v>
      </c>
      <c r="G49" s="72">
        <f>SUMIFS(Vigilancia!$E:$E,Vigilancia!$F:$F,$A49,Vigilancia!$J:$J,G$1)</f>
        <v>0</v>
      </c>
      <c r="H49" s="72">
        <f>SUMIFS(Vigilancia!$E:$E,Vigilancia!$F:$F,$A49,Vigilancia!$J:$J,H$1)</f>
        <v>0</v>
      </c>
      <c r="I49" s="72">
        <f>SUMIFS(Vigilancia!$E:$E,Vigilancia!$F:$F,$A49,Vigilancia!$J:$J,I$1)</f>
        <v>0</v>
      </c>
    </row>
    <row r="50" spans="1:9" x14ac:dyDescent="0.25">
      <c r="A50" s="53" t="s">
        <v>594</v>
      </c>
      <c r="B50" s="54" t="s">
        <v>596</v>
      </c>
      <c r="C50" s="72">
        <f>SUMIFS(Vigilancia!$E:$E,Vigilancia!$F:$F,$A50,Vigilancia!$J:$J,C$1)</f>
        <v>0</v>
      </c>
      <c r="D50" s="72">
        <f>SUMIFS(Vigilancia!$E:$E,Vigilancia!$F:$F,$A50,Vigilancia!$J:$J,D$1)</f>
        <v>350000</v>
      </c>
      <c r="E50" s="393">
        <f>SUMIFS(Vigilancia!$E:$E,Vigilancia!$F:$F,$A50,Vigilancia!$J:$J,E$1)</f>
        <v>1220000</v>
      </c>
      <c r="F50" s="72">
        <f>SUMIFS(Vigilancia!$E:$E,Vigilancia!$F:$F,$A50,Vigilancia!$J:$J,F$1)</f>
        <v>0</v>
      </c>
      <c r="G50" s="72">
        <f>SUMIFS(Vigilancia!$E:$E,Vigilancia!$F:$F,$A50,Vigilancia!$J:$J,G$1)</f>
        <v>0</v>
      </c>
      <c r="H50" s="72">
        <f>SUMIFS(Vigilancia!$E:$E,Vigilancia!$F:$F,$A50,Vigilancia!$J:$J,H$1)</f>
        <v>0</v>
      </c>
      <c r="I50" s="72">
        <f>SUMIFS(Vigilancia!$E:$E,Vigilancia!$F:$F,$A50,Vigilancia!$J:$J,I$1)</f>
        <v>0</v>
      </c>
    </row>
    <row r="51" spans="1:9" x14ac:dyDescent="0.25">
      <c r="A51" s="53" t="s">
        <v>44</v>
      </c>
      <c r="B51" s="54" t="s">
        <v>46</v>
      </c>
      <c r="C51" s="72">
        <f>SUMIFS(Vigilancia!$E:$E,Vigilancia!$F:$F,$A51,Vigilancia!$J:$J,C$1)</f>
        <v>7000</v>
      </c>
      <c r="D51" s="72">
        <f>SUMIFS(Vigilancia!$E:$E,Vigilancia!$F:$F,$A51,Vigilancia!$J:$J,D$1)</f>
        <v>350000</v>
      </c>
      <c r="E51" s="234">
        <f>SUMIFS(Vigilancia!$E:$E,Vigilancia!$F:$F,$A51,Vigilancia!$J:$J,E$1)</f>
        <v>0</v>
      </c>
      <c r="F51" s="72">
        <f>SUMIFS(Vigilancia!$E:$E,Vigilancia!$F:$F,$A51,Vigilancia!$J:$J,F$1)</f>
        <v>6200</v>
      </c>
      <c r="G51" s="72">
        <f>SUMIFS(Vigilancia!$E:$E,Vigilancia!$F:$F,$A51,Vigilancia!$J:$J,G$1)</f>
        <v>0</v>
      </c>
      <c r="H51" s="72">
        <f>SUMIFS(Vigilancia!$E:$E,Vigilancia!$F:$F,$A51,Vigilancia!$J:$J,H$1)</f>
        <v>0</v>
      </c>
      <c r="I51" s="72">
        <f>SUMIFS(Vigilancia!$E:$E,Vigilancia!$F:$F,$A51,Vigilancia!$J:$J,I$1)</f>
        <v>0</v>
      </c>
    </row>
    <row r="52" spans="1:9" x14ac:dyDescent="0.25">
      <c r="A52" s="53" t="s">
        <v>411</v>
      </c>
      <c r="B52" s="54" t="s">
        <v>412</v>
      </c>
      <c r="C52" s="72">
        <f>SUMIFS(Vigilancia!$E:$E,Vigilancia!$F:$F,$A52,Vigilancia!$J:$J,C$1)</f>
        <v>0</v>
      </c>
      <c r="D52" s="72">
        <f>SUMIFS(Vigilancia!$E:$E,Vigilancia!$F:$F,$A52,Vigilancia!$J:$J,D$1)</f>
        <v>0</v>
      </c>
      <c r="E52" s="393">
        <f>SUMIFS(Vigilancia!$E:$E,Vigilancia!$F:$F,$A52,Vigilancia!$J:$J,E$1)</f>
        <v>0</v>
      </c>
      <c r="F52" s="72">
        <f>SUMIFS(Vigilancia!$E:$E,Vigilancia!$F:$F,$A52,Vigilancia!$J:$J,F$1)</f>
        <v>0</v>
      </c>
      <c r="G52" s="72">
        <f>SUMIFS(Vigilancia!$E:$E,Vigilancia!$F:$F,$A52,Vigilancia!$J:$J,G$1)</f>
        <v>0</v>
      </c>
      <c r="H52" s="72">
        <f>SUMIFS(Vigilancia!$E:$E,Vigilancia!$F:$F,$A52,Vigilancia!$J:$J,H$1)</f>
        <v>0</v>
      </c>
      <c r="I52" s="72">
        <f>SUMIFS(Vigilancia!$E:$E,Vigilancia!$F:$F,$A52,Vigilancia!$J:$J,I$1)</f>
        <v>0</v>
      </c>
    </row>
    <row r="53" spans="1:9" x14ac:dyDescent="0.25">
      <c r="A53" s="53" t="s">
        <v>201</v>
      </c>
      <c r="B53" s="54" t="s">
        <v>203</v>
      </c>
      <c r="C53" s="72">
        <f>SUMIFS(Vigilancia!$E:$E,Vigilancia!$F:$F,$A53,Vigilancia!$J:$J,C$1)</f>
        <v>7000</v>
      </c>
      <c r="D53" s="72">
        <f>SUMIFS(Vigilancia!$E:$E,Vigilancia!$F:$F,$A53,Vigilancia!$J:$J,D$1)</f>
        <v>410000</v>
      </c>
      <c r="E53" s="393">
        <f>SUMIFS(Vigilancia!$E:$E,Vigilancia!$F:$F,$A53,Vigilancia!$J:$J,E$1)</f>
        <v>1220000</v>
      </c>
      <c r="F53" s="72">
        <f>SUMIFS(Vigilancia!$E:$E,Vigilancia!$F:$F,$A53,Vigilancia!$J:$J,F$1)</f>
        <v>0</v>
      </c>
      <c r="G53" s="72">
        <f>SUMIFS(Vigilancia!$E:$E,Vigilancia!$F:$F,$A53,Vigilancia!$J:$J,G$1)</f>
        <v>0</v>
      </c>
      <c r="H53" s="72">
        <f>SUMIFS(Vigilancia!$E:$E,Vigilancia!$F:$F,$A53,Vigilancia!$J:$J,H$1)</f>
        <v>0</v>
      </c>
      <c r="I53" s="72">
        <f>SUMIFS(Vigilancia!$E:$E,Vigilancia!$F:$F,$A53,Vigilancia!$J:$J,I$1)</f>
        <v>0</v>
      </c>
    </row>
    <row r="54" spans="1:9" x14ac:dyDescent="0.25">
      <c r="A54" s="53" t="s">
        <v>66</v>
      </c>
      <c r="B54" s="54" t="s">
        <v>68</v>
      </c>
      <c r="C54" s="72">
        <f>SUMIFS(Vigilancia!$E:$E,Vigilancia!$F:$F,$A54,Vigilancia!$J:$J,C$1)</f>
        <v>7000</v>
      </c>
      <c r="D54" s="72">
        <f>SUMIFS(Vigilancia!$E:$E,Vigilancia!$F:$F,$A54,Vigilancia!$J:$J,D$1)</f>
        <v>350000</v>
      </c>
      <c r="E54" s="393">
        <f>SUMIFS(Vigilancia!$E:$E,Vigilancia!$F:$F,$A54,Vigilancia!$J:$J,E$1)</f>
        <v>1220000</v>
      </c>
      <c r="F54" s="72">
        <f>SUMIFS(Vigilancia!$E:$E,Vigilancia!$F:$F,$A54,Vigilancia!$J:$J,F$1)</f>
        <v>0</v>
      </c>
      <c r="G54" s="72">
        <f>SUMIFS(Vigilancia!$E:$E,Vigilancia!$F:$F,$A54,Vigilancia!$J:$J,G$1)</f>
        <v>0</v>
      </c>
      <c r="H54" s="72">
        <f>SUMIFS(Vigilancia!$E:$E,Vigilancia!$F:$F,$A54,Vigilancia!$J:$J,H$1)</f>
        <v>0</v>
      </c>
      <c r="I54" s="72">
        <f>SUMIFS(Vigilancia!$E:$E,Vigilancia!$F:$F,$A54,Vigilancia!$J:$J,I$1)</f>
        <v>0</v>
      </c>
    </row>
    <row r="55" spans="1:9" x14ac:dyDescent="0.25">
      <c r="A55" s="53" t="s">
        <v>84</v>
      </c>
      <c r="B55" s="54" t="s">
        <v>86</v>
      </c>
      <c r="C55" s="72">
        <f>SUMIFS(Vigilancia!$E:$E,Vigilancia!$F:$F,$A55,Vigilancia!$J:$J,C$1)</f>
        <v>7000</v>
      </c>
      <c r="D55" s="72">
        <f>SUMIFS(Vigilancia!$E:$E,Vigilancia!$F:$F,$A55,Vigilancia!$J:$J,D$1)</f>
        <v>350000</v>
      </c>
      <c r="E55" s="393">
        <f>SUMIFS(Vigilancia!$E:$E,Vigilancia!$F:$F,$A55,Vigilancia!$J:$J,E$1)</f>
        <v>1220000</v>
      </c>
      <c r="F55" s="72">
        <f>SUMIFS(Vigilancia!$E:$E,Vigilancia!$F:$F,$A55,Vigilancia!$J:$J,F$1)</f>
        <v>0</v>
      </c>
      <c r="G55" s="72">
        <f>SUMIFS(Vigilancia!$E:$E,Vigilancia!$F:$F,$A55,Vigilancia!$J:$J,G$1)</f>
        <v>0</v>
      </c>
      <c r="H55" s="72">
        <f>SUMIFS(Vigilancia!$E:$E,Vigilancia!$F:$F,$A55,Vigilancia!$J:$J,H$1)</f>
        <v>0</v>
      </c>
      <c r="I55" s="72">
        <f>SUMIFS(Vigilancia!$E:$E,Vigilancia!$F:$F,$A55,Vigilancia!$J:$J,I$1)</f>
        <v>0</v>
      </c>
    </row>
    <row r="56" spans="1:9" x14ac:dyDescent="0.25">
      <c r="A56" s="53" t="s">
        <v>848</v>
      </c>
      <c r="B56" s="54" t="s">
        <v>849</v>
      </c>
      <c r="C56" s="72">
        <f>SUMIFS(Vigilancia!$E:$E,Vigilancia!$F:$F,$A56,Vigilancia!$J:$J,C$1)</f>
        <v>0</v>
      </c>
      <c r="D56" s="72">
        <f>SUMIFS(Vigilancia!$E:$E,Vigilancia!$F:$F,$A56,Vigilancia!$J:$J,D$1)</f>
        <v>0</v>
      </c>
      <c r="E56" s="393">
        <f>SUMIFS(Vigilancia!$E:$E,Vigilancia!$F:$F,$A56,Vigilancia!$J:$J,E$1)</f>
        <v>0</v>
      </c>
      <c r="F56" s="72">
        <f>SUMIFS(Vigilancia!$E:$E,Vigilancia!$F:$F,$A56,Vigilancia!$J:$J,F$1)</f>
        <v>0</v>
      </c>
      <c r="G56" s="72">
        <f>SUMIFS(Vigilancia!$E:$E,Vigilancia!$F:$F,$A56,Vigilancia!$J:$J,G$1)</f>
        <v>0</v>
      </c>
      <c r="H56" s="72">
        <f>SUMIFS(Vigilancia!$E:$E,Vigilancia!$F:$F,$A56,Vigilancia!$J:$J,H$1)</f>
        <v>0</v>
      </c>
      <c r="I56" s="72">
        <f>SUMIFS(Vigilancia!$E:$E,Vigilancia!$F:$F,$A56,Vigilancia!$J:$J,I$1)</f>
        <v>0</v>
      </c>
    </row>
    <row r="57" spans="1:9" x14ac:dyDescent="0.25">
      <c r="A57" s="53" t="s">
        <v>850</v>
      </c>
      <c r="B57" s="54" t="s">
        <v>851</v>
      </c>
      <c r="C57" s="72">
        <f>SUMIFS(Vigilancia!$E:$E,Vigilancia!$F:$F,$A57,Vigilancia!$J:$J,C$1)</f>
        <v>0</v>
      </c>
      <c r="D57" s="234">
        <f>SUMIFS(Vigilancia!$E:$E,Vigilancia!$F:$F,$A57,Vigilancia!$J:$J,D$1)</f>
        <v>0</v>
      </c>
      <c r="E57" s="393">
        <f>SUMIFS(Vigilancia!$E:$E,Vigilancia!$F:$F,$A57,Vigilancia!$J:$J,E$1)</f>
        <v>0</v>
      </c>
      <c r="F57" s="72">
        <f>SUMIFS(Vigilancia!$E:$E,Vigilancia!$F:$F,$A57,Vigilancia!$J:$J,F$1)</f>
        <v>0</v>
      </c>
      <c r="G57" s="72">
        <f>SUMIFS(Vigilancia!$E:$E,Vigilancia!$F:$F,$A57,Vigilancia!$J:$J,G$1)</f>
        <v>0</v>
      </c>
      <c r="H57" s="72">
        <f>SUMIFS(Vigilancia!$E:$E,Vigilancia!$F:$F,$A57,Vigilancia!$J:$J,H$1)</f>
        <v>0</v>
      </c>
      <c r="I57" s="72">
        <f>SUMIFS(Vigilancia!$E:$E,Vigilancia!$F:$F,$A57,Vigilancia!$J:$J,I$1)</f>
        <v>0</v>
      </c>
    </row>
    <row r="58" spans="1:9" x14ac:dyDescent="0.25">
      <c r="A58" s="53" t="s">
        <v>103</v>
      </c>
      <c r="B58" s="54" t="s">
        <v>105</v>
      </c>
      <c r="C58" s="72">
        <f>SUMIFS(Vigilancia!$E:$E,Vigilancia!$F:$F,$A58,Vigilancia!$J:$J,C$1)</f>
        <v>7000</v>
      </c>
      <c r="D58" s="72">
        <f>SUMIFS(Vigilancia!$E:$E,Vigilancia!$F:$F,$A58,Vigilancia!$J:$J,D$1)</f>
        <v>350000</v>
      </c>
      <c r="E58" s="393">
        <f>SUMIFS(Vigilancia!$E:$E,Vigilancia!$F:$F,$A58,Vigilancia!$J:$J,E$1)</f>
        <v>1220000</v>
      </c>
      <c r="F58" s="72">
        <f>SUMIFS(Vigilancia!$E:$E,Vigilancia!$F:$F,$A58,Vigilancia!$J:$J,F$1)</f>
        <v>0</v>
      </c>
      <c r="G58" s="72">
        <f>SUMIFS(Vigilancia!$E:$E,Vigilancia!$F:$F,$A58,Vigilancia!$J:$J,G$1)</f>
        <v>0</v>
      </c>
      <c r="H58" s="72">
        <f>SUMIFS(Vigilancia!$E:$E,Vigilancia!$F:$F,$A58,Vigilancia!$J:$J,H$1)</f>
        <v>0</v>
      </c>
      <c r="I58" s="72">
        <f>SUMIFS(Vigilancia!$E:$E,Vigilancia!$F:$F,$A58,Vigilancia!$J:$J,I$1)</f>
        <v>0</v>
      </c>
    </row>
    <row r="59" spans="1:9" x14ac:dyDescent="0.25">
      <c r="A59" s="81" t="s">
        <v>319</v>
      </c>
      <c r="B59" s="54" t="s">
        <v>320</v>
      </c>
      <c r="C59" s="72">
        <f>SUMIFS(Vigilancia!$E:$E,Vigilancia!$F:$F,$A59,Vigilancia!$J:$J,C$1)</f>
        <v>7000</v>
      </c>
      <c r="D59" s="72">
        <f>SUMIFS(Vigilancia!$E:$E,Vigilancia!$F:$F,$A59,Vigilancia!$J:$J,D$1)</f>
        <v>0</v>
      </c>
      <c r="E59" s="393">
        <f>SUMIFS(Vigilancia!$E:$E,Vigilancia!$F:$F,$A59,Vigilancia!$J:$J,E$1)</f>
        <v>0</v>
      </c>
      <c r="F59" s="72">
        <f>SUMIFS(Vigilancia!$E:$E,Vigilancia!$F:$F,$A59,Vigilancia!$J:$J,F$1)</f>
        <v>0</v>
      </c>
      <c r="G59" s="72">
        <f>SUMIFS(Vigilancia!$E:$E,Vigilancia!$F:$F,$A59,Vigilancia!$J:$J,G$1)</f>
        <v>0</v>
      </c>
      <c r="H59" s="72">
        <f>SUMIFS(Vigilancia!$E:$E,Vigilancia!$F:$F,$A59,Vigilancia!$J:$J,H$1)</f>
        <v>0</v>
      </c>
      <c r="I59" s="72">
        <f>SUMIFS(Vigilancia!$E:$E,Vigilancia!$F:$F,$A59,Vigilancia!$J:$J,I$1)</f>
        <v>0</v>
      </c>
    </row>
    <row r="60" spans="1:9" x14ac:dyDescent="0.25">
      <c r="A60" s="53" t="s">
        <v>53</v>
      </c>
      <c r="B60" s="54" t="s">
        <v>55</v>
      </c>
      <c r="C60" s="72">
        <f>SUMIFS(Vigilancia!$E:$E,Vigilancia!$F:$F,$A60,Vigilancia!$J:$J,C$1)</f>
        <v>0</v>
      </c>
      <c r="D60" s="72">
        <f>SUMIFS(Vigilancia!$E:$E,Vigilancia!$F:$F,$A60,Vigilancia!$J:$J,D$1)</f>
        <v>350000</v>
      </c>
      <c r="E60" s="393">
        <f>SUMIFS(Vigilancia!$E:$E,Vigilancia!$F:$F,$A60,Vigilancia!$J:$J,E$1)</f>
        <v>1250000</v>
      </c>
      <c r="F60" s="72">
        <f>SUMIFS(Vigilancia!$E:$E,Vigilancia!$F:$F,$A60,Vigilancia!$J:$J,F$1)</f>
        <v>0</v>
      </c>
      <c r="G60" s="72">
        <f>SUMIFS(Vigilancia!$E:$E,Vigilancia!$F:$F,$A60,Vigilancia!$J:$J,G$1)</f>
        <v>0</v>
      </c>
      <c r="H60" s="72">
        <f>SUMIFS(Vigilancia!$E:$E,Vigilancia!$F:$F,$A60,Vigilancia!$J:$J,H$1)</f>
        <v>150000</v>
      </c>
      <c r="I60" s="72">
        <f>SUMIFS(Vigilancia!$E:$E,Vigilancia!$F:$F,$A60,Vigilancia!$J:$J,I$1)</f>
        <v>0</v>
      </c>
    </row>
    <row r="61" spans="1:9" x14ac:dyDescent="0.25">
      <c r="A61" s="53" t="s">
        <v>492</v>
      </c>
      <c r="B61" s="54" t="s">
        <v>493</v>
      </c>
      <c r="C61" s="72">
        <f>SUMIFS(Vigilancia!$E:$E,Vigilancia!$F:$F,$A61,Vigilancia!$J:$J,C$1)</f>
        <v>0</v>
      </c>
      <c r="D61" s="72">
        <f>SUMIFS(Vigilancia!$E:$E,Vigilancia!$F:$F,$A61,Vigilancia!$J:$J,D$1)</f>
        <v>0</v>
      </c>
      <c r="E61" s="72">
        <f>SUMIFS(Vigilancia!$E:$E,Vigilancia!$F:$F,$A61,Vigilancia!$J:$J,E$1)</f>
        <v>0</v>
      </c>
      <c r="F61" s="72">
        <f>SUMIFS(Vigilancia!$E:$E,Vigilancia!$F:$F,$A61,Vigilancia!$J:$J,F$1)</f>
        <v>0</v>
      </c>
      <c r="G61" s="72">
        <f>SUMIFS(Vigilancia!$E:$E,Vigilancia!$F:$F,$A61,Vigilancia!$J:$J,G$1)</f>
        <v>0</v>
      </c>
      <c r="H61" s="72">
        <f>SUMIFS(Vigilancia!$E:$E,Vigilancia!$F:$F,$A61,Vigilancia!$J:$J,H$1)</f>
        <v>0</v>
      </c>
      <c r="I61" s="72">
        <f>SUMIFS(Vigilancia!$E:$E,Vigilancia!$F:$F,$A61,Vigilancia!$J:$J,I$1)</f>
        <v>0</v>
      </c>
    </row>
    <row r="62" spans="1:9" x14ac:dyDescent="0.25">
      <c r="A62" s="53" t="s">
        <v>852</v>
      </c>
      <c r="B62" s="54" t="s">
        <v>853</v>
      </c>
      <c r="C62" s="72">
        <f>SUMIFS(Vigilancia!$E:$E,Vigilancia!$F:$F,$A62,Vigilancia!$J:$J,C$1)</f>
        <v>0</v>
      </c>
      <c r="D62" s="72">
        <f>SUMIFS(Vigilancia!$E:$E,Vigilancia!$F:$F,$A62,Vigilancia!$J:$J,D$1)</f>
        <v>0</v>
      </c>
      <c r="E62" s="72">
        <f>SUMIFS(Vigilancia!$E:$E,Vigilancia!$F:$F,$A62,Vigilancia!$J:$J,E$1)</f>
        <v>0</v>
      </c>
      <c r="F62" s="72">
        <f>SUMIFS(Vigilancia!$E:$E,Vigilancia!$F:$F,$A62,Vigilancia!$J:$J,F$1)</f>
        <v>0</v>
      </c>
      <c r="G62" s="72">
        <f>SUMIFS(Vigilancia!$E:$E,Vigilancia!$F:$F,$A62,Vigilancia!$J:$J,G$1)</f>
        <v>0</v>
      </c>
      <c r="H62" s="72">
        <f>SUMIFS(Vigilancia!$E:$E,Vigilancia!$F:$F,$A62,Vigilancia!$J:$J,H$1)</f>
        <v>0</v>
      </c>
      <c r="I62" s="72">
        <f>SUMIFS(Vigilancia!$E:$E,Vigilancia!$F:$F,$A62,Vigilancia!$J:$J,I$1)</f>
        <v>0</v>
      </c>
    </row>
    <row r="63" spans="1:9" x14ac:dyDescent="0.25">
      <c r="A63" s="53" t="s">
        <v>90</v>
      </c>
      <c r="B63" s="54" t="s">
        <v>92</v>
      </c>
      <c r="C63" s="72">
        <f>SUMIFS(Vigilancia!$E:$E,Vigilancia!$F:$F,$A63,Vigilancia!$J:$J,C$1)</f>
        <v>7000</v>
      </c>
      <c r="D63" s="72">
        <f>SUMIFS(Vigilancia!$E:$E,Vigilancia!$F:$F,$A63,Vigilancia!$J:$J,D$1)</f>
        <v>570000</v>
      </c>
      <c r="E63" s="72">
        <f>SUMIFS(Vigilancia!$E:$E,Vigilancia!$F:$F,$A63,Vigilancia!$J:$J,E$1)</f>
        <v>0</v>
      </c>
      <c r="F63" s="72">
        <f>SUMIFS(Vigilancia!$E:$E,Vigilancia!$F:$F,$A63,Vigilancia!$J:$J,F$1)</f>
        <v>0</v>
      </c>
      <c r="G63" s="72">
        <f>SUMIFS(Vigilancia!$E:$E,Vigilancia!$F:$F,$A63,Vigilancia!$J:$J,G$1)</f>
        <v>0</v>
      </c>
      <c r="H63" s="72">
        <f>SUMIFS(Vigilancia!$E:$E,Vigilancia!$F:$F,$A63,Vigilancia!$J:$J,H$1)</f>
        <v>0</v>
      </c>
      <c r="I63" s="72">
        <f>SUMIFS(Vigilancia!$E:$E,Vigilancia!$F:$F,$A63,Vigilancia!$J:$J,I$1)</f>
        <v>0</v>
      </c>
    </row>
    <row r="64" spans="1:9" x14ac:dyDescent="0.25">
      <c r="A64" s="53" t="s">
        <v>398</v>
      </c>
      <c r="B64" s="54" t="s">
        <v>399</v>
      </c>
      <c r="C64" s="72">
        <f>SUMIFS(Vigilancia!$E:$E,Vigilancia!$F:$F,$A64,Vigilancia!$J:$J,C$1)</f>
        <v>5000</v>
      </c>
      <c r="D64" s="72">
        <f>SUMIFS(Vigilancia!$E:$E,Vigilancia!$F:$F,$A64,Vigilancia!$J:$J,D$1)</f>
        <v>0</v>
      </c>
      <c r="E64" s="72">
        <f>SUMIFS(Vigilancia!$E:$E,Vigilancia!$F:$F,$A64,Vigilancia!$J:$J,E$1)</f>
        <v>0</v>
      </c>
      <c r="F64" s="72">
        <f>SUMIFS(Vigilancia!$E:$E,Vigilancia!$F:$F,$A64,Vigilancia!$J:$J,F$1)</f>
        <v>0</v>
      </c>
      <c r="G64" s="72">
        <f>SUMIFS(Vigilancia!$E:$E,Vigilancia!$F:$F,$A64,Vigilancia!$J:$J,G$1)</f>
        <v>0</v>
      </c>
      <c r="H64" s="72">
        <f>SUMIFS(Vigilancia!$E:$E,Vigilancia!$F:$F,$A64,Vigilancia!$J:$J,H$1)</f>
        <v>0</v>
      </c>
      <c r="I64" s="72">
        <f>SUMIFS(Vigilancia!$E:$E,Vigilancia!$F:$F,$A64,Vigilancia!$J:$J,I$1)</f>
        <v>0</v>
      </c>
    </row>
    <row r="65" spans="1:10" x14ac:dyDescent="0.25">
      <c r="A65" s="53" t="s">
        <v>942</v>
      </c>
      <c r="B65" s="54" t="s">
        <v>277</v>
      </c>
      <c r="C65" s="72">
        <f>SUMIFS(Vigilancia!$E:$E,Vigilancia!$F:$F,$A65,Vigilancia!$J:$J,C$1)</f>
        <v>0</v>
      </c>
      <c r="D65" s="72">
        <f>SUMIFS(Vigilancia!$E:$E,Vigilancia!$F:$F,$A65,Vigilancia!$J:$J,D$1)</f>
        <v>0</v>
      </c>
      <c r="E65" s="72">
        <f>SUMIFS(Vigilancia!$E:$E,Vigilancia!$F:$F,$A65,Vigilancia!$J:$J,E$1)</f>
        <v>0</v>
      </c>
      <c r="F65" s="72">
        <f>SUMIFS(Vigilancia!$E:$E,Vigilancia!$F:$F,$A65,Vigilancia!$J:$J,F$1)</f>
        <v>0</v>
      </c>
      <c r="G65" s="72">
        <f>SUMIFS(Vigilancia!$E:$E,Vigilancia!$F:$F,$A65,Vigilancia!$J:$J,G$1)</f>
        <v>0</v>
      </c>
      <c r="H65" s="72">
        <f>SUMIFS(Vigilancia!$E:$E,Vigilancia!$F:$F,$A65,Vigilancia!$J:$J,H$1)</f>
        <v>0</v>
      </c>
      <c r="I65" s="72">
        <f>SUMIFS(Vigilancia!$E:$E,Vigilancia!$F:$F,$A65,Vigilancia!$J:$J,I$1)</f>
        <v>0</v>
      </c>
    </row>
    <row r="66" spans="1:10" x14ac:dyDescent="0.25">
      <c r="A66" s="53" t="s">
        <v>854</v>
      </c>
      <c r="B66" s="54" t="s">
        <v>855</v>
      </c>
      <c r="C66" s="72">
        <f>SUMIFS(Vigilancia!$E:$E,Vigilancia!$F:$F,$A66,Vigilancia!$J:$J,C$1)</f>
        <v>0</v>
      </c>
      <c r="D66" s="72">
        <f>SUMIFS(Vigilancia!$E:$E,Vigilancia!$F:$F,$A66,Vigilancia!$J:$J,D$1)</f>
        <v>0</v>
      </c>
      <c r="E66" s="72">
        <f>SUMIFS(Vigilancia!$E:$E,Vigilancia!$F:$F,$A66,Vigilancia!$J:$J,E$1)</f>
        <v>0</v>
      </c>
      <c r="F66" s="72">
        <f>SUMIFS(Vigilancia!$E:$E,Vigilancia!$F:$F,$A66,Vigilancia!$J:$J,F$1)</f>
        <v>0</v>
      </c>
      <c r="G66" s="72">
        <f>SUMIFS(Vigilancia!$E:$E,Vigilancia!$F:$F,$A66,Vigilancia!$J:$J,G$1)</f>
        <v>0</v>
      </c>
      <c r="H66" s="72">
        <f>SUMIFS(Vigilancia!$E:$E,Vigilancia!$F:$F,$A66,Vigilancia!$J:$J,H$1)</f>
        <v>0</v>
      </c>
      <c r="I66" s="72">
        <f>SUMIFS(Vigilancia!$E:$E,Vigilancia!$F:$F,$A66,Vigilancia!$J:$J,I$1)</f>
        <v>0</v>
      </c>
    </row>
    <row r="67" spans="1:10" x14ac:dyDescent="0.25">
      <c r="A67" s="53" t="s">
        <v>856</v>
      </c>
      <c r="B67" s="54" t="s">
        <v>857</v>
      </c>
      <c r="C67" s="72">
        <f>SUMIFS(Vigilancia!$E:$E,Vigilancia!$F:$F,$A67,Vigilancia!$J:$J,C$1)</f>
        <v>0</v>
      </c>
      <c r="D67" s="72">
        <f>SUMIFS(Vigilancia!$E:$E,Vigilancia!$F:$F,$A67,Vigilancia!$J:$J,D$1)</f>
        <v>0</v>
      </c>
      <c r="E67" s="72">
        <f>SUMIFS(Vigilancia!$E:$E,Vigilancia!$F:$F,$A67,Vigilancia!$J:$J,E$1)</f>
        <v>0</v>
      </c>
      <c r="F67" s="72">
        <f>SUMIFS(Vigilancia!$E:$E,Vigilancia!$F:$F,$A67,Vigilancia!$J:$J,F$1)</f>
        <v>0</v>
      </c>
      <c r="G67" s="72">
        <f>SUMIFS(Vigilancia!$E:$E,Vigilancia!$F:$F,$A67,Vigilancia!$J:$J,G$1)</f>
        <v>0</v>
      </c>
      <c r="H67" s="72">
        <f>SUMIFS(Vigilancia!$E:$E,Vigilancia!$F:$F,$A67,Vigilancia!$J:$J,H$1)</f>
        <v>0</v>
      </c>
      <c r="I67" s="72">
        <f>SUMIFS(Vigilancia!$E:$E,Vigilancia!$F:$F,$A67,Vigilancia!$J:$J,I$1)</f>
        <v>0</v>
      </c>
    </row>
    <row r="68" spans="1:10" ht="15.75" thickBot="1" x14ac:dyDescent="0.3">
      <c r="A68" s="52" t="s">
        <v>243</v>
      </c>
      <c r="B68" s="190" t="s">
        <v>245</v>
      </c>
      <c r="C68" s="72">
        <f>SUMIFS(Vigilancia!$E:$E,Vigilancia!$F:$F,$A68,Vigilancia!$J:$J,C$1)</f>
        <v>7000</v>
      </c>
      <c r="D68" s="72">
        <f>SUMIFS(Vigilancia!$E:$E,Vigilancia!$F:$F,$A68,Vigilancia!$J:$J,D$1)</f>
        <v>350000</v>
      </c>
      <c r="E68" s="393">
        <f>SUMIFS(Vigilancia!$E:$E,Vigilancia!$F:$F,$A68,Vigilancia!$J:$J,E$1)</f>
        <v>1220000</v>
      </c>
      <c r="F68" s="72">
        <f>SUMIFS(Vigilancia!$E:$E,Vigilancia!$F:$F,$A68,Vigilancia!$J:$J,F$1)</f>
        <v>0</v>
      </c>
      <c r="G68" s="72">
        <f>SUMIFS(Vigilancia!$E:$E,Vigilancia!$F:$F,$A68,Vigilancia!$J:$J,G$1)</f>
        <v>0</v>
      </c>
      <c r="H68" s="72">
        <f>SUMIFS(Vigilancia!$E:$E,Vigilancia!$F:$F,$A68,Vigilancia!$J:$J,H$1)</f>
        <v>0</v>
      </c>
      <c r="I68" s="72">
        <f>SUMIFS(Vigilancia!$E:$E,Vigilancia!$F:$F,$A68,Vigilancia!$J:$J,I$1)</f>
        <v>0</v>
      </c>
    </row>
    <row r="69" spans="1:10" x14ac:dyDescent="0.25">
      <c r="A69" s="163" t="s">
        <v>858</v>
      </c>
      <c r="B69" s="164" t="s">
        <v>614</v>
      </c>
      <c r="C69" s="165">
        <f>SUMIFS(Vigilancia!$E:$E,Vigilancia!$F:$F,$A69,Vigilancia!$J:$J,C$1)</f>
        <v>0</v>
      </c>
      <c r="D69" s="165">
        <f>SUMIFS(Vigilancia!$E:$E,Vigilancia!$F:$F,$A69,Vigilancia!$J:$J,D$1)</f>
        <v>0</v>
      </c>
      <c r="E69" s="165">
        <f>SUMIFS(Vigilancia!$E:$E,Vigilancia!$F:$F,$A69,Vigilancia!$J:$J,E$1)</f>
        <v>0</v>
      </c>
      <c r="F69" s="194">
        <f>SUMIFS(Vigilancia!$E:$E,Vigilancia!$F:$F,$A69,Vigilancia!$J:$J,F$1)</f>
        <v>0</v>
      </c>
      <c r="G69" s="165">
        <f>SUMIFS(Vigilancia!$E:$E,Vigilancia!$F:$F,$A69,Vigilancia!$J:$J,G$1)</f>
        <v>0</v>
      </c>
      <c r="H69" s="165">
        <f>SUMIFS(Vigilancia!$E:$E,Vigilancia!$F:$F,$A69,Vigilancia!$J:$J,H$1)</f>
        <v>0</v>
      </c>
      <c r="I69" s="305">
        <f>SUMIFS(Vigilancia!$E:$E,Vigilancia!$F:$F,$A69,Vigilancia!$J:$J,I$1)</f>
        <v>0</v>
      </c>
      <c r="J69" s="306"/>
    </row>
    <row r="70" spans="1:10" ht="15.75" thickBot="1" x14ac:dyDescent="0.3">
      <c r="A70" s="53" t="s">
        <v>612</v>
      </c>
      <c r="B70" s="54" t="s">
        <v>614</v>
      </c>
      <c r="C70" s="72">
        <f>SUMIFS(Vigilancia!$E:$E,Vigilancia!$F:$F,$A70,Vigilancia!$J:$J,C$1)</f>
        <v>0</v>
      </c>
      <c r="D70" s="72">
        <f>SUMIFS(Vigilancia!$E:$E,Vigilancia!$F:$F,$A70,Vigilancia!$J:$J,D$1)</f>
        <v>0</v>
      </c>
      <c r="E70" s="393">
        <f>SUMIFS(Vigilancia!$E:$E,Vigilancia!$F:$F,$A70,Vigilancia!$J:$J,E$1)</f>
        <v>1220000</v>
      </c>
      <c r="F70" s="189">
        <f>SUMIFS(Vigilancia!$E:$E,Vigilancia!$F:$F,$A70,Vigilancia!$J:$J,F$1)</f>
        <v>0</v>
      </c>
      <c r="G70" s="72">
        <f>SUMIFS(Vigilancia!$E:$E,Vigilancia!$F:$F,$A70,Vigilancia!$J:$J,G$1)</f>
        <v>0</v>
      </c>
      <c r="H70" s="72">
        <f>SUMIFS(Vigilancia!$E:$E,Vigilancia!$F:$F,$A70,Vigilancia!$J:$J,H$1)</f>
        <v>0</v>
      </c>
      <c r="I70" s="304">
        <f>SUMIFS(Vigilancia!$E:$E,Vigilancia!$F:$F,$A70,Vigilancia!$J:$J,I$1)</f>
        <v>0</v>
      </c>
      <c r="J70" s="308"/>
    </row>
    <row r="71" spans="1:10" x14ac:dyDescent="0.25">
      <c r="A71" s="193" t="s">
        <v>363</v>
      </c>
      <c r="B71" s="191" t="s">
        <v>365</v>
      </c>
      <c r="C71" s="72">
        <f>SUMIFS(Vigilancia!$E:$E,Vigilancia!$F:$F,$A71,Vigilancia!$J:$J,C$1)</f>
        <v>7000</v>
      </c>
      <c r="D71" s="72">
        <f>SUMIFS(Vigilancia!$E:$E,Vigilancia!$F:$F,$A71,Vigilancia!$J:$J,D$1)</f>
        <v>350000</v>
      </c>
      <c r="E71" s="393">
        <f>SUMIFS(Vigilancia!$E:$E,Vigilancia!$F:$F,$A71,Vigilancia!$J:$J,E$1)</f>
        <v>1220000</v>
      </c>
      <c r="F71" s="72">
        <f>SUMIFS(Vigilancia!$E:$E,Vigilancia!$F:$F,$A71,Vigilancia!$J:$J,F$1)</f>
        <v>0</v>
      </c>
      <c r="G71" s="72">
        <f>SUMIFS(Vigilancia!$E:$E,Vigilancia!$F:$F,$A71,Vigilancia!$J:$J,G$1)</f>
        <v>0</v>
      </c>
      <c r="H71" s="72">
        <f>SUMIFS(Vigilancia!$E:$E,Vigilancia!$F:$F,$A71,Vigilancia!$J:$J,H$1)</f>
        <v>0</v>
      </c>
      <c r="I71" s="72">
        <f>SUMIFS(Vigilancia!$E:$E,Vigilancia!$F:$F,$A71,Vigilancia!$J:$J,I$1)</f>
        <v>0</v>
      </c>
    </row>
    <row r="72" spans="1:10" x14ac:dyDescent="0.25">
      <c r="A72" s="53" t="s">
        <v>633</v>
      </c>
      <c r="B72" s="54" t="s">
        <v>635</v>
      </c>
      <c r="C72" s="72">
        <f>SUMIFS(Vigilancia!$E:$E,Vigilancia!$F:$F,$A72,Vigilancia!$J:$J,C$1)</f>
        <v>0</v>
      </c>
      <c r="D72" s="72">
        <f>SUMIFS(Vigilancia!$E:$E,Vigilancia!$F:$F,$A72,Vigilancia!$J:$J,D$1)</f>
        <v>350000</v>
      </c>
      <c r="E72" s="393">
        <f>SUMIFS(Vigilancia!$E:$E,Vigilancia!$F:$F,$A72,Vigilancia!$J:$J,E$1)</f>
        <v>1220000</v>
      </c>
      <c r="F72" s="72">
        <f>SUMIFS(Vigilancia!$E:$E,Vigilancia!$F:$F,$A72,Vigilancia!$J:$J,F$1)</f>
        <v>0</v>
      </c>
      <c r="G72" s="72">
        <f>SUMIFS(Vigilancia!$E:$E,Vigilancia!$F:$F,$A72,Vigilancia!$J:$J,G$1)</f>
        <v>0</v>
      </c>
      <c r="H72" s="72">
        <f>SUMIFS(Vigilancia!$E:$E,Vigilancia!$F:$F,$A72,Vigilancia!$J:$J,H$1)</f>
        <v>0</v>
      </c>
      <c r="I72" s="72">
        <f>SUMIFS(Vigilancia!$E:$E,Vigilancia!$F:$F,$A72,Vigilancia!$J:$J,I$1)</f>
        <v>0</v>
      </c>
    </row>
    <row r="73" spans="1:10" x14ac:dyDescent="0.25">
      <c r="A73" s="53" t="s">
        <v>434</v>
      </c>
      <c r="B73" s="54" t="s">
        <v>436</v>
      </c>
      <c r="C73" s="72">
        <f>SUMIFS(Vigilancia!$E:$E,Vigilancia!$F:$F,$A73,Vigilancia!$J:$J,C$1)</f>
        <v>0</v>
      </c>
      <c r="D73" s="72">
        <f>SUMIFS(Vigilancia!$E:$E,Vigilancia!$F:$F,$A73,Vigilancia!$J:$J,D$1)</f>
        <v>100000</v>
      </c>
      <c r="E73" s="393">
        <f>SUMIFS(Vigilancia!$E:$E,Vigilancia!$F:$F,$A73,Vigilancia!$J:$J,E$1)</f>
        <v>0</v>
      </c>
      <c r="F73" s="72">
        <f>SUMIFS(Vigilancia!$E:$E,Vigilancia!$F:$F,$A73,Vigilancia!$J:$J,F$1)</f>
        <v>0</v>
      </c>
      <c r="G73" s="72">
        <f>SUMIFS(Vigilancia!$E:$E,Vigilancia!$F:$F,$A73,Vigilancia!$J:$J,G$1)</f>
        <v>0</v>
      </c>
      <c r="H73" s="72">
        <f>SUMIFS(Vigilancia!$E:$E,Vigilancia!$F:$F,$A73,Vigilancia!$J:$J,H$1)</f>
        <v>0</v>
      </c>
      <c r="I73" s="72">
        <f>SUMIFS(Vigilancia!$E:$E,Vigilancia!$F:$F,$A73,Vigilancia!$J:$J,I$1)</f>
        <v>0</v>
      </c>
    </row>
    <row r="74" spans="1:10" x14ac:dyDescent="0.25">
      <c r="A74" s="53" t="s">
        <v>144</v>
      </c>
      <c r="B74" s="54" t="s">
        <v>146</v>
      </c>
      <c r="C74" s="72">
        <f>SUMIFS(Vigilancia!$E:$E,Vigilancia!$F:$F,$A74,Vigilancia!$J:$J,C$1)</f>
        <v>0</v>
      </c>
      <c r="D74" s="72">
        <f>SUMIFS(Vigilancia!$E:$E,Vigilancia!$F:$F,$A74,Vigilancia!$J:$J,D$1)</f>
        <v>350000</v>
      </c>
      <c r="E74" s="393">
        <f>SUMIFS(Vigilancia!$E:$E,Vigilancia!$F:$F,$A74,Vigilancia!$J:$J,E$1)</f>
        <v>0</v>
      </c>
      <c r="F74" s="72">
        <f>SUMIFS(Vigilancia!$E:$E,Vigilancia!$F:$F,$A74,Vigilancia!$J:$J,F$1)</f>
        <v>0</v>
      </c>
      <c r="G74" s="72">
        <f>SUMIFS(Vigilancia!$E:$E,Vigilancia!$F:$F,$A74,Vigilancia!$J:$J,G$1)</f>
        <v>0</v>
      </c>
      <c r="H74" s="72">
        <f>SUMIFS(Vigilancia!$E:$E,Vigilancia!$F:$F,$A74,Vigilancia!$J:$J,H$1)</f>
        <v>0</v>
      </c>
      <c r="I74" s="72">
        <f>SUMIFS(Vigilancia!$E:$E,Vigilancia!$F:$F,$A74,Vigilancia!$J:$J,I$1)</f>
        <v>0</v>
      </c>
    </row>
    <row r="75" spans="1:10" x14ac:dyDescent="0.25">
      <c r="A75" s="53" t="s">
        <v>859</v>
      </c>
      <c r="B75" s="54" t="s">
        <v>860</v>
      </c>
      <c r="C75" s="72">
        <f>SUMIFS(Vigilancia!$E:$E,Vigilancia!$F:$F,$A75,Vigilancia!$J:$J,C$1)</f>
        <v>0</v>
      </c>
      <c r="D75" s="72">
        <f>SUMIFS(Vigilancia!$E:$E,Vigilancia!$F:$F,$A75,Vigilancia!$J:$J,D$1)</f>
        <v>0</v>
      </c>
      <c r="E75" s="393">
        <f>SUMIFS(Vigilancia!$E:$E,Vigilancia!$F:$F,$A75,Vigilancia!$J:$J,E$1)</f>
        <v>0</v>
      </c>
      <c r="F75" s="72">
        <f>SUMIFS(Vigilancia!$E:$E,Vigilancia!$F:$F,$A75,Vigilancia!$J:$J,F$1)</f>
        <v>0</v>
      </c>
      <c r="G75" s="72">
        <f>SUMIFS(Vigilancia!$E:$E,Vigilancia!$F:$F,$A75,Vigilancia!$J:$J,G$1)</f>
        <v>0</v>
      </c>
      <c r="H75" s="72">
        <f>SUMIFS(Vigilancia!$E:$E,Vigilancia!$F:$F,$A75,Vigilancia!$J:$J,H$1)</f>
        <v>0</v>
      </c>
      <c r="I75" s="72">
        <f>SUMIFS(Vigilancia!$E:$E,Vigilancia!$F:$F,$A75,Vigilancia!$J:$J,I$1)</f>
        <v>0</v>
      </c>
    </row>
    <row r="76" spans="1:10" x14ac:dyDescent="0.25">
      <c r="A76" s="53" t="s">
        <v>303</v>
      </c>
      <c r="B76" s="54" t="s">
        <v>304</v>
      </c>
      <c r="C76" s="72">
        <f>SUMIFS(Vigilancia!$E:$E,Vigilancia!$F:$F,$A76,Vigilancia!$J:$J,C$1)</f>
        <v>7000</v>
      </c>
      <c r="D76" s="72">
        <f>SUMIFS(Vigilancia!$E:$E,Vigilancia!$F:$F,$A76,Vigilancia!$J:$J,D$1)</f>
        <v>0</v>
      </c>
      <c r="E76" s="393">
        <f>SUMIFS(Vigilancia!$E:$E,Vigilancia!$F:$F,$A76,Vigilancia!$J:$J,E$1)</f>
        <v>0</v>
      </c>
      <c r="F76" s="72">
        <f>SUMIFS(Vigilancia!$E:$E,Vigilancia!$F:$F,$A76,Vigilancia!$J:$J,F$1)</f>
        <v>0</v>
      </c>
      <c r="G76" s="72">
        <f>SUMIFS(Vigilancia!$E:$E,Vigilancia!$F:$F,$A76,Vigilancia!$J:$J,G$1)</f>
        <v>0</v>
      </c>
      <c r="H76" s="72">
        <f>SUMIFS(Vigilancia!$E:$E,Vigilancia!$F:$F,$A76,Vigilancia!$J:$J,H$1)</f>
        <v>0</v>
      </c>
      <c r="I76" s="72">
        <f>SUMIFS(Vigilancia!$E:$E,Vigilancia!$F:$F,$A76,Vigilancia!$J:$J,I$1)</f>
        <v>0</v>
      </c>
    </row>
    <row r="77" spans="1:10" x14ac:dyDescent="0.25">
      <c r="A77" s="53" t="s">
        <v>861</v>
      </c>
      <c r="B77" s="54" t="s">
        <v>862</v>
      </c>
      <c r="C77" s="72">
        <f>SUMIFS(Vigilancia!$E:$E,Vigilancia!$F:$F,$A77,Vigilancia!$J:$J,C$1)</f>
        <v>0</v>
      </c>
      <c r="D77" s="72">
        <f>SUMIFS(Vigilancia!$E:$E,Vigilancia!$F:$F,$A77,Vigilancia!$J:$J,D$1)</f>
        <v>0</v>
      </c>
      <c r="E77" s="393">
        <f>SUMIFS(Vigilancia!$E:$E,Vigilancia!$F:$F,$A77,Vigilancia!$J:$J,E$1)</f>
        <v>0</v>
      </c>
      <c r="F77" s="72">
        <f>SUMIFS(Vigilancia!$E:$E,Vigilancia!$F:$F,$A77,Vigilancia!$J:$J,F$1)</f>
        <v>0</v>
      </c>
      <c r="G77" s="72">
        <f>SUMIFS(Vigilancia!$E:$E,Vigilancia!$F:$F,$A77,Vigilancia!$J:$J,G$1)</f>
        <v>0</v>
      </c>
      <c r="H77" s="72">
        <f>SUMIFS(Vigilancia!$E:$E,Vigilancia!$F:$F,$A77,Vigilancia!$J:$J,H$1)</f>
        <v>0</v>
      </c>
      <c r="I77" s="72">
        <f>SUMIFS(Vigilancia!$E:$E,Vigilancia!$F:$F,$A77,Vigilancia!$J:$J,I$1)</f>
        <v>0</v>
      </c>
    </row>
    <row r="78" spans="1:10" x14ac:dyDescent="0.25">
      <c r="A78" s="53" t="s">
        <v>24</v>
      </c>
      <c r="B78" s="54" t="s">
        <v>26</v>
      </c>
      <c r="C78" s="72">
        <f>SUMIFS(Vigilancia!$E:$E,Vigilancia!$F:$F,$A78,Vigilancia!$J:$J,C$1)</f>
        <v>7000</v>
      </c>
      <c r="D78" s="72">
        <f>SUMIFS(Vigilancia!$E:$E,Vigilancia!$F:$F,$A78,Vigilancia!$J:$J,D$1)</f>
        <v>350000</v>
      </c>
      <c r="E78" s="393">
        <f>SUMIFS(Vigilancia!$E:$E,Vigilancia!$F:$F,$A78,Vigilancia!$J:$J,E$1)</f>
        <v>1220000</v>
      </c>
      <c r="F78" s="72">
        <f>SUMIFS(Vigilancia!$E:$E,Vigilancia!$F:$F,$A78,Vigilancia!$J:$J,F$1)</f>
        <v>0</v>
      </c>
      <c r="G78" s="72">
        <f>SUMIFS(Vigilancia!$E:$E,Vigilancia!$F:$F,$A78,Vigilancia!$J:$J,G$1)</f>
        <v>0</v>
      </c>
      <c r="H78" s="72">
        <f>SUMIFS(Vigilancia!$E:$E,Vigilancia!$F:$F,$A78,Vigilancia!$J:$J,H$1)</f>
        <v>0</v>
      </c>
      <c r="I78" s="72">
        <f>SUMIFS(Vigilancia!$E:$E,Vigilancia!$F:$F,$A78,Vigilancia!$J:$J,I$1)</f>
        <v>0</v>
      </c>
    </row>
    <row r="79" spans="1:10" x14ac:dyDescent="0.25">
      <c r="A79" s="53" t="s">
        <v>230</v>
      </c>
      <c r="B79" s="54" t="s">
        <v>232</v>
      </c>
      <c r="C79" s="72">
        <f>SUMIFS(Vigilancia!$E:$E,Vigilancia!$F:$F,$A79,Vigilancia!$J:$J,C$1)</f>
        <v>10000</v>
      </c>
      <c r="D79" s="72">
        <f>SUMIFS(Vigilancia!$E:$E,Vigilancia!$F:$F,$A79,Vigilancia!$J:$J,D$1)</f>
        <v>350000</v>
      </c>
      <c r="E79" s="393">
        <f>SUMIFS(Vigilancia!$E:$E,Vigilancia!$F:$F,$A79,Vigilancia!$J:$J,E$1)</f>
        <v>1500000</v>
      </c>
      <c r="F79" s="72">
        <f>SUMIFS(Vigilancia!$E:$E,Vigilancia!$F:$F,$A79,Vigilancia!$J:$J,F$1)</f>
        <v>0</v>
      </c>
      <c r="G79" s="72">
        <f>SUMIFS(Vigilancia!$E:$E,Vigilancia!$F:$F,$A79,Vigilancia!$J:$J,G$1)</f>
        <v>0</v>
      </c>
      <c r="H79" s="72">
        <f>SUMIFS(Vigilancia!$E:$E,Vigilancia!$F:$F,$A79,Vigilancia!$J:$J,H$1)</f>
        <v>0</v>
      </c>
      <c r="I79" s="72">
        <f>SUMIFS(Vigilancia!$E:$E,Vigilancia!$F:$F,$A79,Vigilancia!$J:$J,I$1)</f>
        <v>0</v>
      </c>
    </row>
    <row r="80" spans="1:10" x14ac:dyDescent="0.25">
      <c r="A80" s="53" t="s">
        <v>312</v>
      </c>
      <c r="B80" s="54" t="s">
        <v>314</v>
      </c>
      <c r="C80" s="72">
        <f>SUMIFS(Vigilancia!$E:$E,Vigilancia!$F:$F,$A80,Vigilancia!$J:$J,C$1)</f>
        <v>7000</v>
      </c>
      <c r="D80" s="234">
        <f>SUMIFS(Vigilancia!$E:$E,Vigilancia!$F:$F,$A80,Vigilancia!$J:$J,D$1)</f>
        <v>0</v>
      </c>
      <c r="E80" s="393">
        <f>SUMIFS(Vigilancia!$E:$E,Vigilancia!$F:$F,$A80,Vigilancia!$J:$J,E$1)</f>
        <v>0</v>
      </c>
      <c r="F80" s="72">
        <f>SUMIFS(Vigilancia!$E:$E,Vigilancia!$F:$F,$A80,Vigilancia!$J:$J,F$1)</f>
        <v>0</v>
      </c>
      <c r="G80" s="72">
        <f>SUMIFS(Vigilancia!$E:$E,Vigilancia!$F:$F,$A80,Vigilancia!$J:$J,G$1)</f>
        <v>0</v>
      </c>
      <c r="H80" s="72">
        <f>SUMIFS(Vigilancia!$E:$E,Vigilancia!$F:$F,$A80,Vigilancia!$J:$J,H$1)</f>
        <v>0</v>
      </c>
      <c r="I80" s="72">
        <f>SUMIFS(Vigilancia!$E:$E,Vigilancia!$F:$F,$A80,Vigilancia!$J:$J,I$1)</f>
        <v>0</v>
      </c>
    </row>
    <row r="81" spans="1:9" x14ac:dyDescent="0.25">
      <c r="A81" s="53" t="s">
        <v>126</v>
      </c>
      <c r="B81" s="54" t="s">
        <v>128</v>
      </c>
      <c r="C81" s="72">
        <f>SUMIFS(Vigilancia!$E:$E,Vigilancia!$F:$F,$A81,Vigilancia!$J:$J,C$1)</f>
        <v>7000</v>
      </c>
      <c r="D81" s="72">
        <f>SUMIFS(Vigilancia!$E:$E,Vigilancia!$F:$F,$A81,Vigilancia!$J:$J,D$1)</f>
        <v>350000</v>
      </c>
      <c r="E81" s="393">
        <f>SUMIFS(Vigilancia!$E:$E,Vigilancia!$F:$F,$A81,Vigilancia!$J:$J,E$1)</f>
        <v>1200000</v>
      </c>
      <c r="F81" s="72">
        <f>SUMIFS(Vigilancia!$E:$E,Vigilancia!$F:$F,$A81,Vigilancia!$J:$J,F$1)</f>
        <v>0</v>
      </c>
      <c r="G81" s="72">
        <f>SUMIFS(Vigilancia!$E:$E,Vigilancia!$F:$F,$A81,Vigilancia!$J:$J,G$1)</f>
        <v>0</v>
      </c>
      <c r="H81" s="72">
        <f>SUMIFS(Vigilancia!$E:$E,Vigilancia!$F:$F,$A81,Vigilancia!$J:$J,H$1)</f>
        <v>0</v>
      </c>
      <c r="I81" s="72">
        <f>SUMIFS(Vigilancia!$E:$E,Vigilancia!$F:$F,$A81,Vigilancia!$J:$J,I$1)</f>
        <v>300000</v>
      </c>
    </row>
    <row r="82" spans="1:9" x14ac:dyDescent="0.25">
      <c r="A82" s="53" t="s">
        <v>130</v>
      </c>
      <c r="B82" s="54" t="s">
        <v>132</v>
      </c>
      <c r="C82" s="72">
        <f>SUMIFS(Vigilancia!$E:$E,Vigilancia!$F:$F,$A82,Vigilancia!$J:$J,C$1)</f>
        <v>0</v>
      </c>
      <c r="D82" s="72">
        <f>SUMIFS(Vigilancia!$E:$E,Vigilancia!$F:$F,$A82,Vigilancia!$J:$J,D$1)</f>
        <v>0</v>
      </c>
      <c r="E82" s="72">
        <f>SUMIFS(Vigilancia!$E:$E,Vigilancia!$F:$F,$A82,Vigilancia!$J:$J,E$1)</f>
        <v>0</v>
      </c>
      <c r="F82" s="72">
        <f>SUMIFS(Vigilancia!$E:$E,Vigilancia!$F:$F,$A82,Vigilancia!$J:$J,F$1)</f>
        <v>0</v>
      </c>
      <c r="G82" s="72">
        <f>SUMIFS(Vigilancia!$E:$E,Vigilancia!$F:$F,$A82,Vigilancia!$J:$J,G$1)</f>
        <v>0</v>
      </c>
      <c r="H82" s="72">
        <f>SUMIFS(Vigilancia!$E:$E,Vigilancia!$F:$F,$A82,Vigilancia!$J:$J,H$1)</f>
        <v>0</v>
      </c>
      <c r="I82" s="72">
        <f>SUMIFS(Vigilancia!$E:$E,Vigilancia!$F:$F,$A82,Vigilancia!$J:$J,I$1)</f>
        <v>0</v>
      </c>
    </row>
    <row r="83" spans="1:9" x14ac:dyDescent="0.25">
      <c r="A83" s="53" t="s">
        <v>465</v>
      </c>
      <c r="B83" s="54" t="s">
        <v>467</v>
      </c>
      <c r="C83" s="72">
        <f>SUMIFS(Vigilancia!$E:$E,Vigilancia!$F:$F,$A83,Vigilancia!$J:$J,C$1)</f>
        <v>7500</v>
      </c>
      <c r="D83" s="72">
        <f>SUMIFS(Vigilancia!$E:$E,Vigilancia!$F:$F,$A83,Vigilancia!$J:$J,D$1)</f>
        <v>0</v>
      </c>
      <c r="E83" s="72">
        <f>SUMIFS(Vigilancia!$E:$E,Vigilancia!$F:$F,$A83,Vigilancia!$J:$J,E$1)</f>
        <v>0</v>
      </c>
      <c r="F83" s="72">
        <f>SUMIFS(Vigilancia!$E:$E,Vigilancia!$F:$F,$A83,Vigilancia!$J:$J,F$1)</f>
        <v>0</v>
      </c>
      <c r="G83" s="72">
        <f>SUMIFS(Vigilancia!$E:$E,Vigilancia!$F:$F,$A83,Vigilancia!$J:$J,G$1)</f>
        <v>0</v>
      </c>
      <c r="H83" s="72">
        <f>SUMIFS(Vigilancia!$E:$E,Vigilancia!$F:$F,$A83,Vigilancia!$J:$J,H$1)</f>
        <v>0</v>
      </c>
      <c r="I83" s="72">
        <f>SUMIFS(Vigilancia!$E:$E,Vigilancia!$F:$F,$A83,Vigilancia!$J:$J,I$1)</f>
        <v>0</v>
      </c>
    </row>
    <row r="84" spans="1:9" x14ac:dyDescent="0.25">
      <c r="A84" s="53" t="s">
        <v>32</v>
      </c>
      <c r="B84" s="54" t="s">
        <v>34</v>
      </c>
      <c r="C84" s="72">
        <f>SUMIFS(Vigilancia!$E:$E,Vigilancia!$F:$F,$A84,Vigilancia!$J:$J,C$1)</f>
        <v>0</v>
      </c>
      <c r="D84" s="72">
        <f>SUMIFS(Vigilancia!$E:$E,Vigilancia!$F:$F,$A84,Vigilancia!$J:$J,D$1)</f>
        <v>0</v>
      </c>
      <c r="E84" s="72">
        <f>SUMIFS(Vigilancia!$E:$E,Vigilancia!$F:$F,$A84,Vigilancia!$J:$J,E$1)</f>
        <v>0</v>
      </c>
      <c r="F84" s="72">
        <f>SUMIFS(Vigilancia!$E:$E,Vigilancia!$F:$F,$A84,Vigilancia!$J:$J,F$1)</f>
        <v>0</v>
      </c>
      <c r="G84" s="72">
        <f>SUMIFS(Vigilancia!$E:$E,Vigilancia!$F:$F,$A84,Vigilancia!$J:$J,G$1)</f>
        <v>0</v>
      </c>
      <c r="H84" s="72">
        <f>SUMIFS(Vigilancia!$E:$E,Vigilancia!$F:$F,$A84,Vigilancia!$J:$J,H$1)</f>
        <v>0</v>
      </c>
      <c r="I84" s="72">
        <f>SUMIFS(Vigilancia!$E:$E,Vigilancia!$F:$F,$A84,Vigilancia!$J:$J,I$1)</f>
        <v>0</v>
      </c>
    </row>
    <row r="85" spans="1:9" x14ac:dyDescent="0.25">
      <c r="A85" s="53" t="s">
        <v>296</v>
      </c>
      <c r="B85" s="54" t="s">
        <v>298</v>
      </c>
      <c r="C85" s="72">
        <f>SUMIFS(Vigilancia!$E:$E,Vigilancia!$F:$F,$A85,Vigilancia!$J:$J,C$1)</f>
        <v>7000</v>
      </c>
      <c r="D85" s="72">
        <f>SUMIFS(Vigilancia!$E:$E,Vigilancia!$F:$F,$A85,Vigilancia!$J:$J,D$1)</f>
        <v>350000</v>
      </c>
      <c r="E85" s="393">
        <f>SUMIFS(Vigilancia!$E:$E,Vigilancia!$F:$F,$A85,Vigilancia!$J:$J,E$1)</f>
        <v>1300000</v>
      </c>
      <c r="F85" s="72">
        <f>SUMIFS(Vigilancia!$E:$E,Vigilancia!$F:$F,$A85,Vigilancia!$J:$J,F$1)</f>
        <v>0</v>
      </c>
      <c r="G85" s="72">
        <f>SUMIFS(Vigilancia!$E:$E,Vigilancia!$F:$F,$A85,Vigilancia!$J:$J,G$1)</f>
        <v>0</v>
      </c>
      <c r="H85" s="72">
        <f>SUMIFS(Vigilancia!$E:$E,Vigilancia!$F:$F,$A85,Vigilancia!$J:$J,H$1)</f>
        <v>0</v>
      </c>
      <c r="I85" s="72">
        <f>SUMIFS(Vigilancia!$E:$E,Vigilancia!$F:$F,$A85,Vigilancia!$J:$J,I$1)</f>
        <v>3000000</v>
      </c>
    </row>
    <row r="86" spans="1:9" x14ac:dyDescent="0.25">
      <c r="A86" s="53" t="s">
        <v>423</v>
      </c>
      <c r="B86" s="54" t="s">
        <v>424</v>
      </c>
      <c r="C86" s="72">
        <f>SUMIFS(Vigilancia!$E:$E,Vigilancia!$F:$F,$A86,Vigilancia!$J:$J,C$1)</f>
        <v>7000</v>
      </c>
      <c r="D86" s="72">
        <f>SUMIFS(Vigilancia!$E:$E,Vigilancia!$F:$F,$A86,Vigilancia!$J:$J,D$1)</f>
        <v>350000</v>
      </c>
      <c r="E86" s="393">
        <f>SUMIFS(Vigilancia!$E:$E,Vigilancia!$F:$F,$A86,Vigilancia!$J:$J,E$1)</f>
        <v>0</v>
      </c>
      <c r="F86" s="72">
        <f>SUMIFS(Vigilancia!$E:$E,Vigilancia!$F:$F,$A86,Vigilancia!$J:$J,F$1)</f>
        <v>0</v>
      </c>
      <c r="G86" s="72">
        <f>SUMIFS(Vigilancia!$E:$E,Vigilancia!$F:$F,$A86,Vigilancia!$J:$J,G$1)</f>
        <v>0</v>
      </c>
      <c r="H86" s="72">
        <f>SUMIFS(Vigilancia!$E:$E,Vigilancia!$F:$F,$A86,Vigilancia!$J:$J,H$1)</f>
        <v>0</v>
      </c>
      <c r="I86" s="72">
        <f>SUMIFS(Vigilancia!$E:$E,Vigilancia!$F:$F,$A86,Vigilancia!$J:$J,I$1)</f>
        <v>0</v>
      </c>
    </row>
    <row r="87" spans="1:9" x14ac:dyDescent="0.25">
      <c r="A87" s="53" t="s">
        <v>252</v>
      </c>
      <c r="B87" s="54" t="s">
        <v>254</v>
      </c>
      <c r="C87" s="72">
        <f>SUMIFS(Vigilancia!$E:$E,Vigilancia!$F:$F,$A87,Vigilancia!$J:$J,C$1)</f>
        <v>0</v>
      </c>
      <c r="D87" s="72">
        <f>SUMIFS(Vigilancia!$E:$E,Vigilancia!$F:$F,$A87,Vigilancia!$J:$J,D$1)</f>
        <v>0</v>
      </c>
      <c r="E87" s="393">
        <f>SUMIFS(Vigilancia!$E:$E,Vigilancia!$F:$F,$A87,Vigilancia!$J:$J,E$1)</f>
        <v>1220000</v>
      </c>
      <c r="F87" s="72">
        <f>SUMIFS(Vigilancia!$E:$E,Vigilancia!$F:$F,$A87,Vigilancia!$J:$J,F$1)</f>
        <v>0</v>
      </c>
      <c r="G87" s="72">
        <f>SUMIFS(Vigilancia!$E:$E,Vigilancia!$F:$F,$A87,Vigilancia!$J:$J,G$1)</f>
        <v>0</v>
      </c>
      <c r="H87" s="72">
        <f>SUMIFS(Vigilancia!$E:$E,Vigilancia!$F:$F,$A87,Vigilancia!$J:$J,H$1)</f>
        <v>0</v>
      </c>
      <c r="I87" s="72">
        <f>SUMIFS(Vigilancia!$E:$E,Vigilancia!$F:$F,$A87,Vigilancia!$J:$J,I$1)</f>
        <v>0</v>
      </c>
    </row>
    <row r="88" spans="1:9" x14ac:dyDescent="0.25">
      <c r="A88" s="53" t="s">
        <v>259</v>
      </c>
      <c r="B88" s="54" t="s">
        <v>261</v>
      </c>
      <c r="C88" s="72">
        <f>SUMIFS(Vigilancia!$E:$E,Vigilancia!$F:$F,$A88,Vigilancia!$J:$J,C$1)</f>
        <v>7000</v>
      </c>
      <c r="D88" s="72">
        <f>SUMIFS(Vigilancia!$E:$E,Vigilancia!$F:$F,$A88,Vigilancia!$J:$J,D$1)</f>
        <v>0</v>
      </c>
      <c r="E88" s="72">
        <f>SUMIFS(Vigilancia!$E:$E,Vigilancia!$F:$F,$A88,Vigilancia!$J:$J,E$1)</f>
        <v>0</v>
      </c>
      <c r="F88" s="72">
        <f>SUMIFS(Vigilancia!$E:$E,Vigilancia!$F:$F,$A88,Vigilancia!$J:$J,F$1)</f>
        <v>0</v>
      </c>
      <c r="G88" s="72">
        <f>SUMIFS(Vigilancia!$E:$E,Vigilancia!$F:$F,$A88,Vigilancia!$J:$J,G$1)</f>
        <v>0</v>
      </c>
      <c r="H88" s="72">
        <f>SUMIFS(Vigilancia!$E:$E,Vigilancia!$F:$F,$A88,Vigilancia!$J:$J,H$1)</f>
        <v>0</v>
      </c>
      <c r="I88" s="72">
        <f>SUMIFS(Vigilancia!$E:$E,Vigilancia!$F:$F,$A88,Vigilancia!$J:$J,I$1)</f>
        <v>0</v>
      </c>
    </row>
    <row r="89" spans="1:9" x14ac:dyDescent="0.25">
      <c r="A89" s="53" t="s">
        <v>215</v>
      </c>
      <c r="B89" s="54" t="s">
        <v>217</v>
      </c>
      <c r="C89" s="72">
        <f>SUMIFS(Vigilancia!$E:$E,Vigilancia!$F:$F,$A89,Vigilancia!$J:$J,C$1)</f>
        <v>0</v>
      </c>
      <c r="D89" s="72">
        <f>SUMIFS(Vigilancia!$E:$E,Vigilancia!$F:$F,$A89,Vigilancia!$J:$J,D$1)</f>
        <v>0</v>
      </c>
      <c r="E89" s="72">
        <f>SUMIFS(Vigilancia!$E:$E,Vigilancia!$F:$F,$A89,Vigilancia!$J:$J,E$1)</f>
        <v>0</v>
      </c>
      <c r="F89" s="72">
        <f>SUMIFS(Vigilancia!$E:$E,Vigilancia!$F:$F,$A89,Vigilancia!$J:$J,F$1)</f>
        <v>0</v>
      </c>
      <c r="G89" s="72">
        <f>SUMIFS(Vigilancia!$E:$E,Vigilancia!$F:$F,$A89,Vigilancia!$J:$J,G$1)</f>
        <v>0</v>
      </c>
      <c r="H89" s="72">
        <f>SUMIFS(Vigilancia!$E:$E,Vigilancia!$F:$F,$A89,Vigilancia!$J:$J,H$1)</f>
        <v>0</v>
      </c>
      <c r="I89" s="72">
        <f>SUMIFS(Vigilancia!$E:$E,Vigilancia!$F:$F,$A89,Vigilancia!$J:$J,I$1)</f>
        <v>0</v>
      </c>
    </row>
    <row r="90" spans="1:9" x14ac:dyDescent="0.25">
      <c r="A90" s="53" t="s">
        <v>863</v>
      </c>
      <c r="B90" s="54" t="s">
        <v>864</v>
      </c>
      <c r="C90" s="72">
        <f>SUMIFS(Vigilancia!$E:$E,Vigilancia!$F:$F,$A90,Vigilancia!$J:$J,C$1)</f>
        <v>0</v>
      </c>
      <c r="D90" s="72">
        <f>SUMIFS(Vigilancia!$E:$E,Vigilancia!$F:$F,$A90,Vigilancia!$J:$J,D$1)</f>
        <v>0</v>
      </c>
      <c r="E90" s="72">
        <f>SUMIFS(Vigilancia!$E:$E,Vigilancia!$F:$F,$A90,Vigilancia!$J:$J,E$1)</f>
        <v>0</v>
      </c>
      <c r="F90" s="72">
        <f>SUMIFS(Vigilancia!$E:$E,Vigilancia!$F:$F,$A90,Vigilancia!$J:$J,F$1)</f>
        <v>0</v>
      </c>
      <c r="G90" s="72">
        <f>SUMIFS(Vigilancia!$E:$E,Vigilancia!$F:$F,$A90,Vigilancia!$J:$J,G$1)</f>
        <v>0</v>
      </c>
      <c r="H90" s="72">
        <f>SUMIFS(Vigilancia!$E:$E,Vigilancia!$F:$F,$A90,Vigilancia!$J:$J,H$1)</f>
        <v>0</v>
      </c>
      <c r="I90" s="72">
        <f>SUMIFS(Vigilancia!$E:$E,Vigilancia!$F:$F,$A90,Vigilancia!$J:$J,I$1)</f>
        <v>0</v>
      </c>
    </row>
    <row r="91" spans="1:9" x14ac:dyDescent="0.25">
      <c r="A91" s="53" t="s">
        <v>211</v>
      </c>
      <c r="B91" s="54" t="s">
        <v>213</v>
      </c>
      <c r="C91" s="72">
        <f>SUMIFS(Vigilancia!$E:$E,Vigilancia!$F:$F,$A91,Vigilancia!$J:$J,C$1)</f>
        <v>7000</v>
      </c>
      <c r="D91" s="72">
        <f>SUMIFS(Vigilancia!$E:$E,Vigilancia!$F:$F,$A91,Vigilancia!$J:$J,D$1)</f>
        <v>0</v>
      </c>
      <c r="E91" s="72">
        <f>SUMIFS(Vigilancia!$E:$E,Vigilancia!$F:$F,$A91,Vigilancia!$J:$J,E$1)</f>
        <v>0</v>
      </c>
      <c r="F91" s="72">
        <f>SUMIFS(Vigilancia!$E:$E,Vigilancia!$F:$F,$A91,Vigilancia!$J:$J,F$1)</f>
        <v>0</v>
      </c>
      <c r="G91" s="72">
        <f>SUMIFS(Vigilancia!$E:$E,Vigilancia!$F:$F,$A91,Vigilancia!$J:$J,G$1)</f>
        <v>0</v>
      </c>
      <c r="H91" s="72">
        <f>SUMIFS(Vigilancia!$E:$E,Vigilancia!$F:$F,$A91,Vigilancia!$J:$J,H$1)</f>
        <v>0</v>
      </c>
      <c r="I91" s="72">
        <f>SUMIFS(Vigilancia!$E:$E,Vigilancia!$F:$F,$A91,Vigilancia!$J:$J,I$1)</f>
        <v>0</v>
      </c>
    </row>
    <row r="92" spans="1:9" x14ac:dyDescent="0.25">
      <c r="A92" s="53" t="s">
        <v>865</v>
      </c>
      <c r="B92" s="54" t="s">
        <v>866</v>
      </c>
      <c r="C92" s="72">
        <f>SUMIFS(Vigilancia!$E:$E,Vigilancia!$F:$F,$A92,Vigilancia!$J:$J,C$1)</f>
        <v>0</v>
      </c>
      <c r="D92" s="72">
        <f>SUMIFS(Vigilancia!$E:$E,Vigilancia!$F:$F,$A92,Vigilancia!$J:$J,D$1)</f>
        <v>0</v>
      </c>
      <c r="E92" s="72">
        <f>SUMIFS(Vigilancia!$E:$E,Vigilancia!$F:$F,$A92,Vigilancia!$J:$J,E$1)</f>
        <v>0</v>
      </c>
      <c r="F92" s="72">
        <f>SUMIFS(Vigilancia!$E:$E,Vigilancia!$F:$F,$A92,Vigilancia!$J:$J,F$1)</f>
        <v>0</v>
      </c>
      <c r="G92" s="72">
        <f>SUMIFS(Vigilancia!$E:$E,Vigilancia!$F:$F,$A92,Vigilancia!$J:$J,G$1)</f>
        <v>0</v>
      </c>
      <c r="H92" s="72">
        <f>SUMIFS(Vigilancia!$E:$E,Vigilancia!$F:$F,$A92,Vigilancia!$J:$J,H$1)</f>
        <v>0</v>
      </c>
      <c r="I92" s="72">
        <f>SUMIFS(Vigilancia!$E:$E,Vigilancia!$F:$F,$A92,Vigilancia!$J:$J,I$1)</f>
        <v>0</v>
      </c>
    </row>
    <row r="93" spans="1:9" x14ac:dyDescent="0.25">
      <c r="A93" s="53" t="s">
        <v>171</v>
      </c>
      <c r="B93" s="54" t="s">
        <v>172</v>
      </c>
      <c r="C93" s="72">
        <f>SUMIFS(Vigilancia!$E:$E,Vigilancia!$F:$F,$A93,Vigilancia!$J:$J,C$1)</f>
        <v>0</v>
      </c>
      <c r="D93" s="72">
        <f>SUMIFS(Vigilancia!$E:$E,Vigilancia!$F:$F,$A93,Vigilancia!$J:$J,D$1)</f>
        <v>0</v>
      </c>
      <c r="E93" s="72">
        <f>SUMIFS(Vigilancia!$E:$E,Vigilancia!$F:$F,$A93,Vigilancia!$J:$J,E$1)</f>
        <v>0</v>
      </c>
      <c r="F93" s="72">
        <f>SUMIFS(Vigilancia!$E:$E,Vigilancia!$F:$F,$A93,Vigilancia!$J:$J,F$1)</f>
        <v>0</v>
      </c>
      <c r="G93" s="72">
        <f>SUMIFS(Vigilancia!$E:$E,Vigilancia!$F:$F,$A93,Vigilancia!$J:$J,G$1)</f>
        <v>0</v>
      </c>
      <c r="H93" s="72">
        <f>SUMIFS(Vigilancia!$E:$E,Vigilancia!$F:$F,$A93,Vigilancia!$J:$J,H$1)</f>
        <v>0</v>
      </c>
      <c r="I93" s="72">
        <f>SUMIFS(Vigilancia!$E:$E,Vigilancia!$F:$F,$A93,Vigilancia!$J:$J,I$1)</f>
        <v>0</v>
      </c>
    </row>
    <row r="94" spans="1:9" x14ac:dyDescent="0.25">
      <c r="A94" s="53" t="s">
        <v>206</v>
      </c>
      <c r="B94" s="54" t="s">
        <v>208</v>
      </c>
      <c r="C94" s="72">
        <f>SUMIFS(Vigilancia!$E:$E,Vigilancia!$F:$F,$A94,Vigilancia!$J:$J,C$1)</f>
        <v>0</v>
      </c>
      <c r="D94" s="72">
        <f>SUMIFS(Vigilancia!$E:$E,Vigilancia!$F:$F,$A94,Vigilancia!$J:$J,D$1)</f>
        <v>0</v>
      </c>
      <c r="E94" s="72">
        <f>SUMIFS(Vigilancia!$E:$E,Vigilancia!$F:$F,$A94,Vigilancia!$J:$J,E$1)</f>
        <v>0</v>
      </c>
      <c r="F94" s="72">
        <f>SUMIFS(Vigilancia!$E:$E,Vigilancia!$F:$F,$A94,Vigilancia!$J:$J,F$1)</f>
        <v>0</v>
      </c>
      <c r="G94" s="72">
        <f>SUMIFS(Vigilancia!$E:$E,Vigilancia!$F:$F,$A94,Vigilancia!$J:$J,G$1)</f>
        <v>0</v>
      </c>
      <c r="H94" s="72">
        <f>SUMIFS(Vigilancia!$E:$E,Vigilancia!$F:$F,$A94,Vigilancia!$J:$J,H$1)</f>
        <v>0</v>
      </c>
      <c r="I94" s="72">
        <f>SUMIFS(Vigilancia!$E:$E,Vigilancia!$F:$F,$A94,Vigilancia!$J:$J,I$1)</f>
        <v>0</v>
      </c>
    </row>
    <row r="95" spans="1:9" x14ac:dyDescent="0.25">
      <c r="A95" s="53" t="s">
        <v>122</v>
      </c>
      <c r="B95" s="54" t="s">
        <v>124</v>
      </c>
      <c r="C95" s="72">
        <f>SUMIFS(Vigilancia!$E:$E,Vigilancia!$F:$F,$A95,Vigilancia!$J:$J,C$1)</f>
        <v>7000</v>
      </c>
      <c r="D95" s="72">
        <f>SUMIFS(Vigilancia!$E:$E,Vigilancia!$F:$F,$A95,Vigilancia!$J:$J,D$1)</f>
        <v>350000</v>
      </c>
      <c r="E95" s="72">
        <f>SUMIFS(Vigilancia!$E:$E,Vigilancia!$F:$F,$A95,Vigilancia!$J:$J,E$1)</f>
        <v>0</v>
      </c>
      <c r="F95" s="72">
        <f>SUMIFS(Vigilancia!$E:$E,Vigilancia!$F:$F,$A95,Vigilancia!$J:$J,F$1)</f>
        <v>0</v>
      </c>
      <c r="G95" s="72">
        <f>SUMIFS(Vigilancia!$E:$E,Vigilancia!$F:$F,$A95,Vigilancia!$J:$J,G$1)</f>
        <v>0</v>
      </c>
      <c r="H95" s="72">
        <f>SUMIFS(Vigilancia!$E:$E,Vigilancia!$F:$F,$A95,Vigilancia!$J:$J,H$1)</f>
        <v>0</v>
      </c>
      <c r="I95" s="72">
        <f>SUMIFS(Vigilancia!$E:$E,Vigilancia!$F:$F,$A95,Vigilancia!$J:$J,I$1)</f>
        <v>0</v>
      </c>
    </row>
    <row r="96" spans="1:9" ht="15.75" thickBot="1" x14ac:dyDescent="0.3">
      <c r="A96" s="192" t="s">
        <v>40</v>
      </c>
      <c r="B96" s="190" t="s">
        <v>42</v>
      </c>
      <c r="C96" s="72">
        <f>SUMIFS(Vigilancia!$E:$E,Vigilancia!$F:$F,$A96,Vigilancia!$J:$J,C$1)</f>
        <v>7000</v>
      </c>
      <c r="D96" s="72">
        <f>SUMIFS(Vigilancia!$E:$E,Vigilancia!$F:$F,$A96,Vigilancia!$J:$J,D$1)</f>
        <v>360000</v>
      </c>
      <c r="E96" s="393">
        <f>SUMIFS(Vigilancia!$E:$E,Vigilancia!$F:$F,$A96,Vigilancia!$J:$J,E$1)</f>
        <v>1220000</v>
      </c>
      <c r="F96" s="72">
        <f>SUMIFS(Vigilancia!$E:$E,Vigilancia!$F:$F,$A96,Vigilancia!$J:$J,F$1)</f>
        <v>0</v>
      </c>
      <c r="G96" s="72">
        <f>SUMIFS(Vigilancia!$E:$E,Vigilancia!$F:$F,$A96,Vigilancia!$J:$J,G$1)</f>
        <v>0</v>
      </c>
      <c r="H96" s="72">
        <f>SUMIFS(Vigilancia!$E:$E,Vigilancia!$F:$F,$A96,Vigilancia!$J:$J,H$1)</f>
        <v>0</v>
      </c>
      <c r="I96" s="72">
        <f>SUMIFS(Vigilancia!$E:$E,Vigilancia!$F:$F,$A96,Vigilancia!$J:$J,I$1)</f>
        <v>0</v>
      </c>
    </row>
    <row r="97" spans="1:10" x14ac:dyDescent="0.25">
      <c r="A97" s="163" t="s">
        <v>152</v>
      </c>
      <c r="B97" s="164" t="s">
        <v>154</v>
      </c>
      <c r="C97" s="165">
        <f>SUMIFS(Vigilancia!$E:$E,Vigilancia!$F:$F,$A97,Vigilancia!$J:$J,C$1)</f>
        <v>7000</v>
      </c>
      <c r="D97" s="165">
        <f>SUMIFS(Vigilancia!$E:$E,Vigilancia!$F:$F,$A97,Vigilancia!$J:$J,D$1)</f>
        <v>0</v>
      </c>
      <c r="E97" s="165">
        <f>SUMIFS(Vigilancia!$E:$E,Vigilancia!$F:$F,$A97,Vigilancia!$J:$J,E$1)</f>
        <v>0</v>
      </c>
      <c r="F97" s="194">
        <f>SUMIFS(Vigilancia!$E:$E,Vigilancia!$F:$F,$A97,Vigilancia!$J:$J,F$1)</f>
        <v>0</v>
      </c>
      <c r="G97" s="165">
        <f>SUMIFS(Vigilancia!$E:$E,Vigilancia!$F:$F,$A97,Vigilancia!$J:$J,G$1)</f>
        <v>0</v>
      </c>
      <c r="H97" s="165">
        <f>SUMIFS(Vigilancia!$E:$E,Vigilancia!$F:$F,$A97,Vigilancia!$J:$J,H$1)</f>
        <v>0</v>
      </c>
      <c r="I97" s="305">
        <f>SUMIFS(Vigilancia!$E:$E,Vigilancia!$F:$F,$A97,Vigilancia!$J:$J,I$1)</f>
        <v>0</v>
      </c>
      <c r="J97" s="306"/>
    </row>
    <row r="98" spans="1:10" ht="15.75" thickBot="1" x14ac:dyDescent="0.3">
      <c r="A98" s="53" t="s">
        <v>714</v>
      </c>
      <c r="B98" s="54" t="s">
        <v>154</v>
      </c>
      <c r="C98" s="72">
        <f>SUMIFS(Vigilancia!$E:$E,Vigilancia!$F:$F,$A98,Vigilancia!$J:$J,C$1)</f>
        <v>0</v>
      </c>
      <c r="D98" s="72">
        <f>SUMIFS(Vigilancia!$E:$E,Vigilancia!$F:$F,$A98,Vigilancia!$J:$J,D$1)</f>
        <v>350000</v>
      </c>
      <c r="E98" s="393">
        <f>SUMIFS(Vigilancia!$E:$E,Vigilancia!$F:$F,$A98,Vigilancia!$J:$J,E$1)</f>
        <v>1220000</v>
      </c>
      <c r="F98" s="189">
        <f>SUMIFS(Vigilancia!$E:$E,Vigilancia!$F:$F,$A98,Vigilancia!$J:$J,F$1)</f>
        <v>0</v>
      </c>
      <c r="G98" s="72">
        <f>SUMIFS(Vigilancia!$E:$E,Vigilancia!$F:$F,$A98,Vigilancia!$J:$J,G$1)</f>
        <v>0</v>
      </c>
      <c r="H98" s="72">
        <f>SUMIFS(Vigilancia!$E:$E,Vigilancia!$F:$F,$A98,Vigilancia!$J:$J,H$1)</f>
        <v>0</v>
      </c>
      <c r="I98" s="304">
        <f>SUMIFS(Vigilancia!$E:$E,Vigilancia!$F:$F,$A98,Vigilancia!$J:$J,I$1)</f>
        <v>0</v>
      </c>
      <c r="J98" s="308"/>
    </row>
    <row r="99" spans="1:10" x14ac:dyDescent="0.25">
      <c r="A99" s="193" t="s">
        <v>185</v>
      </c>
      <c r="B99" s="191" t="s">
        <v>187</v>
      </c>
      <c r="C99" s="72">
        <f>SUMIFS(Vigilancia!$E:$E,Vigilancia!$F:$F,$A99,Vigilancia!$J:$J,C$1)</f>
        <v>7000</v>
      </c>
      <c r="D99" s="72">
        <f>SUMIFS(Vigilancia!$E:$E,Vigilancia!$F:$F,$A99,Vigilancia!$J:$J,D$1)</f>
        <v>350000</v>
      </c>
      <c r="E99" s="393">
        <f>SUMIFS(Vigilancia!$E:$E,Vigilancia!$F:$F,$A99,Vigilancia!$J:$J,E$1)</f>
        <v>1220000</v>
      </c>
      <c r="F99" s="72">
        <f>SUMIFS(Vigilancia!$E:$E,Vigilancia!$F:$F,$A99,Vigilancia!$J:$J,F$1)</f>
        <v>0</v>
      </c>
      <c r="G99" s="72">
        <f>SUMIFS(Vigilancia!$E:$E,Vigilancia!$F:$F,$A99,Vigilancia!$J:$J,G$1)</f>
        <v>0</v>
      </c>
      <c r="H99" s="72">
        <f>SUMIFS(Vigilancia!$E:$E,Vigilancia!$F:$F,$A99,Vigilancia!$J:$J,H$1)</f>
        <v>0</v>
      </c>
      <c r="I99" s="72">
        <f>SUMIFS(Vigilancia!$E:$E,Vigilancia!$F:$F,$A99,Vigilancia!$J:$J,I$1)</f>
        <v>0</v>
      </c>
    </row>
    <row r="100" spans="1:10" x14ac:dyDescent="0.25">
      <c r="A100" s="53" t="s">
        <v>291</v>
      </c>
      <c r="B100" s="54" t="s">
        <v>293</v>
      </c>
      <c r="C100" s="72">
        <f>SUMIFS(Vigilancia!$E:$E,Vigilancia!$F:$F,$A100,Vigilancia!$J:$J,C$1)</f>
        <v>5000</v>
      </c>
      <c r="D100" s="72">
        <f>SUMIFS(Vigilancia!$E:$E,Vigilancia!$F:$F,$A100,Vigilancia!$J:$J,D$1)</f>
        <v>0</v>
      </c>
      <c r="E100" s="393">
        <f>SUMIFS(Vigilancia!$E:$E,Vigilancia!$F:$F,$A100,Vigilancia!$J:$J,E$1)</f>
        <v>1220000</v>
      </c>
      <c r="F100" s="72">
        <f>SUMIFS(Vigilancia!$E:$E,Vigilancia!$F:$F,$A100,Vigilancia!$J:$J,F$1)</f>
        <v>0</v>
      </c>
      <c r="G100" s="72">
        <f>SUMIFS(Vigilancia!$E:$E,Vigilancia!$F:$F,$A100,Vigilancia!$J:$J,G$1)</f>
        <v>0</v>
      </c>
      <c r="H100" s="72">
        <f>SUMIFS(Vigilancia!$E:$E,Vigilancia!$F:$F,$A100,Vigilancia!$J:$J,H$1)</f>
        <v>0</v>
      </c>
      <c r="I100" s="72">
        <f>SUMIFS(Vigilancia!$E:$E,Vigilancia!$F:$F,$A100,Vigilancia!$J:$J,I$1)</f>
        <v>0</v>
      </c>
    </row>
    <row r="101" spans="1:10" x14ac:dyDescent="0.25">
      <c r="A101" s="53" t="s">
        <v>287</v>
      </c>
      <c r="B101" s="54" t="s">
        <v>289</v>
      </c>
      <c r="C101" s="72">
        <f>SUMIFS(Vigilancia!$E:$E,Vigilancia!$F:$F,$A101,Vigilancia!$J:$J,C$1)</f>
        <v>7000</v>
      </c>
      <c r="D101" s="72">
        <f>SUMIFS(Vigilancia!$E:$E,Vigilancia!$F:$F,$A101,Vigilancia!$J:$J,D$1)</f>
        <v>350000</v>
      </c>
      <c r="E101" s="393">
        <f>SUMIFS(Vigilancia!$E:$E,Vigilancia!$F:$F,$A101,Vigilancia!$J:$J,E$1)</f>
        <v>1220000</v>
      </c>
      <c r="F101" s="72">
        <f>SUMIFS(Vigilancia!$E:$E,Vigilancia!$F:$F,$A101,Vigilancia!$J:$J,F$1)</f>
        <v>0</v>
      </c>
      <c r="G101" s="72">
        <f>SUMIFS(Vigilancia!$E:$E,Vigilancia!$F:$F,$A101,Vigilancia!$J:$J,G$1)</f>
        <v>0</v>
      </c>
      <c r="H101" s="72">
        <f>SUMIFS(Vigilancia!$E:$E,Vigilancia!$F:$F,$A101,Vigilancia!$J:$J,H$1)</f>
        <v>0</v>
      </c>
      <c r="I101" s="72">
        <f>SUMIFS(Vigilancia!$E:$E,Vigilancia!$F:$F,$A101,Vigilancia!$J:$J,I$1)</f>
        <v>0</v>
      </c>
    </row>
    <row r="102" spans="1:10" x14ac:dyDescent="0.25">
      <c r="A102" s="53" t="s">
        <v>537</v>
      </c>
      <c r="B102" s="54" t="s">
        <v>539</v>
      </c>
      <c r="C102" s="72">
        <f>SUMIFS(Vigilancia!$E:$E,Vigilancia!$F:$F,$A102,Vigilancia!$J:$J,C$1)</f>
        <v>0</v>
      </c>
      <c r="D102" s="72">
        <f>SUMIFS(Vigilancia!$E:$E,Vigilancia!$F:$F,$A102,Vigilancia!$J:$J,D$1)</f>
        <v>0</v>
      </c>
      <c r="E102" s="393">
        <f>SUMIFS(Vigilancia!$E:$E,Vigilancia!$F:$F,$A102,Vigilancia!$J:$J,E$1)</f>
        <v>0</v>
      </c>
      <c r="F102" s="72">
        <f>SUMIFS(Vigilancia!$E:$E,Vigilancia!$F:$F,$A102,Vigilancia!$J:$J,F$1)</f>
        <v>0</v>
      </c>
      <c r="G102" s="72">
        <f>SUMIFS(Vigilancia!$E:$E,Vigilancia!$F:$F,$A102,Vigilancia!$J:$J,G$1)</f>
        <v>0</v>
      </c>
      <c r="H102" s="72">
        <f>SUMIFS(Vigilancia!$E:$E,Vigilancia!$F:$F,$A102,Vigilancia!$J:$J,H$1)</f>
        <v>0</v>
      </c>
      <c r="I102" s="72">
        <f>SUMIFS(Vigilancia!$E:$E,Vigilancia!$F:$F,$A102,Vigilancia!$J:$J,I$1)</f>
        <v>0</v>
      </c>
    </row>
    <row r="103" spans="1:10" x14ac:dyDescent="0.25">
      <c r="A103" s="53" t="s">
        <v>402</v>
      </c>
      <c r="B103" s="54" t="s">
        <v>404</v>
      </c>
      <c r="C103" s="72">
        <f>SUMIFS(Vigilancia!$E:$E,Vigilancia!$F:$F,$A103,Vigilancia!$J:$J,C$1)</f>
        <v>0</v>
      </c>
      <c r="D103" s="72">
        <f>SUMIFS(Vigilancia!$E:$E,Vigilancia!$F:$F,$A103,Vigilancia!$J:$J,D$1)</f>
        <v>0</v>
      </c>
      <c r="E103" s="393">
        <f>SUMIFS(Vigilancia!$E:$E,Vigilancia!$F:$F,$A103,Vigilancia!$J:$J,E$1)</f>
        <v>0</v>
      </c>
      <c r="F103" s="72">
        <f>SUMIFS(Vigilancia!$E:$E,Vigilancia!$F:$F,$A103,Vigilancia!$J:$J,F$1)</f>
        <v>0</v>
      </c>
      <c r="G103" s="72">
        <f>SUMIFS(Vigilancia!$E:$E,Vigilancia!$F:$F,$A103,Vigilancia!$J:$J,G$1)</f>
        <v>0</v>
      </c>
      <c r="H103" s="72">
        <f>SUMIFS(Vigilancia!$E:$E,Vigilancia!$F:$F,$A103,Vigilancia!$J:$J,H$1)</f>
        <v>0</v>
      </c>
      <c r="I103" s="72">
        <f>SUMIFS(Vigilancia!$E:$E,Vigilancia!$F:$F,$A103,Vigilancia!$J:$J,I$1)</f>
        <v>0</v>
      </c>
    </row>
    <row r="104" spans="1:10" x14ac:dyDescent="0.25">
      <c r="A104" s="53" t="s">
        <v>472</v>
      </c>
      <c r="B104" s="54" t="s">
        <v>473</v>
      </c>
      <c r="C104" s="72">
        <f>SUMIFS(Vigilancia!$E:$E,Vigilancia!$F:$F,$A104,Vigilancia!$J:$J,C$1)</f>
        <v>5000</v>
      </c>
      <c r="D104" s="72">
        <f>SUMIFS(Vigilancia!$E:$E,Vigilancia!$F:$F,$A104,Vigilancia!$J:$J,D$1)</f>
        <v>0</v>
      </c>
      <c r="E104" s="393">
        <f>SUMIFS(Vigilancia!$E:$E,Vigilancia!$F:$F,$A104,Vigilancia!$J:$J,E$1)</f>
        <v>0</v>
      </c>
      <c r="F104" s="72">
        <f>SUMIFS(Vigilancia!$E:$E,Vigilancia!$F:$F,$A104,Vigilancia!$J:$J,F$1)</f>
        <v>0</v>
      </c>
      <c r="G104" s="72">
        <f>SUMIFS(Vigilancia!$E:$E,Vigilancia!$F:$F,$A104,Vigilancia!$J:$J,G$1)</f>
        <v>0</v>
      </c>
      <c r="H104" s="72">
        <f>SUMIFS(Vigilancia!$E:$E,Vigilancia!$F:$F,$A104,Vigilancia!$J:$J,H$1)</f>
        <v>0</v>
      </c>
      <c r="I104" s="72">
        <f>SUMIFS(Vigilancia!$E:$E,Vigilancia!$F:$F,$A104,Vigilancia!$J:$J,I$1)</f>
        <v>0</v>
      </c>
    </row>
    <row r="105" spans="1:10" x14ac:dyDescent="0.25">
      <c r="A105" s="53" t="s">
        <v>418</v>
      </c>
      <c r="B105" s="54" t="s">
        <v>420</v>
      </c>
      <c r="C105" s="72">
        <f>SUMIFS(Vigilancia!$E:$E,Vigilancia!$F:$F,$A105,Vigilancia!$J:$J,C$1)</f>
        <v>7000</v>
      </c>
      <c r="D105" s="72">
        <f>SUMIFS(Vigilancia!$E:$E,Vigilancia!$F:$F,$A105,Vigilancia!$J:$J,D$1)</f>
        <v>0</v>
      </c>
      <c r="E105" s="393">
        <f>SUMIFS(Vigilancia!$E:$E,Vigilancia!$F:$F,$A105,Vigilancia!$J:$J,E$1)</f>
        <v>0</v>
      </c>
      <c r="F105" s="72">
        <f>SUMIFS(Vigilancia!$E:$E,Vigilancia!$F:$F,$A105,Vigilancia!$J:$J,F$1)</f>
        <v>0</v>
      </c>
      <c r="G105" s="72">
        <f>SUMIFS(Vigilancia!$E:$E,Vigilancia!$F:$F,$A105,Vigilancia!$J:$J,G$1)</f>
        <v>0</v>
      </c>
      <c r="H105" s="72">
        <f>SUMIFS(Vigilancia!$E:$E,Vigilancia!$F:$F,$A105,Vigilancia!$J:$J,H$1)</f>
        <v>0</v>
      </c>
      <c r="I105" s="72">
        <f>SUMIFS(Vigilancia!$E:$E,Vigilancia!$F:$F,$A105,Vigilancia!$J:$J,I$1)</f>
        <v>0</v>
      </c>
    </row>
    <row r="106" spans="1:10" x14ac:dyDescent="0.25">
      <c r="A106" s="53" t="s">
        <v>408</v>
      </c>
      <c r="B106" s="54" t="s">
        <v>410</v>
      </c>
      <c r="C106" s="72">
        <f>SUMIFS(Vigilancia!$E:$E,Vigilancia!$F:$F,$A106,Vigilancia!$J:$J,C$1)</f>
        <v>7000</v>
      </c>
      <c r="D106" s="72">
        <f>SUMIFS(Vigilancia!$E:$E,Vigilancia!$F:$F,$A106,Vigilancia!$J:$J,D$1)</f>
        <v>0</v>
      </c>
      <c r="E106" s="393">
        <f>SUMIFS(Vigilancia!$E:$E,Vigilancia!$F:$F,$A106,Vigilancia!$J:$J,E$1)</f>
        <v>1220000</v>
      </c>
      <c r="F106" s="72">
        <f>SUMIFS(Vigilancia!$E:$E,Vigilancia!$F:$F,$A106,Vigilancia!$J:$J,F$1)</f>
        <v>0</v>
      </c>
      <c r="G106" s="72">
        <f>SUMIFS(Vigilancia!$E:$E,Vigilancia!$F:$F,$A106,Vigilancia!$J:$J,G$1)</f>
        <v>0</v>
      </c>
      <c r="H106" s="72">
        <f>SUMIFS(Vigilancia!$E:$E,Vigilancia!$F:$F,$A106,Vigilancia!$J:$J,H$1)</f>
        <v>0</v>
      </c>
      <c r="I106" s="72">
        <f>SUMIFS(Vigilancia!$E:$E,Vigilancia!$F:$F,$A106,Vigilancia!$J:$J,I$1)</f>
        <v>0</v>
      </c>
    </row>
    <row r="107" spans="1:10" x14ac:dyDescent="0.25">
      <c r="A107" s="53" t="s">
        <v>280</v>
      </c>
      <c r="B107" s="54" t="s">
        <v>282</v>
      </c>
      <c r="C107" s="72">
        <f>SUMIFS(Vigilancia!$E:$E,Vigilancia!$F:$F,$A107,Vigilancia!$J:$J,C$1)</f>
        <v>0</v>
      </c>
      <c r="D107" s="72">
        <f>SUMIFS(Vigilancia!$E:$E,Vigilancia!$F:$F,$A107,Vigilancia!$J:$J,D$1)</f>
        <v>350000</v>
      </c>
      <c r="E107" s="393">
        <f>SUMIFS(Vigilancia!$E:$E,Vigilancia!$F:$F,$A107,Vigilancia!$J:$J,E$1)</f>
        <v>1220000</v>
      </c>
      <c r="F107" s="72">
        <f>SUMIFS(Vigilancia!$E:$E,Vigilancia!$F:$F,$A107,Vigilancia!$J:$J,F$1)</f>
        <v>0</v>
      </c>
      <c r="G107" s="72">
        <f>SUMIFS(Vigilancia!$E:$E,Vigilancia!$F:$F,$A107,Vigilancia!$J:$J,G$1)</f>
        <v>0</v>
      </c>
      <c r="H107" s="72">
        <f>SUMIFS(Vigilancia!$E:$E,Vigilancia!$F:$F,$A107,Vigilancia!$J:$J,H$1)</f>
        <v>0</v>
      </c>
      <c r="I107" s="72">
        <f>SUMIFS(Vigilancia!$E:$E,Vigilancia!$F:$F,$A107,Vigilancia!$J:$J,I$1)</f>
        <v>0</v>
      </c>
    </row>
    <row r="108" spans="1:10" x14ac:dyDescent="0.25">
      <c r="A108" s="53" t="s">
        <v>558</v>
      </c>
      <c r="B108" s="54" t="s">
        <v>560</v>
      </c>
      <c r="C108" s="72">
        <f>SUMIFS(Vigilancia!$E:$E,Vigilancia!$F:$F,$A108,Vigilancia!$J:$J,C$1)</f>
        <v>0</v>
      </c>
      <c r="D108" s="72">
        <f>SUMIFS(Vigilancia!$E:$E,Vigilancia!$F:$F,$A108,Vigilancia!$J:$J,D$1)</f>
        <v>410000</v>
      </c>
      <c r="E108" s="393">
        <f>SUMIFS(Vigilancia!$E:$E,Vigilancia!$F:$F,$A108,Vigilancia!$J:$J,E$1)</f>
        <v>1220000</v>
      </c>
      <c r="F108" s="72">
        <f>SUMIFS(Vigilancia!$E:$E,Vigilancia!$F:$F,$A108,Vigilancia!$J:$J,F$1)</f>
        <v>0</v>
      </c>
      <c r="G108" s="72">
        <f>SUMIFS(Vigilancia!$E:$E,Vigilancia!$F:$F,$A108,Vigilancia!$J:$J,G$1)</f>
        <v>0</v>
      </c>
      <c r="H108" s="72">
        <f>SUMIFS(Vigilancia!$E:$E,Vigilancia!$F:$F,$A108,Vigilancia!$J:$J,H$1)</f>
        <v>0</v>
      </c>
      <c r="I108" s="72">
        <f>SUMIFS(Vigilancia!$E:$E,Vigilancia!$F:$F,$A108,Vigilancia!$J:$J,I$1)</f>
        <v>0</v>
      </c>
    </row>
    <row r="109" spans="1:10" x14ac:dyDescent="0.25">
      <c r="A109" s="53" t="s">
        <v>36</v>
      </c>
      <c r="B109" s="54" t="s">
        <v>38</v>
      </c>
      <c r="C109" s="72">
        <f>SUMIFS(Vigilancia!$E:$E,Vigilancia!$F:$F,$A109,Vigilancia!$J:$J,C$1)</f>
        <v>7000</v>
      </c>
      <c r="D109" s="72">
        <f>SUMIFS(Vigilancia!$E:$E,Vigilancia!$F:$F,$A109,Vigilancia!$J:$J,D$1)</f>
        <v>350000</v>
      </c>
      <c r="E109" s="393">
        <f>SUMIFS(Vigilancia!$E:$E,Vigilancia!$F:$F,$A109,Vigilancia!$J:$J,E$1)</f>
        <v>1220000</v>
      </c>
      <c r="F109" s="72">
        <f>SUMIFS(Vigilancia!$E:$E,Vigilancia!$F:$F,$A109,Vigilancia!$J:$J,F$1)</f>
        <v>0</v>
      </c>
      <c r="G109" s="72">
        <f>SUMIFS(Vigilancia!$E:$E,Vigilancia!$F:$F,$A109,Vigilancia!$J:$J,G$1)</f>
        <v>0</v>
      </c>
      <c r="H109" s="72">
        <f>SUMIFS(Vigilancia!$E:$E,Vigilancia!$F:$F,$A109,Vigilancia!$J:$J,H$1)</f>
        <v>0</v>
      </c>
      <c r="I109" s="72">
        <f>SUMIFS(Vigilancia!$E:$E,Vigilancia!$F:$F,$A109,Vigilancia!$J:$J,I$1)</f>
        <v>0</v>
      </c>
    </row>
    <row r="110" spans="1:10" x14ac:dyDescent="0.25">
      <c r="A110" s="53" t="s">
        <v>867</v>
      </c>
      <c r="B110" s="54" t="s">
        <v>868</v>
      </c>
      <c r="C110" s="72">
        <f>SUMIFS(Vigilancia!$E:$E,Vigilancia!$F:$F,$A110,Vigilancia!$J:$J,C$1)</f>
        <v>0</v>
      </c>
      <c r="D110" s="72">
        <f>SUMIFS(Vigilancia!$E:$E,Vigilancia!$F:$F,$A110,Vigilancia!$J:$J,D$1)</f>
        <v>0</v>
      </c>
      <c r="E110" s="72">
        <f>SUMIFS(Vigilancia!$E:$E,Vigilancia!$F:$F,$A110,Vigilancia!$J:$J,E$1)</f>
        <v>0</v>
      </c>
      <c r="F110" s="72">
        <f>SUMIFS(Vigilancia!$E:$E,Vigilancia!$F:$F,$A110,Vigilancia!$J:$J,F$1)</f>
        <v>0</v>
      </c>
      <c r="G110" s="72">
        <f>SUMIFS(Vigilancia!$E:$E,Vigilancia!$F:$F,$A110,Vigilancia!$J:$J,G$1)</f>
        <v>0</v>
      </c>
      <c r="H110" s="72">
        <f>SUMIFS(Vigilancia!$E:$E,Vigilancia!$F:$F,$A110,Vigilancia!$J:$J,H$1)</f>
        <v>0</v>
      </c>
      <c r="I110" s="72">
        <f>SUMIFS(Vigilancia!$E:$E,Vigilancia!$F:$F,$A110,Vigilancia!$J:$J,I$1)</f>
        <v>0</v>
      </c>
    </row>
    <row r="111" spans="1:10" x14ac:dyDescent="0.25">
      <c r="A111" s="53" t="s">
        <v>484</v>
      </c>
      <c r="B111" s="54" t="s">
        <v>486</v>
      </c>
      <c r="C111" s="72">
        <f>SUMIFS(Vigilancia!$E:$E,Vigilancia!$F:$F,$A111,Vigilancia!$J:$J,C$1)</f>
        <v>4000</v>
      </c>
      <c r="D111" s="72">
        <f>SUMIFS(Vigilancia!$E:$E,Vigilancia!$F:$F,$A111,Vigilancia!$J:$J,D$1)</f>
        <v>0</v>
      </c>
      <c r="E111" s="72">
        <f>SUMIFS(Vigilancia!$E:$E,Vigilancia!$F:$F,$A111,Vigilancia!$J:$J,E$1)</f>
        <v>0</v>
      </c>
      <c r="F111" s="72">
        <f>SUMIFS(Vigilancia!$E:$E,Vigilancia!$F:$F,$A111,Vigilancia!$J:$J,F$1)</f>
        <v>0</v>
      </c>
      <c r="G111" s="72">
        <f>SUMIFS(Vigilancia!$E:$E,Vigilancia!$F:$F,$A111,Vigilancia!$J:$J,G$1)</f>
        <v>0</v>
      </c>
      <c r="H111" s="72">
        <f>SUMIFS(Vigilancia!$E:$E,Vigilancia!$F:$F,$A111,Vigilancia!$J:$J,H$1)</f>
        <v>0</v>
      </c>
      <c r="I111" s="72">
        <f>SUMIFS(Vigilancia!$E:$E,Vigilancia!$F:$F,$A111,Vigilancia!$J:$J,I$1)</f>
        <v>0</v>
      </c>
    </row>
    <row r="112" spans="1:10" x14ac:dyDescent="0.25">
      <c r="A112" s="53" t="s">
        <v>372</v>
      </c>
      <c r="B112" s="54" t="s">
        <v>374</v>
      </c>
      <c r="C112" s="72">
        <f>SUMIFS(Vigilancia!$E:$E,Vigilancia!$F:$F,$A112,Vigilancia!$J:$J,C$1)</f>
        <v>0</v>
      </c>
      <c r="D112" s="72">
        <f>SUMIFS(Vigilancia!$E:$E,Vigilancia!$F:$F,$A112,Vigilancia!$J:$J,D$1)</f>
        <v>0</v>
      </c>
      <c r="E112" s="72">
        <f>SUMIFS(Vigilancia!$E:$E,Vigilancia!$F:$F,$A112,Vigilancia!$J:$J,E$1)</f>
        <v>0</v>
      </c>
      <c r="F112" s="72">
        <f>SUMIFS(Vigilancia!$E:$E,Vigilancia!$F:$F,$A112,Vigilancia!$J:$J,F$1)</f>
        <v>0</v>
      </c>
      <c r="G112" s="72">
        <f>SUMIFS(Vigilancia!$E:$E,Vigilancia!$F:$F,$A112,Vigilancia!$J:$J,G$1)</f>
        <v>0</v>
      </c>
      <c r="H112" s="72">
        <f>SUMIFS(Vigilancia!$E:$E,Vigilancia!$F:$F,$A112,Vigilancia!$J:$J,H$1)</f>
        <v>0</v>
      </c>
      <c r="I112" s="72">
        <f>SUMIFS(Vigilancia!$E:$E,Vigilancia!$F:$F,$A112,Vigilancia!$J:$J,I$1)</f>
        <v>0</v>
      </c>
    </row>
    <row r="113" spans="1:10" x14ac:dyDescent="0.25">
      <c r="A113" s="53" t="s">
        <v>413</v>
      </c>
      <c r="B113" s="54" t="s">
        <v>415</v>
      </c>
      <c r="C113" s="72">
        <f>SUMIFS(Vigilancia!$E:$E,Vigilancia!$F:$F,$A113,Vigilancia!$J:$J,C$1)</f>
        <v>0</v>
      </c>
      <c r="D113" s="72">
        <f>SUMIFS(Vigilancia!$E:$E,Vigilancia!$F:$F,$A113,Vigilancia!$J:$J,D$1)</f>
        <v>300000</v>
      </c>
      <c r="E113" s="393">
        <f>SUMIFS(Vigilancia!$E:$E,Vigilancia!$F:$F,$A113,Vigilancia!$J:$J,E$1)</f>
        <v>500000</v>
      </c>
      <c r="F113" s="72">
        <f>SUMIFS(Vigilancia!$E:$E,Vigilancia!$F:$F,$A113,Vigilancia!$J:$J,F$1)</f>
        <v>0</v>
      </c>
      <c r="G113" s="72">
        <f>SUMIFS(Vigilancia!$E:$E,Vigilancia!$F:$F,$A113,Vigilancia!$J:$J,G$1)</f>
        <v>0</v>
      </c>
      <c r="H113" s="72">
        <f>SUMIFS(Vigilancia!$E:$E,Vigilancia!$F:$F,$A113,Vigilancia!$J:$J,H$1)</f>
        <v>0</v>
      </c>
      <c r="I113" s="72">
        <f>SUMIFS(Vigilancia!$E:$E,Vigilancia!$F:$F,$A113,Vigilancia!$J:$J,I$1)</f>
        <v>0</v>
      </c>
    </row>
    <row r="114" spans="1:10" x14ac:dyDescent="0.25">
      <c r="A114" s="53" t="s">
        <v>869</v>
      </c>
      <c r="B114" s="54" t="s">
        <v>870</v>
      </c>
      <c r="C114" s="72">
        <f>SUMIFS(Vigilancia!$E:$E,Vigilancia!$F:$F,$A114,Vigilancia!$J:$J,C$1)</f>
        <v>0</v>
      </c>
      <c r="D114" s="72">
        <f>SUMIFS(Vigilancia!$E:$E,Vigilancia!$F:$F,$A114,Vigilancia!$J:$J,D$1)</f>
        <v>0</v>
      </c>
      <c r="E114" s="393">
        <f>SUMIFS(Vigilancia!$E:$E,Vigilancia!$F:$F,$A114,Vigilancia!$J:$J,E$1)</f>
        <v>0</v>
      </c>
      <c r="F114" s="72">
        <f>SUMIFS(Vigilancia!$E:$E,Vigilancia!$F:$F,$A114,Vigilancia!$J:$J,F$1)</f>
        <v>0</v>
      </c>
      <c r="G114" s="72">
        <f>SUMIFS(Vigilancia!$E:$E,Vigilancia!$F:$F,$A114,Vigilancia!$J:$J,G$1)</f>
        <v>0</v>
      </c>
      <c r="H114" s="72">
        <f>SUMIFS(Vigilancia!$E:$E,Vigilancia!$F:$F,$A114,Vigilancia!$J:$J,H$1)</f>
        <v>0</v>
      </c>
      <c r="I114" s="72">
        <f>SUMIFS(Vigilancia!$E:$E,Vigilancia!$F:$F,$A114,Vigilancia!$J:$J,I$1)</f>
        <v>0</v>
      </c>
    </row>
    <row r="115" spans="1:10" x14ac:dyDescent="0.25">
      <c r="A115" s="53" t="s">
        <v>219</v>
      </c>
      <c r="B115" s="54" t="s">
        <v>221</v>
      </c>
      <c r="C115" s="72">
        <f>SUMIFS(Vigilancia!$E:$E,Vigilancia!$F:$F,$A115,Vigilancia!$J:$J,C$1)</f>
        <v>7000</v>
      </c>
      <c r="D115" s="72">
        <f>SUMIFS(Vigilancia!$E:$E,Vigilancia!$F:$F,$A115,Vigilancia!$J:$J,D$1)</f>
        <v>0</v>
      </c>
      <c r="E115" s="393">
        <f>SUMIFS(Vigilancia!$E:$E,Vigilancia!$F:$F,$A115,Vigilancia!$J:$J,E$1)</f>
        <v>1220000</v>
      </c>
      <c r="F115" s="72">
        <f>SUMIFS(Vigilancia!$E:$E,Vigilancia!$F:$F,$A115,Vigilancia!$J:$J,F$1)</f>
        <v>0</v>
      </c>
      <c r="G115" s="72">
        <f>SUMIFS(Vigilancia!$E:$E,Vigilancia!$F:$F,$A115,Vigilancia!$J:$J,G$1)</f>
        <v>0</v>
      </c>
      <c r="H115" s="72">
        <f>SUMIFS(Vigilancia!$E:$E,Vigilancia!$F:$F,$A115,Vigilancia!$J:$J,H$1)</f>
        <v>0</v>
      </c>
      <c r="I115" s="72">
        <f>SUMIFS(Vigilancia!$E:$E,Vigilancia!$F:$F,$A115,Vigilancia!$J:$J,I$1)</f>
        <v>0</v>
      </c>
    </row>
    <row r="116" spans="1:10" x14ac:dyDescent="0.25">
      <c r="A116" s="53" t="s">
        <v>181</v>
      </c>
      <c r="B116" s="54" t="s">
        <v>183</v>
      </c>
      <c r="C116" s="72">
        <f>SUMIFS(Vigilancia!$E:$E,Vigilancia!$F:$F,$A116,Vigilancia!$J:$J,C$1)</f>
        <v>7000</v>
      </c>
      <c r="D116" s="72">
        <f>SUMIFS(Vigilancia!$E:$E,Vigilancia!$F:$F,$A116,Vigilancia!$J:$J,D$1)</f>
        <v>350000</v>
      </c>
      <c r="E116" s="393">
        <f>SUMIFS(Vigilancia!$E:$E,Vigilancia!$F:$F,$A116,Vigilancia!$J:$J,E$1)</f>
        <v>1220000</v>
      </c>
      <c r="F116" s="72">
        <f>SUMIFS(Vigilancia!$E:$E,Vigilancia!$F:$F,$A116,Vigilancia!$J:$J,F$1)</f>
        <v>0</v>
      </c>
      <c r="G116" s="72">
        <f>SUMIFS(Vigilancia!$E:$E,Vigilancia!$F:$F,$A116,Vigilancia!$J:$J,G$1)</f>
        <v>0</v>
      </c>
      <c r="H116" s="72">
        <f>SUMIFS(Vigilancia!$E:$E,Vigilancia!$F:$F,$A116,Vigilancia!$J:$J,H$1)</f>
        <v>0</v>
      </c>
      <c r="I116" s="72">
        <f>SUMIFS(Vigilancia!$E:$E,Vigilancia!$F:$F,$A116,Vigilancia!$J:$J,I$1)</f>
        <v>0</v>
      </c>
    </row>
    <row r="117" spans="1:10" ht="15.75" thickBot="1" x14ac:dyDescent="0.3">
      <c r="A117" s="192" t="s">
        <v>80</v>
      </c>
      <c r="B117" s="190" t="s">
        <v>82</v>
      </c>
      <c r="C117" s="72">
        <f>SUMIFS(Vigilancia!$E:$E,Vigilancia!$F:$F,$A117,Vigilancia!$J:$J,C$1)</f>
        <v>7000</v>
      </c>
      <c r="D117" s="72">
        <f>SUMIFS(Vigilancia!$E:$E,Vigilancia!$F:$F,$A117,Vigilancia!$J:$J,D$1)</f>
        <v>410000</v>
      </c>
      <c r="E117" s="393">
        <f>SUMIFS(Vigilancia!$E:$E,Vigilancia!$F:$F,$A117,Vigilancia!$J:$J,E$1)</f>
        <v>1300000</v>
      </c>
      <c r="F117" s="72">
        <f>SUMIFS(Vigilancia!$E:$E,Vigilancia!$F:$F,$A117,Vigilancia!$J:$J,F$1)</f>
        <v>0</v>
      </c>
      <c r="G117" s="72">
        <f>SUMIFS(Vigilancia!$E:$E,Vigilancia!$F:$F,$A117,Vigilancia!$J:$J,G$1)</f>
        <v>0</v>
      </c>
      <c r="H117" s="72">
        <f>SUMIFS(Vigilancia!$E:$E,Vigilancia!$F:$F,$A117,Vigilancia!$J:$J,H$1)</f>
        <v>0</v>
      </c>
      <c r="I117" s="72">
        <f>SUMIFS(Vigilancia!$E:$E,Vigilancia!$F:$F,$A117,Vigilancia!$J:$J,I$1)</f>
        <v>0</v>
      </c>
    </row>
    <row r="118" spans="1:10" x14ac:dyDescent="0.25">
      <c r="A118" s="309" t="s">
        <v>871</v>
      </c>
      <c r="B118" s="310" t="s">
        <v>720</v>
      </c>
      <c r="C118" s="243">
        <f>SUMIFS(Vigilancia!$E:$E,Vigilancia!$F:$F,$A118,Vigilancia!$J:$J,C$1)</f>
        <v>0</v>
      </c>
      <c r="D118" s="243">
        <f>SUMIFS(Vigilancia!$E:$E,Vigilancia!$F:$F,$A118,Vigilancia!$J:$J,D$1)</f>
        <v>0</v>
      </c>
      <c r="E118" s="243">
        <f>SUMIFS(Vigilancia!$E:$E,Vigilancia!$F:$F,$A118,Vigilancia!$J:$J,E$1)</f>
        <v>0</v>
      </c>
      <c r="F118" s="244">
        <f>SUMIFS(Vigilancia!$E:$E,Vigilancia!$F:$F,$A118,Vigilancia!$J:$J,F$1)</f>
        <v>0</v>
      </c>
      <c r="G118" s="243">
        <f>SUMIFS(Vigilancia!$E:$E,Vigilancia!$F:$F,$A118,Vigilancia!$J:$J,G$1)</f>
        <v>0</v>
      </c>
      <c r="H118" s="243">
        <f>SUMIFS(Vigilancia!$E:$E,Vigilancia!$F:$F,$A118,Vigilancia!$J:$J,H$1)</f>
        <v>0</v>
      </c>
      <c r="I118" s="303">
        <f>SUMIFS(Vigilancia!$E:$E,Vigilancia!$F:$F,$A118,Vigilancia!$J:$J,I$1)</f>
        <v>0</v>
      </c>
      <c r="J118" s="306"/>
    </row>
    <row r="119" spans="1:10" x14ac:dyDescent="0.25">
      <c r="A119" s="309" t="s">
        <v>718</v>
      </c>
      <c r="B119" s="310" t="s">
        <v>720</v>
      </c>
      <c r="C119" s="243">
        <f>SUMIFS(Vigilancia!$E:$E,Vigilancia!$F:$F,$A119,Vigilancia!$J:$J,C$1)</f>
        <v>0</v>
      </c>
      <c r="D119" s="243">
        <f>SUMIFS(Vigilancia!$E:$E,Vigilancia!$F:$F,$A119,Vigilancia!$J:$J,D$1)</f>
        <v>350000</v>
      </c>
      <c r="E119" s="243">
        <f>SUMIFS(Vigilancia!$E:$E,Vigilancia!$F:$F,$A119,Vigilancia!$J:$J,E$1)</f>
        <v>0</v>
      </c>
      <c r="F119" s="244">
        <f>SUMIFS(Vigilancia!$E:$E,Vigilancia!$F:$F,$A119,Vigilancia!$J:$J,F$1)</f>
        <v>0</v>
      </c>
      <c r="G119" s="243">
        <f>SUMIFS(Vigilancia!$E:$E,Vigilancia!$F:$F,$A119,Vigilancia!$J:$J,G$1)</f>
        <v>0</v>
      </c>
      <c r="H119" s="243">
        <f>SUMIFS(Vigilancia!$E:$E,Vigilancia!$F:$F,$A119,Vigilancia!$J:$J,H$1)</f>
        <v>0</v>
      </c>
      <c r="I119" s="303">
        <f>SUMIFS(Vigilancia!$E:$E,Vigilancia!$F:$F,$A119,Vigilancia!$J:$J,I$1)</f>
        <v>0</v>
      </c>
      <c r="J119" s="307"/>
    </row>
    <row r="120" spans="1:10" ht="15.75" thickBot="1" x14ac:dyDescent="0.3">
      <c r="A120" s="53" t="s">
        <v>786</v>
      </c>
      <c r="B120" s="54" t="s">
        <v>720</v>
      </c>
      <c r="C120" s="72">
        <f>SUMIFS(Vigilancia!$E:$E,Vigilancia!$F:$F,$A120,Vigilancia!$J:$J,C$1)</f>
        <v>0</v>
      </c>
      <c r="D120" s="72">
        <f>SUMIFS(Vigilancia!$E:$E,Vigilancia!$F:$F,$A120,Vigilancia!$J:$J,D$1)</f>
        <v>0</v>
      </c>
      <c r="E120" s="393">
        <f>SUMIFS(Vigilancia!$E:$E,Vigilancia!$F:$F,$A120,Vigilancia!$J:$J,E$1)</f>
        <v>1220000</v>
      </c>
      <c r="F120" s="189">
        <f>SUMIFS(Vigilancia!$E:$E,Vigilancia!$F:$F,$A120,Vigilancia!$J:$J,F$1)</f>
        <v>0</v>
      </c>
      <c r="G120" s="72">
        <f>SUMIFS(Vigilancia!$E:$E,Vigilancia!$F:$F,$A120,Vigilancia!$J:$J,G$1)</f>
        <v>0</v>
      </c>
      <c r="H120" s="72">
        <f>SUMIFS(Vigilancia!$E:$E,Vigilancia!$F:$F,$A120,Vigilancia!$J:$J,H$1)</f>
        <v>0</v>
      </c>
      <c r="I120" s="304">
        <f>SUMIFS(Vigilancia!$E:$E,Vigilancia!$F:$F,$A120,Vigilancia!$J:$J,I$1)</f>
        <v>0</v>
      </c>
      <c r="J120" s="308"/>
    </row>
    <row r="121" spans="1:10" x14ac:dyDescent="0.25">
      <c r="A121" s="163" t="s">
        <v>74</v>
      </c>
      <c r="B121" s="164" t="s">
        <v>75</v>
      </c>
      <c r="C121" s="165">
        <f>SUMIFS(Vigilancia!$E:$E,Vigilancia!$F:$F,$A121,Vigilancia!$J:$J,C$1)</f>
        <v>0</v>
      </c>
      <c r="D121" s="165">
        <f>SUMIFS(Vigilancia!$E:$E,Vigilancia!$F:$F,$A121,Vigilancia!$J:$J,D$1)</f>
        <v>0</v>
      </c>
      <c r="E121" s="165">
        <f>SUMIFS(Vigilancia!$E:$E,Vigilancia!$F:$F,$A121,Vigilancia!$J:$J,E$1)</f>
        <v>0</v>
      </c>
      <c r="F121" s="194">
        <f>SUMIFS(Vigilancia!$E:$E,Vigilancia!$F:$F,$A121,Vigilancia!$J:$J,F$1)</f>
        <v>0</v>
      </c>
      <c r="G121" s="165">
        <f>SUMIFS(Vigilancia!$E:$E,Vigilancia!$F:$F,$A121,Vigilancia!$J:$J,G$1)</f>
        <v>0</v>
      </c>
      <c r="H121" s="165">
        <f>SUMIFS(Vigilancia!$E:$E,Vigilancia!$F:$F,$A121,Vigilancia!$J:$J,H$1)</f>
        <v>0</v>
      </c>
      <c r="I121" s="305">
        <f>SUMIFS(Vigilancia!$E:$E,Vigilancia!$F:$F,$A121,Vigilancia!$J:$J,I$1)</f>
        <v>0</v>
      </c>
      <c r="J121" s="306"/>
    </row>
    <row r="122" spans="1:10" ht="15.75" thickBot="1" x14ac:dyDescent="0.3">
      <c r="A122" s="53" t="s">
        <v>444</v>
      </c>
      <c r="B122" s="54" t="s">
        <v>75</v>
      </c>
      <c r="C122" s="72">
        <f>SUMIFS(Vigilancia!$E:$E,Vigilancia!$F:$F,$A122,Vigilancia!$J:$J,C$1)</f>
        <v>7000</v>
      </c>
      <c r="D122" s="72">
        <f>SUMIFS(Vigilancia!$E:$E,Vigilancia!$F:$F,$A122,Vigilancia!$J:$J,D$1)</f>
        <v>350000</v>
      </c>
      <c r="E122" s="393">
        <f>SUMIFS(Vigilancia!$E:$E,Vigilancia!$F:$F,$A122,Vigilancia!$J:$J,E$1)</f>
        <v>1220000</v>
      </c>
      <c r="F122" s="189">
        <f>SUMIFS(Vigilancia!$E:$E,Vigilancia!$F:$F,$A122,Vigilancia!$J:$J,F$1)</f>
        <v>0</v>
      </c>
      <c r="G122" s="72">
        <f>SUMIFS(Vigilancia!$E:$E,Vigilancia!$F:$F,$A122,Vigilancia!$J:$J,G$1)</f>
        <v>0</v>
      </c>
      <c r="H122" s="72">
        <f>SUMIFS(Vigilancia!$E:$E,Vigilancia!$F:$F,$A122,Vigilancia!$J:$J,H$1)</f>
        <v>0</v>
      </c>
      <c r="I122" s="304">
        <f>SUMIFS(Vigilancia!$E:$E,Vigilancia!$F:$F,$A122,Vigilancia!$J:$J,I$1)</f>
        <v>0</v>
      </c>
      <c r="J122" s="308"/>
    </row>
    <row r="123" spans="1:10" x14ac:dyDescent="0.25">
      <c r="A123" s="193" t="s">
        <v>162</v>
      </c>
      <c r="B123" s="191" t="s">
        <v>164</v>
      </c>
      <c r="C123" s="72">
        <f>SUMIFS(Vigilancia!$E:$E,Vigilancia!$F:$F,$A123,Vigilancia!$J:$J,C$1)</f>
        <v>7000</v>
      </c>
      <c r="D123" s="72">
        <f>SUMIFS(Vigilancia!$E:$E,Vigilancia!$F:$F,$A123,Vigilancia!$J:$J,D$1)</f>
        <v>350000</v>
      </c>
      <c r="E123" s="393">
        <f>SUMIFS(Vigilancia!$E:$E,Vigilancia!$F:$F,$A123,Vigilancia!$J:$J,E$1)</f>
        <v>1220000</v>
      </c>
      <c r="F123" s="72">
        <f>SUMIFS(Vigilancia!$E:$E,Vigilancia!$F:$F,$A123,Vigilancia!$J:$J,F$1)</f>
        <v>0</v>
      </c>
      <c r="G123" s="72">
        <f>SUMIFS(Vigilancia!$E:$E,Vigilancia!$F:$F,$A123,Vigilancia!$J:$J,G$1)</f>
        <v>0</v>
      </c>
      <c r="H123" s="72">
        <f>SUMIFS(Vigilancia!$E:$E,Vigilancia!$F:$F,$A123,Vigilancia!$J:$J,H$1)</f>
        <v>0</v>
      </c>
      <c r="I123" s="72">
        <f>SUMIFS(Vigilancia!$E:$E,Vigilancia!$F:$F,$A123,Vigilancia!$J:$J,I$1)</f>
        <v>3050000</v>
      </c>
    </row>
    <row r="124" spans="1:10" x14ac:dyDescent="0.25">
      <c r="A124" s="53" t="s">
        <v>134</v>
      </c>
      <c r="B124" s="54" t="s">
        <v>136</v>
      </c>
      <c r="C124" s="72">
        <f>SUMIFS(Vigilancia!$E:$E,Vigilancia!$F:$F,$A124,Vigilancia!$J:$J,C$1)</f>
        <v>0</v>
      </c>
      <c r="D124" s="72">
        <f>SUMIFS(Vigilancia!$E:$E,Vigilancia!$F:$F,$A124,Vigilancia!$J:$J,D$1)</f>
        <v>0</v>
      </c>
      <c r="E124" s="393">
        <f>SUMIFS(Vigilancia!$E:$E,Vigilancia!$F:$F,$A124,Vigilancia!$J:$J,E$1)</f>
        <v>1200000</v>
      </c>
      <c r="F124" s="72">
        <f>SUMIFS(Vigilancia!$E:$E,Vigilancia!$F:$F,$A124,Vigilancia!$J:$J,F$1)</f>
        <v>0</v>
      </c>
      <c r="G124" s="72">
        <f>SUMIFS(Vigilancia!$E:$E,Vigilancia!$F:$F,$A124,Vigilancia!$J:$J,G$1)</f>
        <v>0</v>
      </c>
      <c r="H124" s="72">
        <f>SUMIFS(Vigilancia!$E:$E,Vigilancia!$F:$F,$A124,Vigilancia!$J:$J,H$1)</f>
        <v>0</v>
      </c>
      <c r="I124" s="72">
        <f>SUMIFS(Vigilancia!$E:$E,Vigilancia!$F:$F,$A124,Vigilancia!$J:$J,I$1)</f>
        <v>0</v>
      </c>
    </row>
    <row r="125" spans="1:10" x14ac:dyDescent="0.25">
      <c r="A125" s="53" t="s">
        <v>114</v>
      </c>
      <c r="B125" s="54" t="s">
        <v>116</v>
      </c>
      <c r="C125" s="72">
        <f>SUMIFS(Vigilancia!$E:$E,Vigilancia!$F:$F,$A125,Vigilancia!$J:$J,C$1)</f>
        <v>7000</v>
      </c>
      <c r="D125" s="72">
        <f>SUMIFS(Vigilancia!$E:$E,Vigilancia!$F:$F,$A125,Vigilancia!$J:$J,D$1)</f>
        <v>350000</v>
      </c>
      <c r="E125" s="393">
        <f>SUMIFS(Vigilancia!$E:$E,Vigilancia!$F:$F,$A125,Vigilancia!$J:$J,E$1)</f>
        <v>0</v>
      </c>
      <c r="F125" s="72">
        <f>SUMIFS(Vigilancia!$E:$E,Vigilancia!$F:$F,$A125,Vigilancia!$J:$J,F$1)</f>
        <v>0</v>
      </c>
      <c r="G125" s="72">
        <f>SUMIFS(Vigilancia!$E:$E,Vigilancia!$F:$F,$A125,Vigilancia!$J:$J,G$1)</f>
        <v>0</v>
      </c>
      <c r="H125" s="72">
        <f>SUMIFS(Vigilancia!$E:$E,Vigilancia!$F:$F,$A125,Vigilancia!$J:$J,H$1)</f>
        <v>0</v>
      </c>
      <c r="I125" s="72">
        <f>SUMIFS(Vigilancia!$E:$E,Vigilancia!$F:$F,$A125,Vigilancia!$J:$J,I$1)</f>
        <v>0</v>
      </c>
    </row>
    <row r="126" spans="1:10" x14ac:dyDescent="0.25">
      <c r="A126" s="53" t="s">
        <v>138</v>
      </c>
      <c r="B126" s="54" t="s">
        <v>140</v>
      </c>
      <c r="C126" s="72">
        <f>SUMIFS(Vigilancia!$E:$E,Vigilancia!$F:$F,$A126,Vigilancia!$J:$J,C$1)</f>
        <v>7000</v>
      </c>
      <c r="D126" s="72">
        <f>SUMIFS(Vigilancia!$E:$E,Vigilancia!$F:$F,$A126,Vigilancia!$J:$J,D$1)</f>
        <v>350000</v>
      </c>
      <c r="E126" s="72">
        <f>SUMIFS(Vigilancia!$E:$E,Vigilancia!$F:$F,$A126,Vigilancia!$J:$J,E$1)</f>
        <v>0</v>
      </c>
      <c r="F126" s="72">
        <f>SUMIFS(Vigilancia!$E:$E,Vigilancia!$F:$F,$A126,Vigilancia!$J:$J,F$1)</f>
        <v>0</v>
      </c>
      <c r="G126" s="72">
        <f>SUMIFS(Vigilancia!$E:$E,Vigilancia!$F:$F,$A126,Vigilancia!$J:$J,G$1)</f>
        <v>0</v>
      </c>
      <c r="H126" s="72">
        <f>SUMIFS(Vigilancia!$E:$E,Vigilancia!$F:$F,$A126,Vigilancia!$J:$J,H$1)</f>
        <v>0</v>
      </c>
      <c r="I126" s="72">
        <f>SUMIFS(Vigilancia!$E:$E,Vigilancia!$F:$F,$A126,Vigilancia!$J:$J,I$1)</f>
        <v>0</v>
      </c>
    </row>
    <row r="127" spans="1:10" x14ac:dyDescent="0.25">
      <c r="A127" s="53" t="s">
        <v>578</v>
      </c>
      <c r="B127" s="54" t="s">
        <v>580</v>
      </c>
      <c r="C127" s="72">
        <f>SUMIFS(Vigilancia!$E:$E,Vigilancia!$F:$F,$A127,Vigilancia!$J:$J,C$1)</f>
        <v>0</v>
      </c>
      <c r="D127" s="72">
        <f>SUMIFS(Vigilancia!$E:$E,Vigilancia!$F:$F,$A127,Vigilancia!$J:$J,D$1)</f>
        <v>0</v>
      </c>
      <c r="E127" s="72">
        <f>SUMIFS(Vigilancia!$E:$E,Vigilancia!$F:$F,$A127,Vigilancia!$J:$J,E$1)</f>
        <v>0</v>
      </c>
      <c r="F127" s="72">
        <f>SUMIFS(Vigilancia!$E:$E,Vigilancia!$F:$F,$A127,Vigilancia!$J:$J,F$1)</f>
        <v>0</v>
      </c>
      <c r="G127" s="72">
        <f>SUMIFS(Vigilancia!$E:$E,Vigilancia!$F:$F,$A127,Vigilancia!$J:$J,G$1)</f>
        <v>0</v>
      </c>
      <c r="H127" s="72">
        <f>SUMIFS(Vigilancia!$E:$E,Vigilancia!$F:$F,$A127,Vigilancia!$J:$J,H$1)</f>
        <v>0</v>
      </c>
      <c r="I127" s="72">
        <f>SUMIFS(Vigilancia!$E:$E,Vigilancia!$F:$F,$A127,Vigilancia!$J:$J,I$1)</f>
        <v>0</v>
      </c>
    </row>
    <row r="128" spans="1:10" x14ac:dyDescent="0.25">
      <c r="A128" s="53" t="s">
        <v>167</v>
      </c>
      <c r="B128" s="54" t="s">
        <v>169</v>
      </c>
      <c r="C128" s="72">
        <f>SUMIFS(Vigilancia!$E:$E,Vigilancia!$F:$F,$A128,Vigilancia!$J:$J,C$1)</f>
        <v>0</v>
      </c>
      <c r="D128" s="72">
        <f>SUMIFS(Vigilancia!$E:$E,Vigilancia!$F:$F,$A128,Vigilancia!$J:$J,D$1)</f>
        <v>0</v>
      </c>
      <c r="E128" s="72">
        <f>SUMIFS(Vigilancia!$E:$E,Vigilancia!$F:$F,$A128,Vigilancia!$J:$J,E$1)</f>
        <v>0</v>
      </c>
      <c r="F128" s="72">
        <f>SUMIFS(Vigilancia!$E:$E,Vigilancia!$F:$F,$A128,Vigilancia!$J:$J,F$1)</f>
        <v>0</v>
      </c>
      <c r="G128" s="72">
        <f>SUMIFS(Vigilancia!$E:$E,Vigilancia!$F:$F,$A128,Vigilancia!$J:$J,G$1)</f>
        <v>0</v>
      </c>
      <c r="H128" s="72">
        <f>SUMIFS(Vigilancia!$E:$E,Vigilancia!$F:$F,$A128,Vigilancia!$J:$J,H$1)</f>
        <v>0</v>
      </c>
      <c r="I128" s="72">
        <f>SUMIFS(Vigilancia!$E:$E,Vigilancia!$F:$F,$A128,Vigilancia!$J:$J,I$1)</f>
        <v>0</v>
      </c>
    </row>
    <row r="129" spans="1:9" x14ac:dyDescent="0.25">
      <c r="A129" s="53" t="s">
        <v>873</v>
      </c>
      <c r="B129" s="54" t="s">
        <v>874</v>
      </c>
      <c r="C129" s="72">
        <f>SUMIFS(Vigilancia!$E:$E,Vigilancia!$F:$F,$A129,Vigilancia!$J:$J,C$1)</f>
        <v>0</v>
      </c>
      <c r="D129" s="72">
        <f>SUMIFS(Vigilancia!$E:$E,Vigilancia!$F:$F,$A129,Vigilancia!$J:$J,D$1)</f>
        <v>0</v>
      </c>
      <c r="E129" s="72">
        <f>SUMIFS(Vigilancia!$E:$E,Vigilancia!$F:$F,$A129,Vigilancia!$J:$J,E$1)</f>
        <v>0</v>
      </c>
      <c r="F129" s="72">
        <f>SUMIFS(Vigilancia!$E:$E,Vigilancia!$F:$F,$A129,Vigilancia!$J:$J,F$1)</f>
        <v>0</v>
      </c>
      <c r="G129" s="72">
        <f>SUMIFS(Vigilancia!$E:$E,Vigilancia!$F:$F,$A129,Vigilancia!$J:$J,G$1)</f>
        <v>0</v>
      </c>
      <c r="H129" s="72">
        <f>SUMIFS(Vigilancia!$E:$E,Vigilancia!$F:$F,$A129,Vigilancia!$J:$J,H$1)</f>
        <v>0</v>
      </c>
      <c r="I129" s="72">
        <f>SUMIFS(Vigilancia!$E:$E,Vigilancia!$F:$F,$A129,Vigilancia!$J:$J,I$1)</f>
        <v>0</v>
      </c>
    </row>
    <row r="130" spans="1:9" x14ac:dyDescent="0.25">
      <c r="A130" s="63" t="s">
        <v>875</v>
      </c>
      <c r="B130" s="64" t="s">
        <v>874</v>
      </c>
      <c r="C130" s="45"/>
      <c r="D130" s="45"/>
      <c r="E130" s="45"/>
      <c r="F130" s="45"/>
      <c r="G130" s="45"/>
      <c r="H130" s="45"/>
      <c r="I130" s="45"/>
    </row>
    <row r="131" spans="1:9" x14ac:dyDescent="0.25">
      <c r="A131" s="66"/>
      <c r="B131" s="67" t="s">
        <v>808</v>
      </c>
      <c r="C131" s="46">
        <f>SUM(C2:C130)</f>
        <v>378320</v>
      </c>
      <c r="D131" s="46">
        <f>SUM(D2:D130)</f>
        <v>18510000</v>
      </c>
      <c r="E131" s="46">
        <f>SUM(E2:E130)</f>
        <v>56640000</v>
      </c>
      <c r="F131" s="46">
        <f t="shared" ref="F131:I131" si="0">SUM(F2:F130)</f>
        <v>24200</v>
      </c>
      <c r="G131" s="46">
        <f t="shared" si="0"/>
        <v>1500</v>
      </c>
      <c r="H131" s="46">
        <f t="shared" si="0"/>
        <v>150000</v>
      </c>
      <c r="I131" s="46">
        <f t="shared" si="0"/>
        <v>6350000</v>
      </c>
    </row>
    <row r="132" spans="1:9" x14ac:dyDescent="0.25">
      <c r="A132" s="66"/>
      <c r="B132" s="67" t="s">
        <v>876</v>
      </c>
      <c r="C132" s="46">
        <f>COUNTIF(C2:C130,"&gt;0")</f>
        <v>56</v>
      </c>
      <c r="D132" s="46">
        <f>COUNTIF(D2:D130,"&gt;0")</f>
        <v>52</v>
      </c>
      <c r="E132" s="46">
        <f>COUNTIF(E2:E130,"&gt;0")</f>
        <v>47</v>
      </c>
      <c r="F132" s="46">
        <f>COUNTIF(F2:F130,"&gt;0")</f>
        <v>2</v>
      </c>
      <c r="G132" s="46">
        <f t="shared" ref="G132:I132" si="1">COUNTIF(G2:G130,"&gt;0")</f>
        <v>1</v>
      </c>
      <c r="H132" s="46">
        <f t="shared" si="1"/>
        <v>1</v>
      </c>
      <c r="I132" s="46">
        <f t="shared" si="1"/>
        <v>3</v>
      </c>
    </row>
    <row r="133" spans="1:9" ht="15.75" thickBot="1" x14ac:dyDescent="0.3">
      <c r="A133" s="339"/>
      <c r="B133" s="340" t="s">
        <v>882</v>
      </c>
      <c r="C133" s="341">
        <v>7000</v>
      </c>
      <c r="D133" s="341">
        <v>350000</v>
      </c>
      <c r="E133" s="341">
        <v>1220000</v>
      </c>
      <c r="F133" s="341"/>
      <c r="G133" s="341"/>
      <c r="H133" s="341"/>
      <c r="I133" s="341"/>
    </row>
    <row r="134" spans="1:9" ht="15.75" thickTop="1" x14ac:dyDescent="0.25">
      <c r="A134" s="342"/>
      <c r="B134" s="345" t="s">
        <v>943</v>
      </c>
      <c r="C134" s="344">
        <f>IF(ISBLANK(C$133),"",COUNTIF(C$2:C$130,"&lt;"&amp;TEXT(C$133,"0"))-COUNTIF(C$2:C$130,"=0"))</f>
        <v>7</v>
      </c>
      <c r="D134" s="344">
        <f>IF(ISBLANK(D$133),"",COUNTIF(D$2:D$130,"&lt;"&amp;TEXT(D$133,"0"))-COUNTIF(D$2:D$130,"=0"))</f>
        <v>2</v>
      </c>
      <c r="E134" s="344">
        <f>IF(ISBLANK(E$133),"",COUNTIF(E$2:E$130,"&lt;"&amp;TEXT(E$133,"0"))-COUNTIF(E$2:E$130,"=0"))</f>
        <v>6</v>
      </c>
      <c r="F134" s="343" t="str">
        <f t="shared" ref="F134:G134" si="2">IF(ISBLANK(F$133),"",COUNTIF(F$2:F$130,"&lt;"&amp;TEXT(F$133,"0"))-COUNTIF(F$2:F$130,"=0"))</f>
        <v/>
      </c>
      <c r="G134" s="344" t="str">
        <f t="shared" si="2"/>
        <v/>
      </c>
      <c r="H134" s="344" t="str">
        <f t="shared" ref="H134:I134" si="3">IF(ISBLANK(H$133),"",COUNTIF(H$2:H$130,"&lt;"&amp;TEXT(H$133,"0"))-COUNTIF(H$2:H$130,"=0"))</f>
        <v/>
      </c>
      <c r="I134" s="344" t="str">
        <f t="shared" si="3"/>
        <v/>
      </c>
    </row>
    <row r="135" spans="1:9" x14ac:dyDescent="0.25">
      <c r="A135" s="312"/>
      <c r="B135" s="346" t="s">
        <v>944</v>
      </c>
      <c r="C135" s="314">
        <f>IF(ISBLANK(C$133),"",SUMIF(C$2:C$130,"&lt;"&amp;TEXT(C$133,"0")))</f>
        <v>31320</v>
      </c>
      <c r="D135" s="314">
        <f>IF(ISBLANK(D$133),"",SUMIF(D$2:D$130,"&lt;"&amp;TEXT(D$133,"0")))</f>
        <v>400000</v>
      </c>
      <c r="E135" s="314">
        <f>IF(ISBLANK(E$133),"",SUMIF(E$2:E$130,"&lt;"&amp;TEXT(E$133,"0")))</f>
        <v>6150000</v>
      </c>
      <c r="F135" s="316" t="str">
        <f t="shared" ref="F135:G135" si="4">IF(ISBLANK(F$133),"",SUMIF(F$2:F$130,"&lt;"&amp;TEXT(F$133,"0")))</f>
        <v/>
      </c>
      <c r="G135" s="314" t="str">
        <f t="shared" si="4"/>
        <v/>
      </c>
      <c r="H135" s="314" t="str">
        <f t="shared" ref="H135:I135" si="5">IF(ISBLANK(H$133),"",SUMIF(H$2:H$130,"&lt;"&amp;TEXT(H$133,"0")))</f>
        <v/>
      </c>
      <c r="I135" s="314" t="str">
        <f t="shared" si="5"/>
        <v/>
      </c>
    </row>
    <row r="136" spans="1:9" x14ac:dyDescent="0.25">
      <c r="B136" s="347" t="s">
        <v>945</v>
      </c>
      <c r="C136" s="313">
        <f>IF(ISBLANK(C$133),"",COUNTIF(C$2:C$130,"="&amp;TEXT(C$133,"0")))</f>
        <v>46</v>
      </c>
      <c r="D136" s="313">
        <f>IF(ISBLANK(D$133),"",COUNTIF(D$2:D$130,"="&amp;TEXT(D$133,"0")))</f>
        <v>43</v>
      </c>
      <c r="E136" s="313">
        <f>IF(ISBLANK(E$133),"",COUNTIF(E$2:E$130,"="&amp;TEXT(E$133,"0")))</f>
        <v>37</v>
      </c>
      <c r="F136" s="315" t="str">
        <f t="shared" ref="F136:G136" si="6">IF(ISBLANK(F$133),"",COUNTIF(F$2:F$130,"="&amp;TEXT(F$133,"0")))</f>
        <v/>
      </c>
      <c r="G136" s="313" t="str">
        <f t="shared" si="6"/>
        <v/>
      </c>
      <c r="H136" s="313" t="str">
        <f t="shared" ref="H136:I136" si="7">IF(ISBLANK(H$133),"",COUNTIF(H$2:H$130,"="&amp;TEXT(H$133,"0")))</f>
        <v/>
      </c>
      <c r="I136" s="313" t="str">
        <f t="shared" si="7"/>
        <v/>
      </c>
    </row>
    <row r="137" spans="1:9" x14ac:dyDescent="0.25">
      <c r="B137" s="347" t="s">
        <v>944</v>
      </c>
      <c r="C137" s="314">
        <f>IF(ISBLANK(C$133),"",SUMIF(C$2:C$130,"="&amp;TEXT(C$133,"0")))</f>
        <v>322000</v>
      </c>
      <c r="D137" s="314">
        <f>IF(ISBLANK(D$133),"",SUMIF(D$2:D$130,"="&amp;TEXT(D$133,"0")))</f>
        <v>15050000</v>
      </c>
      <c r="E137" s="314">
        <f>IF(ISBLANK(E$133),"",SUMIF(E$2:E$130,"="&amp;TEXT(E$133,"0")))</f>
        <v>45140000</v>
      </c>
      <c r="F137" s="316" t="str">
        <f t="shared" ref="F137:G137" si="8">IF(ISBLANK(F$133),"",SUMIF(F$2:F$130,"="&amp;TEXT(F$133,"0")))</f>
        <v/>
      </c>
      <c r="G137" s="314" t="str">
        <f t="shared" si="8"/>
        <v/>
      </c>
      <c r="H137" s="314" t="str">
        <f t="shared" ref="H137:I137" si="9">IF(ISBLANK(H$133),"",SUMIF(H$2:H$130,"="&amp;TEXT(H$133,"0")))</f>
        <v/>
      </c>
      <c r="I137" s="314" t="str">
        <f t="shared" si="9"/>
        <v/>
      </c>
    </row>
    <row r="138" spans="1:9" x14ac:dyDescent="0.25">
      <c r="A138" s="311"/>
      <c r="B138" s="348" t="s">
        <v>946</v>
      </c>
      <c r="C138" s="313">
        <f>IF(ISBLANK(C$133),"",COUNTIF(C$2:C$130,"&gt;"&amp;TEXT(C$133,"0")))</f>
        <v>3</v>
      </c>
      <c r="D138" s="313">
        <f>IF(ISBLANK(D$133),"",COUNTIF(D$2:D$130,"&gt;"&amp;TEXT(D$133,"0")))</f>
        <v>7</v>
      </c>
      <c r="E138" s="313">
        <f>IF(ISBLANK(E$133),"",COUNTIF(E$2:E$130,"&gt;"&amp;TEXT(E$133,"0")))</f>
        <v>4</v>
      </c>
      <c r="F138" s="315" t="str">
        <f t="shared" ref="F138:G138" si="10">IF(ISBLANK(F$133),"",COUNTIF(F$2:F$130,"&gt;"&amp;TEXT(F$133,"0")))</f>
        <v/>
      </c>
      <c r="G138" s="313" t="str">
        <f t="shared" si="10"/>
        <v/>
      </c>
      <c r="H138" s="313" t="str">
        <f t="shared" ref="H138:I138" si="11">IF(ISBLANK(H$133),"",COUNTIF(H$2:H$130,"&gt;"&amp;TEXT(H$133,"0")))</f>
        <v/>
      </c>
      <c r="I138" s="313" t="str">
        <f t="shared" si="11"/>
        <v/>
      </c>
    </row>
    <row r="139" spans="1:9" x14ac:dyDescent="0.25">
      <c r="A139" s="312"/>
      <c r="B139" s="346" t="s">
        <v>944</v>
      </c>
      <c r="C139" s="314">
        <f>IF(ISBLANK(C$133),"",SUMIF(C$2:C$130,"&gt;"&amp;TEXT(C$133,"0")))</f>
        <v>25000</v>
      </c>
      <c r="D139" s="314">
        <f>IF(ISBLANK(D$133),"",SUMIF(D$2:D$130,"&gt;"&amp;TEXT(D$133,"0")))</f>
        <v>3060000</v>
      </c>
      <c r="E139" s="314">
        <f>IF(ISBLANK(E$133),"",SUMIF(E$2:E$130,"&gt;"&amp;TEXT(E$133,"0")))</f>
        <v>5350000</v>
      </c>
      <c r="F139" s="316" t="str">
        <f t="shared" ref="F139:G139" si="12">IF(ISBLANK(F$133),"",SUMIF(F$2:F$130,"&gt;"&amp;TEXT(F$133,"0")))</f>
        <v/>
      </c>
      <c r="G139" s="314" t="str">
        <f t="shared" si="12"/>
        <v/>
      </c>
      <c r="H139" s="314" t="str">
        <f t="shared" ref="H139:I139" si="13">IF(ISBLANK(H$133),"",SUMIF(H$2:H$130,"&gt;"&amp;TEXT(H$133,"0")))</f>
        <v/>
      </c>
      <c r="I139" s="314" t="str">
        <f t="shared" si="13"/>
        <v/>
      </c>
    </row>
    <row r="140" spans="1:9" x14ac:dyDescent="0.25">
      <c r="A140" s="66"/>
      <c r="B140" s="352" t="s">
        <v>947</v>
      </c>
      <c r="C140" s="394">
        <f>IF(OR(ISBLANK(C$133),C$132=0),"",ROUND(C131/C133,1))</f>
        <v>54</v>
      </c>
      <c r="D140" s="394">
        <f t="shared" ref="D140:I140" si="14">IF(OR(ISBLANK(D$133),D$132=0),"",ROUND(D131/D133,1))</f>
        <v>52.9</v>
      </c>
      <c r="E140" s="394">
        <f t="shared" si="14"/>
        <v>46.4</v>
      </c>
      <c r="F140" s="394" t="str">
        <f t="shared" si="14"/>
        <v/>
      </c>
      <c r="G140" s="394" t="str">
        <f t="shared" si="14"/>
        <v/>
      </c>
      <c r="H140" s="394" t="str">
        <f t="shared" si="14"/>
        <v/>
      </c>
      <c r="I140" s="394" t="str">
        <f t="shared" si="14"/>
        <v/>
      </c>
    </row>
  </sheetData>
  <autoFilter ref="A1:I14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9"/>
  <sheetViews>
    <sheetView showGridLines="0" zoomScaleNormal="150" zoomScaleSheetLayoutView="100" workbookViewId="0">
      <selection activeCell="I4" sqref="I4"/>
    </sheetView>
  </sheetViews>
  <sheetFormatPr baseColWidth="10" defaultColWidth="9.140625" defaultRowHeight="15" x14ac:dyDescent="0.2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s>
  <sheetData>
    <row r="1" spans="2:12" ht="23.25" x14ac:dyDescent="0.35">
      <c r="B1" s="333" t="s">
        <v>948</v>
      </c>
    </row>
    <row r="2" spans="2:12" s="334" customFormat="1" ht="8.1" customHeight="1" x14ac:dyDescent="0.25"/>
    <row r="3" spans="2:12" ht="8.1" customHeight="1" x14ac:dyDescent="0.25">
      <c r="B3" s="317"/>
      <c r="C3" s="318"/>
      <c r="D3" s="318"/>
      <c r="E3" s="318"/>
      <c r="F3" s="319"/>
      <c r="H3" s="317"/>
      <c r="I3" s="318"/>
      <c r="J3" s="318"/>
      <c r="K3" s="318"/>
      <c r="L3" s="319"/>
    </row>
    <row r="4" spans="2:12" s="328" customFormat="1" ht="15.75" x14ac:dyDescent="0.25">
      <c r="B4" s="329"/>
      <c r="C4" s="330" t="s">
        <v>949</v>
      </c>
      <c r="D4" s="331"/>
      <c r="E4" s="331"/>
      <c r="F4" s="332"/>
      <c r="H4" s="329"/>
      <c r="I4" s="330" t="s">
        <v>950</v>
      </c>
      <c r="J4" s="331"/>
      <c r="K4" s="331"/>
      <c r="L4" s="332"/>
    </row>
    <row r="5" spans="2:12" s="338" customFormat="1" ht="20.100000000000001" customHeight="1" x14ac:dyDescent="0.25">
      <c r="B5" s="335"/>
      <c r="C5" s="336" t="s">
        <v>951</v>
      </c>
      <c r="D5" s="336" t="str">
        <f>"Cuota: Bs. "&amp;TEXT('RESUMEN OTROS'!D$133,"#.##0")</f>
        <v>Cuota: Bs. 350.000</v>
      </c>
      <c r="E5" s="336"/>
      <c r="F5" s="337"/>
      <c r="H5" s="335"/>
      <c r="I5" s="336" t="s">
        <v>952</v>
      </c>
      <c r="J5" s="336" t="str">
        <f>"Cuota: Bs. "&amp;TEXT('RESUMEN OTROS'!E$133,"#.##0")</f>
        <v>Cuota: Bs. 1.220.000</v>
      </c>
      <c r="K5" s="336"/>
      <c r="L5" s="337"/>
    </row>
    <row r="6" spans="2:12" x14ac:dyDescent="0.25">
      <c r="B6" s="320"/>
      <c r="C6" s="321" t="s">
        <v>953</v>
      </c>
      <c r="D6" s="322"/>
      <c r="E6" s="322"/>
      <c r="F6" s="323"/>
      <c r="H6" s="320"/>
      <c r="I6" s="321" t="s">
        <v>953</v>
      </c>
      <c r="J6" s="322"/>
      <c r="K6" s="322"/>
      <c r="L6" s="323"/>
    </row>
    <row r="7" spans="2:12" x14ac:dyDescent="0.25">
      <c r="B7" s="320"/>
      <c r="C7" s="322" t="str">
        <f>" - "&amp;TEXT('RESUMEN OTROS'!D134,"0")&amp;" pagos inferiores a la cuota"</f>
        <v xml:space="preserve"> - 2 pagos inferiores a la cuota</v>
      </c>
      <c r="D7" s="322"/>
      <c r="E7" s="322">
        <f>'RESUMEN OTROS'!D135</f>
        <v>400000</v>
      </c>
      <c r="F7" s="323"/>
      <c r="H7" s="320"/>
      <c r="I7" s="322" t="str">
        <f>" - "&amp;TEXT('RESUMEN OTROS'!E134,"0")&amp;" pagos inferiores a la cuota"</f>
        <v xml:space="preserve"> - 6 pagos inferiores a la cuota</v>
      </c>
      <c r="J7" s="322"/>
      <c r="K7" s="322">
        <f>'RESUMEN OTROS'!E135</f>
        <v>6150000</v>
      </c>
      <c r="L7" s="323"/>
    </row>
    <row r="8" spans="2:12" x14ac:dyDescent="0.25">
      <c r="B8" s="320"/>
      <c r="C8" s="322" t="str">
        <f>" - "&amp;TEXT('RESUMEN OTROS'!D136,"0")&amp;" cuotas recibidas"</f>
        <v xml:space="preserve"> - 43 cuotas recibidas</v>
      </c>
      <c r="D8" s="322"/>
      <c r="E8" s="322">
        <f>'RESUMEN OTROS'!D137</f>
        <v>15050000</v>
      </c>
      <c r="F8" s="323"/>
      <c r="H8" s="320"/>
      <c r="I8" s="322" t="str">
        <f>" - "&amp;TEXT('RESUMEN OTROS'!E136,"0")&amp;" cuotas recibidas"</f>
        <v xml:space="preserve"> - 37 cuotas recibidas</v>
      </c>
      <c r="J8" s="322"/>
      <c r="K8" s="322">
        <f>'RESUMEN OTROS'!E137</f>
        <v>45140000</v>
      </c>
      <c r="L8" s="323"/>
    </row>
    <row r="9" spans="2:12" x14ac:dyDescent="0.25">
      <c r="B9" s="320"/>
      <c r="C9" s="322" t="str">
        <f>" - "&amp;TEXT('RESUMEN OTROS'!D138,"0")&amp;" pagos superiores a la cuota"</f>
        <v xml:space="preserve"> - 7 pagos superiores a la cuota</v>
      </c>
      <c r="D9" s="322"/>
      <c r="E9" s="254">
        <f>'RESUMEN OTROS'!D139</f>
        <v>3060000</v>
      </c>
      <c r="F9" s="323"/>
      <c r="H9" s="320"/>
      <c r="I9" s="322" t="str">
        <f>" - "&amp;TEXT('RESUMEN OTROS'!E138,"0")&amp;" pagos superiores a la cuota"</f>
        <v xml:space="preserve"> - 4 pagos superiores a la cuota</v>
      </c>
      <c r="J9" s="322"/>
      <c r="K9" s="254">
        <f>'RESUMEN OTROS'!E139</f>
        <v>5350000</v>
      </c>
      <c r="L9" s="323"/>
    </row>
    <row r="10" spans="2:12" x14ac:dyDescent="0.25">
      <c r="B10" s="320"/>
      <c r="C10" s="322" t="s">
        <v>954</v>
      </c>
      <c r="D10" s="322"/>
      <c r="E10" s="322">
        <f>SUM(E7:E9)</f>
        <v>18510000</v>
      </c>
      <c r="F10" s="323"/>
      <c r="H10" s="320"/>
      <c r="I10" s="322" t="s">
        <v>954</v>
      </c>
      <c r="J10" s="322"/>
      <c r="K10" s="322">
        <f>SUM(K7:K9)</f>
        <v>56640000</v>
      </c>
      <c r="L10" s="323"/>
    </row>
    <row r="11" spans="2:12" x14ac:dyDescent="0.25">
      <c r="B11" s="320"/>
      <c r="C11" s="322"/>
      <c r="D11" s="322"/>
      <c r="E11" s="322"/>
      <c r="F11" s="323"/>
      <c r="H11" s="320"/>
      <c r="I11" s="322"/>
      <c r="J11" s="322"/>
      <c r="K11" s="322"/>
      <c r="L11" s="323"/>
    </row>
    <row r="12" spans="2:12" x14ac:dyDescent="0.25">
      <c r="B12" s="320"/>
      <c r="C12" s="321" t="s">
        <v>955</v>
      </c>
      <c r="D12" s="322"/>
      <c r="E12" s="322"/>
      <c r="F12" s="323"/>
      <c r="H12" s="320"/>
      <c r="I12" s="321" t="s">
        <v>955</v>
      </c>
      <c r="J12" s="322"/>
      <c r="K12" s="322"/>
      <c r="L12" s="323"/>
    </row>
    <row r="13" spans="2:12" x14ac:dyDescent="0.25">
      <c r="B13" s="320"/>
      <c r="C13" s="322" t="s">
        <v>956</v>
      </c>
      <c r="D13" s="322"/>
      <c r="E13" s="322">
        <v>7000000</v>
      </c>
      <c r="F13" s="323"/>
      <c r="H13" s="320"/>
      <c r="I13" s="322" t="s">
        <v>957</v>
      </c>
      <c r="J13" s="322"/>
      <c r="K13" s="322">
        <v>6000000</v>
      </c>
      <c r="L13" s="323"/>
    </row>
    <row r="14" spans="2:12" x14ac:dyDescent="0.25">
      <c r="B14" s="320"/>
      <c r="C14" s="322" t="s">
        <v>958</v>
      </c>
      <c r="D14" s="322"/>
      <c r="E14" s="322">
        <f>1000000+510000</f>
        <v>1510000</v>
      </c>
      <c r="F14" s="323"/>
      <c r="H14" s="320"/>
      <c r="I14" s="322" t="s">
        <v>959</v>
      </c>
      <c r="J14" s="322"/>
      <c r="K14" s="322">
        <f>2*28000000</f>
        <v>56000000</v>
      </c>
      <c r="L14" s="323"/>
    </row>
    <row r="15" spans="2:12" x14ac:dyDescent="0.25">
      <c r="B15" s="320"/>
      <c r="C15" s="322" t="s">
        <v>960</v>
      </c>
      <c r="D15" s="322"/>
      <c r="E15" s="322">
        <v>1900000</v>
      </c>
      <c r="F15" s="323"/>
      <c r="H15" s="320"/>
      <c r="I15" s="322"/>
      <c r="J15" s="322"/>
      <c r="K15" s="322"/>
      <c r="L15" s="323"/>
    </row>
    <row r="16" spans="2:12" x14ac:dyDescent="0.25">
      <c r="B16" s="320"/>
      <c r="C16" s="322" t="s">
        <v>961</v>
      </c>
      <c r="D16" s="322"/>
      <c r="E16" s="322">
        <v>3000000</v>
      </c>
      <c r="F16" s="323"/>
      <c r="H16" s="320"/>
      <c r="I16" s="322"/>
      <c r="J16" s="322"/>
      <c r="K16" s="322"/>
      <c r="L16" s="323"/>
    </row>
    <row r="17" spans="2:12" x14ac:dyDescent="0.25">
      <c r="B17" s="320"/>
      <c r="C17" s="322" t="s">
        <v>962</v>
      </c>
      <c r="D17" s="322"/>
      <c r="E17" s="322">
        <v>570000</v>
      </c>
      <c r="F17" s="323"/>
      <c r="H17" s="320"/>
      <c r="I17" s="322"/>
      <c r="J17" s="322"/>
      <c r="K17" s="322"/>
      <c r="L17" s="323"/>
    </row>
    <row r="18" spans="2:12" x14ac:dyDescent="0.25">
      <c r="B18" s="320"/>
      <c r="C18" s="322" t="s">
        <v>963</v>
      </c>
      <c r="D18" s="322"/>
      <c r="E18" s="254">
        <v>420000</v>
      </c>
      <c r="F18" s="323"/>
      <c r="H18" s="320"/>
      <c r="I18" s="322"/>
      <c r="J18" s="322"/>
      <c r="K18" s="254"/>
      <c r="L18" s="323"/>
    </row>
    <row r="19" spans="2:12" x14ac:dyDescent="0.25">
      <c r="B19" s="320"/>
      <c r="C19" s="322" t="s">
        <v>964</v>
      </c>
      <c r="D19" s="322"/>
      <c r="E19" s="322">
        <f>SUM(E13:E18)</f>
        <v>14400000</v>
      </c>
      <c r="F19" s="323"/>
      <c r="H19" s="320"/>
      <c r="I19" s="322" t="s">
        <v>964</v>
      </c>
      <c r="J19" s="322"/>
      <c r="K19" s="322">
        <f>SUM(K13:K18)</f>
        <v>62000000</v>
      </c>
      <c r="L19" s="323"/>
    </row>
    <row r="20" spans="2:12" x14ac:dyDescent="0.25">
      <c r="B20" s="320"/>
      <c r="C20" s="322"/>
      <c r="D20" s="322"/>
      <c r="E20" s="322"/>
      <c r="F20" s="323"/>
      <c r="H20" s="320"/>
      <c r="I20" s="322"/>
      <c r="J20" s="322"/>
      <c r="K20" s="322"/>
      <c r="L20" s="323"/>
    </row>
    <row r="21" spans="2:12" x14ac:dyDescent="0.25">
      <c r="B21" s="320"/>
      <c r="C21" s="321" t="s">
        <v>965</v>
      </c>
      <c r="D21" s="322"/>
      <c r="E21" s="392">
        <f>E10-E19</f>
        <v>4110000</v>
      </c>
      <c r="F21" s="323"/>
      <c r="H21" s="320"/>
      <c r="I21" s="321" t="s">
        <v>965</v>
      </c>
      <c r="J21" s="322"/>
      <c r="K21" s="392">
        <f>K10-K19</f>
        <v>-5360000</v>
      </c>
      <c r="L21" s="323"/>
    </row>
    <row r="22" spans="2:12" x14ac:dyDescent="0.25">
      <c r="B22" s="320"/>
      <c r="C22" s="322"/>
      <c r="D22" s="322"/>
      <c r="E22" s="322"/>
      <c r="F22" s="323"/>
      <c r="H22" s="320"/>
      <c r="I22" s="322"/>
      <c r="J22" s="322"/>
      <c r="K22" s="322"/>
      <c r="L22" s="323"/>
    </row>
    <row r="23" spans="2:12" x14ac:dyDescent="0.25">
      <c r="B23" s="320"/>
      <c r="C23" s="321" t="s">
        <v>966</v>
      </c>
      <c r="D23" s="322"/>
      <c r="E23" s="322"/>
      <c r="F23" s="323"/>
      <c r="H23" s="320"/>
      <c r="I23" s="321" t="s">
        <v>966</v>
      </c>
      <c r="J23" s="322"/>
      <c r="K23" s="322"/>
      <c r="L23" s="323"/>
    </row>
    <row r="24" spans="2:12" x14ac:dyDescent="0.25">
      <c r="B24" s="320"/>
      <c r="C24" s="322" t="s">
        <v>967</v>
      </c>
      <c r="D24" s="322"/>
      <c r="E24" s="322"/>
      <c r="F24" s="323"/>
      <c r="H24" s="320"/>
      <c r="I24" s="327"/>
      <c r="J24" s="327"/>
      <c r="K24" s="327"/>
      <c r="L24" s="323"/>
    </row>
    <row r="25" spans="2:12" x14ac:dyDescent="0.25">
      <c r="B25" s="320"/>
      <c r="C25" s="322" t="s">
        <v>968</v>
      </c>
      <c r="D25" s="322"/>
      <c r="E25" s="322"/>
      <c r="F25" s="323"/>
      <c r="H25" s="320"/>
      <c r="I25" s="327"/>
      <c r="J25" s="327"/>
      <c r="K25" s="327"/>
      <c r="L25" s="323"/>
    </row>
    <row r="26" spans="2:12" x14ac:dyDescent="0.25">
      <c r="B26" s="320"/>
      <c r="C26" s="322" t="s">
        <v>969</v>
      </c>
      <c r="D26" s="322"/>
      <c r="E26" s="322"/>
      <c r="F26" s="323"/>
      <c r="H26" s="320"/>
      <c r="I26" s="327"/>
      <c r="J26" s="327"/>
      <c r="K26" s="327"/>
      <c r="L26" s="323"/>
    </row>
    <row r="27" spans="2:12" x14ac:dyDescent="0.25">
      <c r="B27" s="320"/>
      <c r="C27" s="322" t="s">
        <v>970</v>
      </c>
      <c r="D27" s="322"/>
      <c r="E27" s="322"/>
      <c r="F27" s="323"/>
      <c r="H27" s="320"/>
      <c r="I27" s="327"/>
      <c r="J27" s="327"/>
      <c r="K27" s="327"/>
      <c r="L27" s="323"/>
    </row>
    <row r="28" spans="2:12" x14ac:dyDescent="0.25">
      <c r="B28" s="320"/>
      <c r="C28" s="322" t="s">
        <v>971</v>
      </c>
      <c r="D28" s="322"/>
      <c r="E28" s="322"/>
      <c r="F28" s="323"/>
      <c r="H28" s="320"/>
      <c r="I28" s="327"/>
      <c r="J28" s="327"/>
      <c r="K28" s="327"/>
      <c r="L28" s="323"/>
    </row>
    <row r="29" spans="2:12" x14ac:dyDescent="0.25">
      <c r="B29" s="324"/>
      <c r="C29" s="325"/>
      <c r="D29" s="325"/>
      <c r="E29" s="325"/>
      <c r="F29" s="326"/>
      <c r="H29" s="324"/>
      <c r="I29" s="325"/>
      <c r="J29" s="325"/>
      <c r="K29" s="325"/>
      <c r="L29" s="326"/>
    </row>
  </sheetData>
  <pageMargins left="0" right="0" top="0" bottom="0" header="0" footer="0"/>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J127"/>
  <sheetViews>
    <sheetView zoomScale="96" zoomScaleNormal="96" workbookViewId="0">
      <pane ySplit="1" topLeftCell="A108" activePane="bottomLeft" state="frozen"/>
      <selection activeCell="A14" sqref="A14"/>
      <selection pane="bottomLeft" activeCell="F120" sqref="F120"/>
    </sheetView>
  </sheetViews>
  <sheetFormatPr baseColWidth="10" defaultColWidth="10.7109375" defaultRowHeight="15" x14ac:dyDescent="0.25"/>
  <cols>
    <col min="1" max="1" width="27.5703125" bestFit="1" customWidth="1"/>
    <col min="2" max="3" width="25.7109375" customWidth="1"/>
    <col min="4" max="5" width="14.7109375" customWidth="1"/>
    <col min="6" max="6" width="20.7109375" customWidth="1"/>
    <col min="7" max="7" width="15.7109375" customWidth="1"/>
    <col min="8" max="8" width="20.7109375" customWidth="1"/>
    <col min="9" max="9" width="15.7109375" customWidth="1"/>
  </cols>
  <sheetData>
    <row r="1" spans="1:9" x14ac:dyDescent="0.25">
      <c r="A1" s="6" t="s">
        <v>5</v>
      </c>
      <c r="B1" s="6" t="s">
        <v>972</v>
      </c>
      <c r="C1" s="6" t="s">
        <v>7</v>
      </c>
      <c r="D1" s="6" t="s">
        <v>973</v>
      </c>
      <c r="E1" s="6" t="s">
        <v>974</v>
      </c>
      <c r="F1" s="6" t="s">
        <v>975</v>
      </c>
      <c r="G1" s="6" t="s">
        <v>976</v>
      </c>
      <c r="H1" s="6" t="s">
        <v>977</v>
      </c>
      <c r="I1" s="6" t="s">
        <v>978</v>
      </c>
    </row>
    <row r="2" spans="1:9" x14ac:dyDescent="0.25">
      <c r="A2" s="81" t="s">
        <v>248</v>
      </c>
      <c r="B2" s="81" t="s">
        <v>249</v>
      </c>
      <c r="C2" s="81" t="s">
        <v>250</v>
      </c>
      <c r="D2" s="81"/>
      <c r="E2" s="81"/>
      <c r="F2" s="81"/>
      <c r="G2" s="81" t="s">
        <v>979</v>
      </c>
      <c r="H2" s="81"/>
      <c r="I2" s="81" t="s">
        <v>980</v>
      </c>
    </row>
    <row r="3" spans="1:9" x14ac:dyDescent="0.25">
      <c r="A3" s="81" t="s">
        <v>270</v>
      </c>
      <c r="B3" s="81" t="s">
        <v>271</v>
      </c>
      <c r="C3" s="81" t="s">
        <v>272</v>
      </c>
      <c r="D3" s="81"/>
      <c r="E3" s="81"/>
      <c r="F3" s="81"/>
      <c r="G3" s="81"/>
      <c r="H3" s="81"/>
      <c r="I3" s="81"/>
    </row>
    <row r="4" spans="1:9" x14ac:dyDescent="0.25">
      <c r="A4" s="81" t="s">
        <v>197</v>
      </c>
      <c r="B4" s="81" t="s">
        <v>198</v>
      </c>
      <c r="C4" s="81" t="s">
        <v>199</v>
      </c>
      <c r="D4" s="81"/>
      <c r="E4" s="81"/>
      <c r="F4" s="81" t="s">
        <v>981</v>
      </c>
      <c r="G4" s="81" t="s">
        <v>982</v>
      </c>
      <c r="H4" s="81"/>
      <c r="I4" s="81"/>
    </row>
    <row r="5" spans="1:9" x14ac:dyDescent="0.25">
      <c r="A5" s="81" t="s">
        <v>337</v>
      </c>
      <c r="B5" s="81" t="s">
        <v>338</v>
      </c>
      <c r="C5" s="81" t="s">
        <v>339</v>
      </c>
      <c r="D5" s="81"/>
      <c r="E5" s="81"/>
      <c r="F5" s="81" t="s">
        <v>983</v>
      </c>
      <c r="G5" s="81" t="s">
        <v>984</v>
      </c>
      <c r="H5" s="81"/>
      <c r="I5" s="81"/>
    </row>
    <row r="6" spans="1:9" x14ac:dyDescent="0.25">
      <c r="A6" s="81" t="s">
        <v>62</v>
      </c>
      <c r="B6" s="81" t="s">
        <v>63</v>
      </c>
      <c r="C6" s="81" t="s">
        <v>64</v>
      </c>
      <c r="D6" s="81"/>
      <c r="E6" s="81"/>
      <c r="F6" s="81" t="s">
        <v>985</v>
      </c>
      <c r="G6" s="81" t="s">
        <v>986</v>
      </c>
      <c r="H6" s="81" t="s">
        <v>987</v>
      </c>
      <c r="I6" s="262" t="s">
        <v>988</v>
      </c>
    </row>
    <row r="7" spans="1:9" x14ac:dyDescent="0.25">
      <c r="A7" s="263" t="s">
        <v>94</v>
      </c>
      <c r="B7" s="81" t="s">
        <v>989</v>
      </c>
      <c r="C7" s="81" t="s">
        <v>96</v>
      </c>
      <c r="D7" s="81"/>
      <c r="E7" s="81"/>
      <c r="F7" s="81" t="s">
        <v>990</v>
      </c>
      <c r="G7" s="81" t="s">
        <v>607</v>
      </c>
      <c r="H7" s="81"/>
      <c r="I7" s="81"/>
    </row>
    <row r="8" spans="1:9" x14ac:dyDescent="0.25">
      <c r="A8" s="81" t="s">
        <v>809</v>
      </c>
      <c r="B8" s="81" t="s">
        <v>991</v>
      </c>
      <c r="C8" s="81" t="s">
        <v>810</v>
      </c>
      <c r="D8" s="81"/>
      <c r="E8" s="81"/>
      <c r="F8" s="81"/>
      <c r="G8" s="81"/>
      <c r="H8" s="81"/>
      <c r="I8" s="81"/>
    </row>
    <row r="9" spans="1:9" x14ac:dyDescent="0.25">
      <c r="A9" s="81" t="s">
        <v>57</v>
      </c>
      <c r="B9" s="81" t="s">
        <v>992</v>
      </c>
      <c r="C9" s="81" t="s">
        <v>59</v>
      </c>
      <c r="D9" s="81"/>
      <c r="E9" s="81"/>
      <c r="F9" s="81" t="s">
        <v>993</v>
      </c>
      <c r="G9" s="81" t="s">
        <v>994</v>
      </c>
      <c r="H9" s="81"/>
      <c r="I9" s="81"/>
    </row>
    <row r="10" spans="1:9" x14ac:dyDescent="0.25">
      <c r="A10" s="81" t="s">
        <v>439</v>
      </c>
      <c r="B10" s="81" t="s">
        <v>440</v>
      </c>
      <c r="C10" s="81" t="s">
        <v>441</v>
      </c>
      <c r="D10" s="81"/>
      <c r="E10" s="81"/>
      <c r="F10" s="81" t="s">
        <v>995</v>
      </c>
      <c r="G10" s="81"/>
      <c r="H10" s="81"/>
      <c r="I10" s="264" t="s">
        <v>996</v>
      </c>
    </row>
    <row r="11" spans="1:9" x14ac:dyDescent="0.25">
      <c r="A11" s="81" t="s">
        <v>811</v>
      </c>
      <c r="B11" s="81"/>
      <c r="C11" s="81" t="s">
        <v>812</v>
      </c>
      <c r="D11" s="81"/>
      <c r="E11" s="81"/>
      <c r="F11" s="81"/>
      <c r="G11" s="81"/>
      <c r="H11" s="81"/>
      <c r="I11" s="81"/>
    </row>
    <row r="12" spans="1:9" x14ac:dyDescent="0.25">
      <c r="A12" s="81" t="s">
        <v>813</v>
      </c>
      <c r="B12" s="81"/>
      <c r="C12" s="81" t="s">
        <v>814</v>
      </c>
      <c r="D12" s="81"/>
      <c r="E12" s="81"/>
      <c r="F12" s="81"/>
      <c r="G12" s="81"/>
      <c r="H12" s="81"/>
      <c r="I12" s="81"/>
    </row>
    <row r="13" spans="1:9" x14ac:dyDescent="0.25">
      <c r="A13" s="263" t="s">
        <v>177</v>
      </c>
      <c r="B13" s="81" t="s">
        <v>178</v>
      </c>
      <c r="C13" s="81" t="s">
        <v>179</v>
      </c>
      <c r="D13" s="81"/>
      <c r="E13" s="81"/>
      <c r="F13" s="81" t="s">
        <v>997</v>
      </c>
      <c r="G13" s="81" t="s">
        <v>998</v>
      </c>
      <c r="H13" s="81"/>
      <c r="I13" s="81"/>
    </row>
    <row r="14" spans="1:9" x14ac:dyDescent="0.25">
      <c r="A14" s="81" t="s">
        <v>264</v>
      </c>
      <c r="B14" s="81" t="s">
        <v>265</v>
      </c>
      <c r="C14" s="81" t="s">
        <v>266</v>
      </c>
      <c r="D14" s="81"/>
      <c r="E14" s="81"/>
      <c r="F14" s="81" t="s">
        <v>999</v>
      </c>
      <c r="G14" s="81" t="s">
        <v>1000</v>
      </c>
      <c r="H14" s="81"/>
      <c r="I14" s="81"/>
    </row>
    <row r="15" spans="1:9" x14ac:dyDescent="0.25">
      <c r="A15" s="81" t="s">
        <v>815</v>
      </c>
      <c r="B15" s="81"/>
      <c r="C15" s="81" t="s">
        <v>816</v>
      </c>
      <c r="D15" s="81"/>
      <c r="E15" s="81"/>
      <c r="F15" s="81"/>
      <c r="G15" s="81"/>
      <c r="H15" s="81"/>
      <c r="I15" s="81"/>
    </row>
    <row r="16" spans="1:9" x14ac:dyDescent="0.25">
      <c r="A16" s="81" t="s">
        <v>817</v>
      </c>
      <c r="B16" s="81" t="s">
        <v>1001</v>
      </c>
      <c r="C16" s="81" t="s">
        <v>816</v>
      </c>
      <c r="D16" s="81"/>
      <c r="E16" s="81"/>
      <c r="F16" s="81"/>
      <c r="G16" s="81"/>
      <c r="H16" s="81"/>
      <c r="I16" s="81"/>
    </row>
    <row r="17" spans="1:9" x14ac:dyDescent="0.25">
      <c r="A17" s="81" t="s">
        <v>334</v>
      </c>
      <c r="B17" s="81" t="s">
        <v>85</v>
      </c>
      <c r="C17" s="81" t="s">
        <v>335</v>
      </c>
      <c r="D17" s="81"/>
      <c r="E17" s="81"/>
      <c r="F17" s="81" t="s">
        <v>1002</v>
      </c>
      <c r="G17" s="81" t="s">
        <v>1003</v>
      </c>
      <c r="H17" s="81"/>
      <c r="I17" s="81"/>
    </row>
    <row r="18" spans="1:9" x14ac:dyDescent="0.25">
      <c r="A18" s="265" t="s">
        <v>818</v>
      </c>
      <c r="B18" s="265"/>
      <c r="C18" s="265" t="s">
        <v>819</v>
      </c>
      <c r="D18" s="265"/>
      <c r="E18" s="265"/>
      <c r="F18" s="265"/>
      <c r="G18" s="265"/>
      <c r="H18" s="265"/>
      <c r="I18" s="265"/>
    </row>
    <row r="19" spans="1:9" x14ac:dyDescent="0.25">
      <c r="A19" s="265" t="s">
        <v>820</v>
      </c>
      <c r="B19" s="265"/>
      <c r="C19" s="265" t="s">
        <v>821</v>
      </c>
      <c r="D19" s="265"/>
      <c r="E19" s="265"/>
      <c r="F19" s="265"/>
      <c r="G19" s="265"/>
      <c r="H19" s="265"/>
      <c r="I19" s="265"/>
    </row>
    <row r="20" spans="1:9" x14ac:dyDescent="0.25">
      <c r="A20" s="265" t="s">
        <v>822</v>
      </c>
      <c r="B20" s="265"/>
      <c r="C20" s="265" t="s">
        <v>823</v>
      </c>
      <c r="D20" s="265"/>
      <c r="E20" s="265"/>
      <c r="F20" s="265"/>
      <c r="G20" s="265"/>
      <c r="H20" s="265"/>
      <c r="I20" s="265"/>
    </row>
    <row r="21" spans="1:9" x14ac:dyDescent="0.25">
      <c r="A21" s="265" t="s">
        <v>824</v>
      </c>
      <c r="B21" s="265"/>
      <c r="C21" s="265" t="s">
        <v>825</v>
      </c>
      <c r="D21" s="265"/>
      <c r="E21" s="265"/>
      <c r="F21" s="265"/>
      <c r="G21" s="265"/>
      <c r="H21" s="265"/>
      <c r="I21" s="265"/>
    </row>
    <row r="22" spans="1:9" x14ac:dyDescent="0.25">
      <c r="A22" s="265" t="s">
        <v>826</v>
      </c>
      <c r="B22" s="265" t="s">
        <v>1004</v>
      </c>
      <c r="C22" s="265" t="s">
        <v>827</v>
      </c>
      <c r="D22" s="265"/>
      <c r="E22" s="265"/>
      <c r="F22" s="265"/>
      <c r="G22" s="265"/>
      <c r="H22" s="265"/>
      <c r="I22" s="265"/>
    </row>
    <row r="23" spans="1:9" x14ac:dyDescent="0.25">
      <c r="A23" s="265" t="s">
        <v>828</v>
      </c>
      <c r="B23" s="265"/>
      <c r="C23" s="265" t="s">
        <v>829</v>
      </c>
      <c r="D23" s="265"/>
      <c r="E23" s="265"/>
      <c r="F23" s="265"/>
      <c r="G23" s="265"/>
      <c r="H23" s="265"/>
      <c r="I23" s="265"/>
    </row>
    <row r="24" spans="1:9" x14ac:dyDescent="0.25">
      <c r="A24" s="265" t="s">
        <v>830</v>
      </c>
      <c r="B24" s="265"/>
      <c r="C24" s="265" t="s">
        <v>831</v>
      </c>
      <c r="D24" s="265"/>
      <c r="E24" s="265"/>
      <c r="F24" s="265"/>
      <c r="G24" s="265"/>
      <c r="H24" s="265"/>
      <c r="I24" s="265"/>
    </row>
    <row r="25" spans="1:9" x14ac:dyDescent="0.25">
      <c r="A25" s="265" t="s">
        <v>465</v>
      </c>
      <c r="B25" s="265"/>
      <c r="C25" s="265" t="s">
        <v>832</v>
      </c>
      <c r="D25" s="265"/>
      <c r="E25" s="265"/>
      <c r="F25" s="265"/>
      <c r="G25" s="265"/>
      <c r="H25" s="265"/>
      <c r="I25" s="265"/>
    </row>
    <row r="26" spans="1:9" x14ac:dyDescent="0.25">
      <c r="A26" s="265" t="s">
        <v>833</v>
      </c>
      <c r="B26" s="265"/>
      <c r="C26" s="265" t="s">
        <v>834</v>
      </c>
      <c r="D26" s="265"/>
      <c r="E26" s="265"/>
      <c r="F26" s="265"/>
      <c r="G26" s="265"/>
      <c r="H26" s="265"/>
      <c r="I26" s="265"/>
    </row>
    <row r="27" spans="1:9" x14ac:dyDescent="0.25">
      <c r="A27" s="265" t="s">
        <v>835</v>
      </c>
      <c r="B27" s="265"/>
      <c r="C27" s="265" t="s">
        <v>836</v>
      </c>
      <c r="D27" s="265"/>
      <c r="E27" s="265"/>
      <c r="F27" s="265"/>
      <c r="G27" s="265"/>
      <c r="H27" s="265"/>
      <c r="I27" s="265"/>
    </row>
    <row r="28" spans="1:9" x14ac:dyDescent="0.25">
      <c r="A28" s="265" t="s">
        <v>837</v>
      </c>
      <c r="B28" s="265"/>
      <c r="C28" s="265" t="s">
        <v>838</v>
      </c>
      <c r="D28" s="265"/>
      <c r="E28" s="265"/>
      <c r="F28" s="265"/>
      <c r="G28" s="265"/>
      <c r="H28" s="265"/>
      <c r="I28" s="265"/>
    </row>
    <row r="29" spans="1:9" x14ac:dyDescent="0.25">
      <c r="A29" s="265" t="s">
        <v>839</v>
      </c>
      <c r="B29" s="265"/>
      <c r="C29" s="265" t="s">
        <v>840</v>
      </c>
      <c r="D29" s="265"/>
      <c r="E29" s="265"/>
      <c r="F29" s="265"/>
      <c r="G29" s="265"/>
      <c r="H29" s="265"/>
      <c r="I29" s="265"/>
    </row>
    <row r="30" spans="1:9" x14ac:dyDescent="0.25">
      <c r="A30" s="263" t="s">
        <v>48</v>
      </c>
      <c r="B30" s="81" t="s">
        <v>49</v>
      </c>
      <c r="C30" s="81" t="s">
        <v>50</v>
      </c>
      <c r="D30" s="81"/>
      <c r="E30" s="81"/>
      <c r="F30" s="266" t="s">
        <v>1005</v>
      </c>
      <c r="G30" s="81"/>
      <c r="H30" s="81"/>
      <c r="I30" s="81"/>
    </row>
    <row r="31" spans="1:9" x14ac:dyDescent="0.25">
      <c r="A31" s="81" t="s">
        <v>841</v>
      </c>
      <c r="B31" s="81"/>
      <c r="C31" s="81" t="s">
        <v>842</v>
      </c>
      <c r="D31" s="81"/>
      <c r="E31" s="81"/>
      <c r="F31" s="81"/>
      <c r="G31" s="81"/>
      <c r="H31" s="81"/>
      <c r="I31" s="81"/>
    </row>
    <row r="32" spans="1:9" x14ac:dyDescent="0.25">
      <c r="A32" s="81" t="s">
        <v>100</v>
      </c>
      <c r="B32" s="81" t="s">
        <v>1006</v>
      </c>
      <c r="C32" s="81" t="s">
        <v>101</v>
      </c>
      <c r="D32" s="81"/>
      <c r="E32" s="81"/>
      <c r="F32" s="81"/>
      <c r="G32" s="81" t="s">
        <v>989</v>
      </c>
      <c r="H32" s="81"/>
      <c r="I32" s="81"/>
    </row>
    <row r="33" spans="1:9" x14ac:dyDescent="0.25">
      <c r="A33" s="81" t="s">
        <v>28</v>
      </c>
      <c r="B33" s="81" t="s">
        <v>717</v>
      </c>
      <c r="C33" s="81" t="s">
        <v>30</v>
      </c>
      <c r="D33" s="81"/>
      <c r="E33" s="81"/>
      <c r="F33" s="81" t="s">
        <v>1007</v>
      </c>
      <c r="G33" s="81" t="s">
        <v>1008</v>
      </c>
      <c r="H33" s="81" t="s">
        <v>29</v>
      </c>
      <c r="I33" s="81"/>
    </row>
    <row r="34" spans="1:9" x14ac:dyDescent="0.25">
      <c r="A34" s="81" t="s">
        <v>118</v>
      </c>
      <c r="B34" s="81" t="s">
        <v>119</v>
      </c>
      <c r="C34" s="81" t="s">
        <v>120</v>
      </c>
      <c r="D34" s="81"/>
      <c r="E34" s="81"/>
      <c r="F34" s="81" t="s">
        <v>118</v>
      </c>
      <c r="G34" s="81" t="s">
        <v>1009</v>
      </c>
      <c r="H34" s="81"/>
      <c r="I34" s="81"/>
    </row>
    <row r="35" spans="1:9" x14ac:dyDescent="0.25">
      <c r="A35" s="81" t="s">
        <v>354</v>
      </c>
      <c r="B35" s="81" t="s">
        <v>355</v>
      </c>
      <c r="C35" s="81" t="s">
        <v>356</v>
      </c>
      <c r="D35" s="81"/>
      <c r="E35" s="81"/>
      <c r="F35" s="81" t="s">
        <v>1010</v>
      </c>
      <c r="G35" s="81" t="s">
        <v>1011</v>
      </c>
      <c r="H35" s="81"/>
      <c r="I35" s="81"/>
    </row>
    <row r="36" spans="1:9" x14ac:dyDescent="0.25">
      <c r="A36" s="81" t="s">
        <v>18</v>
      </c>
      <c r="B36" s="81" t="s">
        <v>19</v>
      </c>
      <c r="C36" s="81" t="s">
        <v>20</v>
      </c>
      <c r="D36" s="81"/>
      <c r="E36" s="81"/>
      <c r="F36" s="81" t="s">
        <v>1012</v>
      </c>
      <c r="G36" s="81" t="s">
        <v>1013</v>
      </c>
      <c r="H36" s="81"/>
      <c r="I36" s="81"/>
    </row>
    <row r="37" spans="1:9" x14ac:dyDescent="0.25">
      <c r="A37" s="81" t="s">
        <v>324</v>
      </c>
      <c r="B37" s="81" t="s">
        <v>325</v>
      </c>
      <c r="C37" s="81" t="s">
        <v>326</v>
      </c>
      <c r="D37" s="81"/>
      <c r="E37" s="81"/>
      <c r="F37" s="81" t="s">
        <v>1014</v>
      </c>
      <c r="G37" s="81" t="s">
        <v>1015</v>
      </c>
      <c r="H37" s="81"/>
      <c r="I37" s="81"/>
    </row>
    <row r="38" spans="1:9" ht="15.75" thickBot="1" x14ac:dyDescent="0.3">
      <c r="A38" s="81" t="s">
        <v>480</v>
      </c>
      <c r="B38" s="81" t="s">
        <v>481</v>
      </c>
      <c r="C38" s="81" t="s">
        <v>482</v>
      </c>
      <c r="D38" s="81"/>
      <c r="E38" s="81"/>
      <c r="F38" s="81"/>
      <c r="G38" s="81"/>
      <c r="H38" s="81"/>
      <c r="I38" s="81"/>
    </row>
    <row r="39" spans="1:9" ht="15.75" thickBot="1" x14ac:dyDescent="0.3">
      <c r="A39" s="267" t="s">
        <v>455</v>
      </c>
      <c r="B39" s="81" t="s">
        <v>762</v>
      </c>
      <c r="C39" s="268" t="s">
        <v>456</v>
      </c>
      <c r="D39" s="268"/>
      <c r="E39" s="268"/>
      <c r="F39" s="268"/>
      <c r="G39" s="268"/>
      <c r="H39" s="269" t="s">
        <v>1016</v>
      </c>
      <c r="I39" s="270"/>
    </row>
    <row r="40" spans="1:9" x14ac:dyDescent="0.25">
      <c r="A40" s="271" t="s">
        <v>148</v>
      </c>
      <c r="B40" s="271" t="s">
        <v>149</v>
      </c>
      <c r="C40" s="271" t="s">
        <v>150</v>
      </c>
      <c r="D40" s="271"/>
      <c r="E40" s="271"/>
      <c r="F40" s="271" t="s">
        <v>1017</v>
      </c>
      <c r="G40" s="271" t="s">
        <v>1018</v>
      </c>
      <c r="H40" s="271"/>
      <c r="I40" s="271"/>
    </row>
    <row r="41" spans="1:9" x14ac:dyDescent="0.25">
      <c r="A41" s="81" t="s">
        <v>698</v>
      </c>
      <c r="B41" s="81" t="s">
        <v>699</v>
      </c>
      <c r="C41" s="81" t="s">
        <v>150</v>
      </c>
      <c r="D41" s="81"/>
      <c r="E41" s="81"/>
      <c r="F41" s="81" t="s">
        <v>1017</v>
      </c>
      <c r="G41" s="81" t="s">
        <v>1018</v>
      </c>
      <c r="H41" s="81"/>
      <c r="I41" s="81"/>
    </row>
    <row r="42" spans="1:9" x14ac:dyDescent="0.25">
      <c r="A42" s="81" t="s">
        <v>342</v>
      </c>
      <c r="B42" s="81" t="s">
        <v>343</v>
      </c>
      <c r="C42" s="81" t="s">
        <v>344</v>
      </c>
      <c r="D42" s="81"/>
      <c r="E42" s="81"/>
      <c r="F42" s="81"/>
      <c r="G42" s="81" t="s">
        <v>1019</v>
      </c>
      <c r="H42" s="81"/>
      <c r="I42" s="81"/>
    </row>
    <row r="43" spans="1:9" x14ac:dyDescent="0.25">
      <c r="A43" s="81" t="s">
        <v>284</v>
      </c>
      <c r="B43" s="81" t="s">
        <v>687</v>
      </c>
      <c r="C43" s="81" t="s">
        <v>285</v>
      </c>
      <c r="D43" s="81"/>
      <c r="E43" s="81"/>
      <c r="F43" s="81" t="s">
        <v>1020</v>
      </c>
      <c r="G43" s="81" t="s">
        <v>276</v>
      </c>
      <c r="H43" s="81" t="s">
        <v>687</v>
      </c>
      <c r="I43" s="81"/>
    </row>
    <row r="44" spans="1:9" x14ac:dyDescent="0.25">
      <c r="A44" s="81" t="s">
        <v>844</v>
      </c>
      <c r="B44" s="81"/>
      <c r="C44" s="81" t="s">
        <v>845</v>
      </c>
      <c r="D44" s="81"/>
      <c r="E44" s="81"/>
      <c r="F44" s="81"/>
      <c r="G44" s="81"/>
      <c r="H44" s="81"/>
      <c r="I44" s="81"/>
    </row>
    <row r="45" spans="1:9" ht="30" x14ac:dyDescent="0.25">
      <c r="A45" s="81" t="s">
        <v>773</v>
      </c>
      <c r="B45" s="81" t="s">
        <v>774</v>
      </c>
      <c r="C45" s="81" t="s">
        <v>775</v>
      </c>
      <c r="D45" s="81"/>
      <c r="E45" s="81"/>
      <c r="F45" s="272" t="s">
        <v>1021</v>
      </c>
      <c r="G45" s="273" t="s">
        <v>1022</v>
      </c>
      <c r="H45" s="81"/>
      <c r="I45" s="264" t="s">
        <v>1023</v>
      </c>
    </row>
    <row r="46" spans="1:9" x14ac:dyDescent="0.25">
      <c r="A46" s="81" t="s">
        <v>70</v>
      </c>
      <c r="B46" s="81" t="s">
        <v>71</v>
      </c>
      <c r="C46" s="81" t="s">
        <v>72</v>
      </c>
      <c r="D46" s="81"/>
      <c r="E46" s="81"/>
      <c r="F46" s="81" t="s">
        <v>1024</v>
      </c>
      <c r="G46" s="81"/>
      <c r="H46" s="81"/>
      <c r="I46" s="81"/>
    </row>
    <row r="47" spans="1:9" x14ac:dyDescent="0.25">
      <c r="A47" s="81" t="s">
        <v>107</v>
      </c>
      <c r="B47" s="81" t="s">
        <v>108</v>
      </c>
      <c r="C47" s="81" t="s">
        <v>109</v>
      </c>
      <c r="D47" s="81"/>
      <c r="E47" s="81"/>
      <c r="F47" s="81" t="s">
        <v>1025</v>
      </c>
      <c r="G47" s="81" t="s">
        <v>1026</v>
      </c>
      <c r="H47" s="81"/>
      <c r="I47" s="81"/>
    </row>
    <row r="48" spans="1:9" x14ac:dyDescent="0.25">
      <c r="A48" s="81" t="s">
        <v>239</v>
      </c>
      <c r="B48" s="81" t="s">
        <v>240</v>
      </c>
      <c r="C48" s="81" t="s">
        <v>241</v>
      </c>
      <c r="D48" s="81"/>
      <c r="E48" s="81"/>
      <c r="F48" s="81"/>
      <c r="G48" s="81" t="s">
        <v>1027</v>
      </c>
      <c r="H48" s="81"/>
      <c r="I48" s="81"/>
    </row>
    <row r="49" spans="1:9" x14ac:dyDescent="0.25">
      <c r="A49" s="81" t="s">
        <v>594</v>
      </c>
      <c r="B49" s="81" t="s">
        <v>595</v>
      </c>
      <c r="C49" s="81" t="s">
        <v>596</v>
      </c>
      <c r="D49" s="81"/>
      <c r="E49" s="81"/>
      <c r="F49" s="81"/>
      <c r="G49" s="81"/>
      <c r="H49" s="81"/>
      <c r="I49" s="81"/>
    </row>
    <row r="50" spans="1:9" ht="15.75" thickBot="1" x14ac:dyDescent="0.3">
      <c r="A50" s="81" t="s">
        <v>44</v>
      </c>
      <c r="B50" s="81" t="s">
        <v>45</v>
      </c>
      <c r="C50" s="81" t="s">
        <v>46</v>
      </c>
      <c r="D50" s="81"/>
      <c r="E50" s="81"/>
      <c r="F50" s="81" t="s">
        <v>1028</v>
      </c>
      <c r="G50" s="81"/>
      <c r="H50" s="81" t="s">
        <v>1029</v>
      </c>
      <c r="I50" s="81" t="s">
        <v>1030</v>
      </c>
    </row>
    <row r="51" spans="1:9" ht="15.75" thickBot="1" x14ac:dyDescent="0.3">
      <c r="A51" s="267" t="s">
        <v>411</v>
      </c>
      <c r="B51" s="268"/>
      <c r="C51" s="268" t="s">
        <v>412</v>
      </c>
      <c r="D51" s="268" t="s">
        <v>1031</v>
      </c>
      <c r="E51" s="268"/>
      <c r="F51" s="268"/>
      <c r="G51" s="268" t="s">
        <v>1031</v>
      </c>
      <c r="H51" s="269" t="s">
        <v>1016</v>
      </c>
      <c r="I51" s="270"/>
    </row>
    <row r="52" spans="1:9" x14ac:dyDescent="0.25">
      <c r="A52" s="81" t="s">
        <v>1032</v>
      </c>
      <c r="B52" s="81" t="s">
        <v>202</v>
      </c>
      <c r="C52" s="81" t="s">
        <v>203</v>
      </c>
      <c r="D52" s="81"/>
      <c r="E52" s="81"/>
      <c r="F52" s="81" t="s">
        <v>1033</v>
      </c>
      <c r="G52" s="81" t="s">
        <v>1034</v>
      </c>
      <c r="H52" s="81"/>
      <c r="I52" s="81"/>
    </row>
    <row r="53" spans="1:9" x14ac:dyDescent="0.25">
      <c r="A53" s="81" t="s">
        <v>66</v>
      </c>
      <c r="B53" s="81" t="s">
        <v>67</v>
      </c>
      <c r="C53" s="81" t="s">
        <v>68</v>
      </c>
      <c r="D53" s="81"/>
      <c r="E53" s="81"/>
      <c r="F53" s="81"/>
      <c r="G53" s="81" t="s">
        <v>1035</v>
      </c>
      <c r="H53" s="81"/>
      <c r="I53" s="81"/>
    </row>
    <row r="54" spans="1:9" x14ac:dyDescent="0.25">
      <c r="A54" s="263" t="s">
        <v>84</v>
      </c>
      <c r="B54" s="81" t="s">
        <v>85</v>
      </c>
      <c r="C54" s="81" t="s">
        <v>86</v>
      </c>
      <c r="D54" s="81"/>
      <c r="E54" s="81"/>
      <c r="F54" s="81"/>
      <c r="G54" s="81" t="s">
        <v>1036</v>
      </c>
      <c r="H54" s="81"/>
      <c r="I54" s="81"/>
    </row>
    <row r="55" spans="1:9" x14ac:dyDescent="0.25">
      <c r="A55" s="81" t="s">
        <v>848</v>
      </c>
      <c r="B55" s="81"/>
      <c r="C55" s="81" t="s">
        <v>849</v>
      </c>
      <c r="D55" s="81"/>
      <c r="E55" s="81"/>
      <c r="F55" s="81"/>
      <c r="G55" s="81"/>
      <c r="H55" s="81"/>
      <c r="I55" s="81"/>
    </row>
    <row r="56" spans="1:9" x14ac:dyDescent="0.25">
      <c r="A56" s="81" t="s">
        <v>850</v>
      </c>
      <c r="B56" s="81"/>
      <c r="C56" s="81" t="s">
        <v>851</v>
      </c>
      <c r="D56" s="81"/>
      <c r="E56" s="81"/>
      <c r="F56" s="81"/>
      <c r="G56" s="81"/>
      <c r="H56" s="81"/>
      <c r="I56" s="81"/>
    </row>
    <row r="57" spans="1:9" ht="15.75" thickBot="1" x14ac:dyDescent="0.3">
      <c r="A57" s="81" t="s">
        <v>103</v>
      </c>
      <c r="B57" s="81" t="s">
        <v>104</v>
      </c>
      <c r="C57" s="81" t="s">
        <v>105</v>
      </c>
      <c r="D57" s="81"/>
      <c r="E57" s="81"/>
      <c r="F57" s="81"/>
      <c r="G57" s="81" t="s">
        <v>1037</v>
      </c>
      <c r="H57" s="81"/>
      <c r="I57" s="81"/>
    </row>
    <row r="58" spans="1:9" ht="15.75" thickBot="1" x14ac:dyDescent="0.3">
      <c r="A58" s="267" t="s">
        <v>319</v>
      </c>
      <c r="B58" s="268"/>
      <c r="C58" s="268" t="s">
        <v>320</v>
      </c>
      <c r="D58" s="268" t="s">
        <v>1038</v>
      </c>
      <c r="E58" s="268"/>
      <c r="F58" s="268" t="s">
        <v>1039</v>
      </c>
      <c r="G58" s="268" t="s">
        <v>1038</v>
      </c>
      <c r="H58" s="269" t="s">
        <v>1016</v>
      </c>
      <c r="I58" s="270" t="s">
        <v>1040</v>
      </c>
    </row>
    <row r="59" spans="1:9" x14ac:dyDescent="0.25">
      <c r="A59" s="81" t="s">
        <v>53</v>
      </c>
      <c r="B59" s="81" t="s">
        <v>677</v>
      </c>
      <c r="C59" s="81" t="s">
        <v>55</v>
      </c>
      <c r="D59" s="81"/>
      <c r="E59" s="81"/>
      <c r="F59" s="81" t="s">
        <v>1041</v>
      </c>
      <c r="G59" s="81" t="s">
        <v>1042</v>
      </c>
      <c r="H59" s="81"/>
      <c r="I59" s="81" t="s">
        <v>54</v>
      </c>
    </row>
    <row r="60" spans="1:9" x14ac:dyDescent="0.25">
      <c r="A60" s="81" t="s">
        <v>492</v>
      </c>
      <c r="B60" s="81"/>
      <c r="C60" s="81" t="s">
        <v>493</v>
      </c>
      <c r="D60" s="81"/>
      <c r="E60" s="81"/>
      <c r="F60" s="81"/>
      <c r="G60" s="81"/>
      <c r="H60" s="81"/>
      <c r="I60" s="81"/>
    </row>
    <row r="61" spans="1:9" x14ac:dyDescent="0.25">
      <c r="A61" s="81" t="s">
        <v>852</v>
      </c>
      <c r="B61" s="81"/>
      <c r="C61" s="81" t="s">
        <v>853</v>
      </c>
      <c r="D61" s="81"/>
      <c r="E61" s="81"/>
      <c r="F61" s="81"/>
      <c r="G61" s="81"/>
      <c r="H61" s="81"/>
      <c r="I61" s="81"/>
    </row>
    <row r="62" spans="1:9" ht="15.75" thickBot="1" x14ac:dyDescent="0.3">
      <c r="A62" s="81" t="s">
        <v>90</v>
      </c>
      <c r="B62" s="81" t="s">
        <v>91</v>
      </c>
      <c r="C62" s="81" t="s">
        <v>92</v>
      </c>
      <c r="D62" s="81"/>
      <c r="E62" s="81"/>
      <c r="F62" s="81" t="s">
        <v>1043</v>
      </c>
      <c r="G62" s="81" t="s">
        <v>1044</v>
      </c>
      <c r="H62" s="81"/>
      <c r="I62" s="81"/>
    </row>
    <row r="63" spans="1:9" ht="15.75" thickBot="1" x14ac:dyDescent="0.3">
      <c r="A63" s="274" t="s">
        <v>398</v>
      </c>
      <c r="B63" s="81" t="s">
        <v>682</v>
      </c>
      <c r="C63" s="275" t="s">
        <v>399</v>
      </c>
      <c r="D63" s="276"/>
      <c r="E63" s="276"/>
      <c r="F63" s="276"/>
      <c r="G63" s="276"/>
      <c r="H63" s="269" t="s">
        <v>1016</v>
      </c>
      <c r="I63" s="277" t="s">
        <v>1045</v>
      </c>
    </row>
    <row r="64" spans="1:9" x14ac:dyDescent="0.25">
      <c r="A64" s="81" t="s">
        <v>942</v>
      </c>
      <c r="B64" s="81" t="s">
        <v>276</v>
      </c>
      <c r="C64" s="263" t="s">
        <v>277</v>
      </c>
      <c r="D64" s="81"/>
      <c r="E64" s="81"/>
      <c r="F64" s="81" t="s">
        <v>1020</v>
      </c>
      <c r="G64" s="81" t="s">
        <v>276</v>
      </c>
      <c r="H64" s="81"/>
      <c r="I64" s="81"/>
    </row>
    <row r="65" spans="1:9" x14ac:dyDescent="0.25">
      <c r="A65" s="81" t="s">
        <v>854</v>
      </c>
      <c r="B65" s="81"/>
      <c r="C65" s="81" t="s">
        <v>855</v>
      </c>
      <c r="D65" s="81"/>
      <c r="E65" s="81"/>
      <c r="F65" s="81"/>
      <c r="G65" s="81"/>
      <c r="H65" s="81"/>
      <c r="I65" s="81"/>
    </row>
    <row r="66" spans="1:9" x14ac:dyDescent="0.25">
      <c r="A66" s="81" t="s">
        <v>856</v>
      </c>
      <c r="B66" s="81" t="s">
        <v>1046</v>
      </c>
      <c r="C66" s="81" t="s">
        <v>857</v>
      </c>
      <c r="D66" s="81"/>
      <c r="E66" s="81"/>
      <c r="F66" s="81"/>
      <c r="G66" s="81"/>
      <c r="H66" s="81"/>
      <c r="I66" s="81"/>
    </row>
    <row r="67" spans="1:9" x14ac:dyDescent="0.25">
      <c r="A67" s="81" t="s">
        <v>243</v>
      </c>
      <c r="B67" s="81" t="s">
        <v>244</v>
      </c>
      <c r="C67" s="81" t="s">
        <v>245</v>
      </c>
      <c r="D67" s="81"/>
      <c r="E67" s="81"/>
      <c r="F67" s="81" t="s">
        <v>1047</v>
      </c>
      <c r="G67" s="81" t="s">
        <v>1048</v>
      </c>
      <c r="H67" s="81"/>
      <c r="I67" s="81" t="s">
        <v>1049</v>
      </c>
    </row>
    <row r="68" spans="1:9" x14ac:dyDescent="0.25">
      <c r="A68" s="81" t="s">
        <v>612</v>
      </c>
      <c r="B68" s="81" t="s">
        <v>613</v>
      </c>
      <c r="C68" s="81" t="s">
        <v>614</v>
      </c>
      <c r="D68" s="81"/>
      <c r="E68" s="81"/>
      <c r="F68" s="81"/>
      <c r="G68" s="81"/>
      <c r="H68" s="81"/>
      <c r="I68" s="264" t="s">
        <v>1050</v>
      </c>
    </row>
    <row r="69" spans="1:9" x14ac:dyDescent="0.25">
      <c r="A69" s="81" t="s">
        <v>363</v>
      </c>
      <c r="B69" s="81" t="s">
        <v>364</v>
      </c>
      <c r="C69" s="81" t="s">
        <v>365</v>
      </c>
      <c r="D69" s="81"/>
      <c r="E69" s="81"/>
      <c r="F69" s="81" t="s">
        <v>1051</v>
      </c>
      <c r="G69" s="81" t="s">
        <v>1052</v>
      </c>
      <c r="H69" s="81" t="s">
        <v>1053</v>
      </c>
      <c r="I69" s="81" t="s">
        <v>1054</v>
      </c>
    </row>
    <row r="70" spans="1:9" x14ac:dyDescent="0.25">
      <c r="A70" s="81" t="s">
        <v>633</v>
      </c>
      <c r="B70" s="81" t="s">
        <v>634</v>
      </c>
      <c r="C70" s="81" t="s">
        <v>635</v>
      </c>
      <c r="D70" s="81"/>
      <c r="E70" s="81"/>
      <c r="F70" s="81"/>
      <c r="G70" s="81" t="s">
        <v>1055</v>
      </c>
      <c r="H70" s="81"/>
      <c r="I70" s="81"/>
    </row>
    <row r="71" spans="1:9" x14ac:dyDescent="0.25">
      <c r="A71" s="81" t="s">
        <v>434</v>
      </c>
      <c r="B71" s="81" t="s">
        <v>435</v>
      </c>
      <c r="C71" s="81" t="s">
        <v>436</v>
      </c>
      <c r="D71" s="81"/>
      <c r="E71" s="81"/>
      <c r="F71" s="81" t="s">
        <v>1056</v>
      </c>
      <c r="G71" s="81" t="s">
        <v>1057</v>
      </c>
      <c r="H71" s="81"/>
      <c r="I71" s="81"/>
    </row>
    <row r="72" spans="1:9" x14ac:dyDescent="0.25">
      <c r="A72" s="263" t="s">
        <v>144</v>
      </c>
      <c r="B72" s="81" t="s">
        <v>661</v>
      </c>
      <c r="C72" s="81" t="s">
        <v>146</v>
      </c>
      <c r="D72" s="81"/>
      <c r="E72" s="81"/>
      <c r="F72" s="278" t="s">
        <v>1058</v>
      </c>
      <c r="G72" s="81" t="s">
        <v>1059</v>
      </c>
      <c r="H72" s="81" t="s">
        <v>145</v>
      </c>
      <c r="I72" s="81" t="s">
        <v>661</v>
      </c>
    </row>
    <row r="73" spans="1:9" ht="15.75" thickBot="1" x14ac:dyDescent="0.3">
      <c r="A73" s="263" t="s">
        <v>859</v>
      </c>
      <c r="B73" s="81" t="s">
        <v>1060</v>
      </c>
      <c r="C73" s="81" t="s">
        <v>860</v>
      </c>
      <c r="D73" s="81"/>
      <c r="E73" s="81"/>
      <c r="F73" s="81" t="s">
        <v>1061</v>
      </c>
      <c r="G73" s="81" t="s">
        <v>1062</v>
      </c>
      <c r="H73" s="81"/>
      <c r="I73" s="81"/>
    </row>
    <row r="74" spans="1:9" ht="15.75" thickBot="1" x14ac:dyDescent="0.3">
      <c r="A74" s="279" t="s">
        <v>303</v>
      </c>
      <c r="B74" s="268"/>
      <c r="C74" s="268" t="s">
        <v>304</v>
      </c>
      <c r="D74" s="268"/>
      <c r="E74" s="268"/>
      <c r="F74" s="268" t="s">
        <v>1063</v>
      </c>
      <c r="G74" s="268" t="s">
        <v>1064</v>
      </c>
      <c r="H74" s="280" t="s">
        <v>1016</v>
      </c>
      <c r="I74" s="270"/>
    </row>
    <row r="75" spans="1:9" x14ac:dyDescent="0.25">
      <c r="A75" s="263" t="s">
        <v>861</v>
      </c>
      <c r="B75" s="81" t="s">
        <v>1065</v>
      </c>
      <c r="C75" s="81" t="s">
        <v>862</v>
      </c>
      <c r="D75" s="81"/>
      <c r="E75" s="81"/>
      <c r="F75" s="81"/>
      <c r="G75" s="81"/>
      <c r="H75" s="81"/>
      <c r="I75" s="81"/>
    </row>
    <row r="76" spans="1:9" x14ac:dyDescent="0.25">
      <c r="A76" s="81" t="s">
        <v>24</v>
      </c>
      <c r="B76" s="81" t="s">
        <v>25</v>
      </c>
      <c r="C76" s="81" t="s">
        <v>26</v>
      </c>
      <c r="D76" s="81"/>
      <c r="E76" s="81"/>
      <c r="F76" s="81" t="s">
        <v>1066</v>
      </c>
      <c r="G76" s="81" t="s">
        <v>1067</v>
      </c>
      <c r="H76" s="81" t="s">
        <v>1068</v>
      </c>
      <c r="I76" s="81" t="s">
        <v>1069</v>
      </c>
    </row>
    <row r="77" spans="1:9" x14ac:dyDescent="0.25">
      <c r="A77" s="81" t="s">
        <v>230</v>
      </c>
      <c r="B77" s="81" t="s">
        <v>231</v>
      </c>
      <c r="C77" s="81" t="s">
        <v>232</v>
      </c>
      <c r="D77" s="81"/>
      <c r="E77" s="81"/>
      <c r="F77" s="81"/>
      <c r="G77" s="81" t="s">
        <v>1070</v>
      </c>
      <c r="H77" s="81" t="s">
        <v>1071</v>
      </c>
      <c r="I77" s="81" t="s">
        <v>231</v>
      </c>
    </row>
    <row r="78" spans="1:9" x14ac:dyDescent="0.25">
      <c r="A78" s="81" t="s">
        <v>312</v>
      </c>
      <c r="B78" s="81" t="s">
        <v>313</v>
      </c>
      <c r="C78" s="81" t="s">
        <v>314</v>
      </c>
      <c r="D78" s="81"/>
      <c r="E78" s="81"/>
      <c r="F78" s="81"/>
      <c r="G78" s="81" t="s">
        <v>1072</v>
      </c>
      <c r="H78" s="81"/>
      <c r="I78" s="81"/>
    </row>
    <row r="79" spans="1:9" x14ac:dyDescent="0.25">
      <c r="A79" s="81" t="s">
        <v>126</v>
      </c>
      <c r="B79" s="81" t="s">
        <v>127</v>
      </c>
      <c r="C79" s="81" t="s">
        <v>128</v>
      </c>
      <c r="D79" s="81"/>
      <c r="E79" s="81"/>
      <c r="F79" s="81"/>
      <c r="G79" s="81" t="s">
        <v>1073</v>
      </c>
      <c r="H79" s="81"/>
      <c r="I79" s="81"/>
    </row>
    <row r="80" spans="1:9" x14ac:dyDescent="0.25">
      <c r="A80" s="263" t="s">
        <v>130</v>
      </c>
      <c r="B80" s="81" t="s">
        <v>131</v>
      </c>
      <c r="C80" s="81" t="s">
        <v>132</v>
      </c>
      <c r="D80" s="81"/>
      <c r="E80" s="81"/>
      <c r="F80" s="81" t="s">
        <v>1074</v>
      </c>
      <c r="G80" s="81" t="s">
        <v>1075</v>
      </c>
      <c r="H80" s="81"/>
      <c r="I80" s="81"/>
    </row>
    <row r="81" spans="1:10" x14ac:dyDescent="0.25">
      <c r="A81" s="81" t="s">
        <v>465</v>
      </c>
      <c r="B81" s="81" t="s">
        <v>466</v>
      </c>
      <c r="C81" s="81" t="s">
        <v>467</v>
      </c>
      <c r="D81" s="81"/>
      <c r="E81" s="81"/>
      <c r="F81" s="81"/>
      <c r="G81" s="81"/>
      <c r="H81" s="81"/>
      <c r="I81" s="81"/>
    </row>
    <row r="82" spans="1:10" x14ac:dyDescent="0.25">
      <c r="A82" s="81" t="s">
        <v>32</v>
      </c>
      <c r="B82" s="81" t="s">
        <v>1076</v>
      </c>
      <c r="C82" s="81" t="s">
        <v>34</v>
      </c>
      <c r="D82" s="81"/>
      <c r="E82" s="81"/>
      <c r="F82" s="81"/>
      <c r="G82" s="81" t="s">
        <v>1077</v>
      </c>
      <c r="H82" s="81"/>
      <c r="I82" s="81"/>
    </row>
    <row r="83" spans="1:10" x14ac:dyDescent="0.25">
      <c r="A83" s="81" t="s">
        <v>296</v>
      </c>
      <c r="B83" s="81" t="s">
        <v>297</v>
      </c>
      <c r="C83" s="81" t="s">
        <v>298</v>
      </c>
      <c r="D83" s="81"/>
      <c r="E83" s="81"/>
      <c r="F83" s="81" t="s">
        <v>1078</v>
      </c>
      <c r="G83" s="81" t="s">
        <v>1079</v>
      </c>
      <c r="H83" s="81"/>
      <c r="I83" s="81"/>
    </row>
    <row r="84" spans="1:10" x14ac:dyDescent="0.25">
      <c r="A84" s="81" t="s">
        <v>423</v>
      </c>
      <c r="B84" s="81" t="s">
        <v>1080</v>
      </c>
      <c r="C84" s="81" t="s">
        <v>424</v>
      </c>
      <c r="D84" s="81"/>
      <c r="E84" s="81"/>
      <c r="F84" s="81" t="s">
        <v>1081</v>
      </c>
      <c r="G84" s="81"/>
      <c r="H84" s="81"/>
      <c r="I84" s="81"/>
    </row>
    <row r="85" spans="1:10" x14ac:dyDescent="0.25">
      <c r="A85" s="263" t="s">
        <v>252</v>
      </c>
      <c r="B85" s="81" t="s">
        <v>253</v>
      </c>
      <c r="C85" s="81" t="s">
        <v>254</v>
      </c>
      <c r="D85" s="81"/>
      <c r="E85" s="81"/>
      <c r="F85" s="81" t="s">
        <v>252</v>
      </c>
      <c r="G85" s="81" t="s">
        <v>1082</v>
      </c>
      <c r="H85" s="81"/>
      <c r="I85" s="81"/>
    </row>
    <row r="86" spans="1:10" x14ac:dyDescent="0.25">
      <c r="A86" s="81" t="s">
        <v>259</v>
      </c>
      <c r="B86" s="81" t="s">
        <v>260</v>
      </c>
      <c r="C86" s="81" t="s">
        <v>261</v>
      </c>
      <c r="D86" s="81"/>
      <c r="E86" s="81"/>
      <c r="F86" s="81"/>
      <c r="G86" s="81" t="s">
        <v>1083</v>
      </c>
      <c r="H86" s="81"/>
      <c r="I86" s="81"/>
    </row>
    <row r="87" spans="1:10" x14ac:dyDescent="0.25">
      <c r="A87" s="81" t="s">
        <v>215</v>
      </c>
      <c r="B87" s="81" t="s">
        <v>216</v>
      </c>
      <c r="C87" s="81" t="s">
        <v>217</v>
      </c>
      <c r="D87" s="81"/>
      <c r="E87" s="81"/>
      <c r="F87" s="81"/>
      <c r="G87" s="81" t="s">
        <v>1084</v>
      </c>
      <c r="H87" s="81"/>
      <c r="I87" s="81"/>
    </row>
    <row r="88" spans="1:10" x14ac:dyDescent="0.25">
      <c r="A88" s="81" t="s">
        <v>863</v>
      </c>
      <c r="B88" s="81" t="s">
        <v>1085</v>
      </c>
      <c r="C88" s="81" t="s">
        <v>864</v>
      </c>
      <c r="D88" s="81"/>
      <c r="E88" s="81"/>
      <c r="F88" s="81"/>
      <c r="G88" s="81"/>
      <c r="H88" s="81"/>
      <c r="I88" s="81"/>
    </row>
    <row r="89" spans="1:10" x14ac:dyDescent="0.25">
      <c r="A89" s="81" t="s">
        <v>211</v>
      </c>
      <c r="B89" s="81" t="s">
        <v>212</v>
      </c>
      <c r="C89" s="81" t="s">
        <v>213</v>
      </c>
      <c r="D89" s="81"/>
      <c r="E89" s="81"/>
      <c r="F89" s="81" t="s">
        <v>1086</v>
      </c>
      <c r="G89" s="81" t="s">
        <v>1087</v>
      </c>
      <c r="H89" s="81"/>
      <c r="I89" s="81"/>
      <c r="J89" t="s">
        <v>1088</v>
      </c>
    </row>
    <row r="90" spans="1:10" ht="15.75" thickBot="1" x14ac:dyDescent="0.3">
      <c r="A90" s="81" t="s">
        <v>865</v>
      </c>
      <c r="B90" s="81"/>
      <c r="C90" s="81" t="s">
        <v>866</v>
      </c>
      <c r="D90" s="81"/>
      <c r="E90" s="81"/>
      <c r="F90" s="81"/>
      <c r="G90" s="81"/>
      <c r="H90" s="81"/>
      <c r="I90" s="81"/>
    </row>
    <row r="91" spans="1:10" ht="15.75" thickBot="1" x14ac:dyDescent="0.3">
      <c r="A91" s="274" t="s">
        <v>171</v>
      </c>
      <c r="B91" s="276"/>
      <c r="C91" s="276" t="s">
        <v>172</v>
      </c>
      <c r="D91" s="276"/>
      <c r="E91" s="276"/>
      <c r="F91" s="276"/>
      <c r="G91" s="276"/>
      <c r="H91" s="269" t="s">
        <v>1016</v>
      </c>
      <c r="I91" s="277"/>
    </row>
    <row r="92" spans="1:10" x14ac:dyDescent="0.25">
      <c r="A92" s="81" t="s">
        <v>206</v>
      </c>
      <c r="B92" s="81" t="s">
        <v>207</v>
      </c>
      <c r="C92" s="81" t="s">
        <v>208</v>
      </c>
      <c r="D92" s="81"/>
      <c r="E92" s="81"/>
      <c r="F92" s="81"/>
      <c r="G92" s="81" t="s">
        <v>1089</v>
      </c>
      <c r="H92" s="81"/>
      <c r="I92" s="81"/>
    </row>
    <row r="93" spans="1:10" x14ac:dyDescent="0.25">
      <c r="A93" s="81" t="s">
        <v>122</v>
      </c>
      <c r="B93" s="81" t="s">
        <v>123</v>
      </c>
      <c r="C93" s="81" t="s">
        <v>124</v>
      </c>
      <c r="D93" s="81"/>
      <c r="E93" s="81"/>
      <c r="F93" s="81" t="s">
        <v>1090</v>
      </c>
      <c r="G93" s="81" t="s">
        <v>1091</v>
      </c>
      <c r="H93" s="81"/>
      <c r="I93" s="81"/>
    </row>
    <row r="94" spans="1:10" x14ac:dyDescent="0.25">
      <c r="A94" s="81" t="s">
        <v>40</v>
      </c>
      <c r="B94" s="81" t="s">
        <v>41</v>
      </c>
      <c r="C94" s="81" t="s">
        <v>42</v>
      </c>
      <c r="D94" s="81"/>
      <c r="E94" s="81"/>
      <c r="F94" s="81"/>
      <c r="G94" s="81" t="s">
        <v>1092</v>
      </c>
      <c r="H94" s="81"/>
      <c r="I94" s="81"/>
    </row>
    <row r="95" spans="1:10" x14ac:dyDescent="0.25">
      <c r="A95" s="271" t="s">
        <v>152</v>
      </c>
      <c r="B95" s="271" t="s">
        <v>153</v>
      </c>
      <c r="C95" s="271" t="s">
        <v>154</v>
      </c>
      <c r="D95" s="271"/>
      <c r="E95" s="271"/>
      <c r="F95" s="271" t="s">
        <v>1093</v>
      </c>
      <c r="G95" s="271" t="s">
        <v>1094</v>
      </c>
      <c r="H95" s="271"/>
      <c r="I95" s="271"/>
    </row>
    <row r="96" spans="1:10" x14ac:dyDescent="0.25">
      <c r="A96" s="81" t="s">
        <v>714</v>
      </c>
      <c r="B96" s="81" t="s">
        <v>715</v>
      </c>
      <c r="C96" s="81" t="s">
        <v>154</v>
      </c>
      <c r="D96" s="81"/>
      <c r="E96" s="81"/>
      <c r="F96" s="81"/>
      <c r="G96" s="81"/>
      <c r="H96" s="81"/>
      <c r="I96" s="81"/>
    </row>
    <row r="97" spans="1:9" x14ac:dyDescent="0.25">
      <c r="A97" s="81" t="s">
        <v>185</v>
      </c>
      <c r="B97" s="81" t="s">
        <v>186</v>
      </c>
      <c r="C97" s="81" t="s">
        <v>187</v>
      </c>
      <c r="D97" s="81"/>
      <c r="E97" s="81"/>
      <c r="F97" s="81" t="s">
        <v>1095</v>
      </c>
      <c r="G97" s="81" t="s">
        <v>1096</v>
      </c>
      <c r="H97" s="81"/>
      <c r="I97" s="81"/>
    </row>
    <row r="98" spans="1:9" x14ac:dyDescent="0.25">
      <c r="A98" s="81" t="s">
        <v>291</v>
      </c>
      <c r="B98" s="81" t="s">
        <v>292</v>
      </c>
      <c r="C98" s="81" t="s">
        <v>293</v>
      </c>
      <c r="D98" s="81"/>
      <c r="E98" s="81"/>
      <c r="F98" s="81" t="s">
        <v>291</v>
      </c>
      <c r="G98" s="81" t="s">
        <v>1097</v>
      </c>
      <c r="H98" s="81"/>
      <c r="I98" s="81"/>
    </row>
    <row r="99" spans="1:9" x14ac:dyDescent="0.25">
      <c r="A99" s="81" t="s">
        <v>287</v>
      </c>
      <c r="B99" s="81" t="s">
        <v>288</v>
      </c>
      <c r="C99" s="81" t="s">
        <v>289</v>
      </c>
      <c r="D99" s="81"/>
      <c r="E99" s="81"/>
      <c r="F99" s="81" t="s">
        <v>1098</v>
      </c>
      <c r="G99" s="81" t="s">
        <v>1099</v>
      </c>
      <c r="H99" s="81" t="s">
        <v>1100</v>
      </c>
      <c r="I99" s="81"/>
    </row>
    <row r="100" spans="1:9" x14ac:dyDescent="0.25">
      <c r="A100" s="81" t="s">
        <v>537</v>
      </c>
      <c r="B100" s="81" t="s">
        <v>538</v>
      </c>
      <c r="C100" s="81" t="s">
        <v>539</v>
      </c>
      <c r="D100" s="81"/>
      <c r="E100" s="81"/>
      <c r="F100" s="81"/>
      <c r="G100" s="81" t="s">
        <v>1101</v>
      </c>
      <c r="H100" s="81"/>
      <c r="I100" s="81"/>
    </row>
    <row r="101" spans="1:9" x14ac:dyDescent="0.25">
      <c r="A101" s="81" t="s">
        <v>402</v>
      </c>
      <c r="B101" s="81" t="s">
        <v>403</v>
      </c>
      <c r="C101" s="81" t="s">
        <v>404</v>
      </c>
      <c r="D101" s="81"/>
      <c r="E101" s="81"/>
      <c r="F101" s="81" t="s">
        <v>1102</v>
      </c>
      <c r="G101" s="81" t="s">
        <v>1103</v>
      </c>
      <c r="H101" s="81"/>
      <c r="I101" s="81"/>
    </row>
    <row r="102" spans="1:9" x14ac:dyDescent="0.25">
      <c r="A102" s="81" t="s">
        <v>472</v>
      </c>
      <c r="B102" s="81"/>
      <c r="C102" s="81" t="s">
        <v>473</v>
      </c>
      <c r="D102" s="81"/>
      <c r="E102" s="81"/>
      <c r="F102" s="81"/>
      <c r="G102" s="81"/>
      <c r="H102" s="81"/>
      <c r="I102" s="81"/>
    </row>
    <row r="103" spans="1:9" x14ac:dyDescent="0.25">
      <c r="A103" s="81" t="s">
        <v>418</v>
      </c>
      <c r="B103" s="81" t="s">
        <v>419</v>
      </c>
      <c r="C103" s="81" t="s">
        <v>420</v>
      </c>
      <c r="D103" s="81"/>
      <c r="E103" s="81"/>
      <c r="F103" s="81"/>
      <c r="G103" s="81" t="s">
        <v>1104</v>
      </c>
      <c r="H103" s="81"/>
      <c r="I103" s="81"/>
    </row>
    <row r="104" spans="1:9" x14ac:dyDescent="0.25">
      <c r="A104" s="81" t="s">
        <v>408</v>
      </c>
      <c r="B104" s="81" t="s">
        <v>409</v>
      </c>
      <c r="C104" s="81" t="s">
        <v>410</v>
      </c>
      <c r="D104" s="81"/>
      <c r="E104" s="81"/>
      <c r="F104" s="81"/>
      <c r="G104" s="81" t="s">
        <v>1105</v>
      </c>
      <c r="H104" s="81"/>
      <c r="I104" s="81"/>
    </row>
    <row r="105" spans="1:9" x14ac:dyDescent="0.25">
      <c r="A105" s="81" t="s">
        <v>280</v>
      </c>
      <c r="B105" s="81" t="s">
        <v>281</v>
      </c>
      <c r="C105" s="81" t="s">
        <v>282</v>
      </c>
      <c r="D105" s="81"/>
      <c r="E105" s="81"/>
      <c r="F105" s="81"/>
      <c r="G105" s="81"/>
      <c r="H105" s="81"/>
      <c r="I105" s="81"/>
    </row>
    <row r="106" spans="1:9" x14ac:dyDescent="0.25">
      <c r="A106" s="81" t="s">
        <v>558</v>
      </c>
      <c r="B106" s="81" t="s">
        <v>559</v>
      </c>
      <c r="C106" s="81" t="s">
        <v>560</v>
      </c>
      <c r="D106" s="81"/>
      <c r="E106" s="81"/>
      <c r="F106" s="81"/>
      <c r="G106" s="81" t="s">
        <v>1106</v>
      </c>
      <c r="H106" s="81" t="s">
        <v>1107</v>
      </c>
      <c r="I106" s="81"/>
    </row>
    <row r="107" spans="1:9" x14ac:dyDescent="0.25">
      <c r="A107" s="81" t="s">
        <v>36</v>
      </c>
      <c r="B107" s="81" t="s">
        <v>1108</v>
      </c>
      <c r="C107" s="81" t="s">
        <v>38</v>
      </c>
      <c r="D107" s="81"/>
      <c r="E107" s="81"/>
      <c r="F107" s="81"/>
      <c r="G107" s="81" t="s">
        <v>1109</v>
      </c>
      <c r="H107" s="81"/>
      <c r="I107" s="81"/>
    </row>
    <row r="108" spans="1:9" x14ac:dyDescent="0.25">
      <c r="A108" s="81" t="s">
        <v>867</v>
      </c>
      <c r="B108" s="81"/>
      <c r="C108" s="81" t="s">
        <v>868</v>
      </c>
      <c r="D108" s="81"/>
      <c r="E108" s="81"/>
      <c r="F108" s="81"/>
      <c r="G108" s="81"/>
      <c r="H108" s="81"/>
      <c r="I108" s="81"/>
    </row>
    <row r="109" spans="1:9" x14ac:dyDescent="0.25">
      <c r="A109" s="81" t="s">
        <v>484</v>
      </c>
      <c r="B109" s="81" t="s">
        <v>485</v>
      </c>
      <c r="C109" s="81" t="s">
        <v>486</v>
      </c>
      <c r="D109" s="81"/>
      <c r="E109" s="81"/>
      <c r="F109" s="81"/>
      <c r="G109" s="81" t="s">
        <v>1110</v>
      </c>
      <c r="H109" s="81"/>
      <c r="I109" s="81"/>
    </row>
    <row r="110" spans="1:9" x14ac:dyDescent="0.25">
      <c r="A110" s="81" t="s">
        <v>372</v>
      </c>
      <c r="B110" s="81" t="s">
        <v>373</v>
      </c>
      <c r="C110" s="81" t="s">
        <v>374</v>
      </c>
      <c r="D110" s="81"/>
      <c r="E110" s="81"/>
      <c r="F110" s="81"/>
      <c r="G110" s="81"/>
      <c r="H110" s="81"/>
      <c r="I110" s="81"/>
    </row>
    <row r="111" spans="1:9" x14ac:dyDescent="0.25">
      <c r="A111" s="81" t="s">
        <v>413</v>
      </c>
      <c r="B111" s="81" t="s">
        <v>414</v>
      </c>
      <c r="C111" s="81" t="s">
        <v>415</v>
      </c>
      <c r="D111" s="81"/>
      <c r="E111" s="81"/>
      <c r="F111" s="81"/>
      <c r="G111" s="81" t="s">
        <v>1111</v>
      </c>
      <c r="H111" s="81"/>
      <c r="I111" s="81"/>
    </row>
    <row r="112" spans="1:9" x14ac:dyDescent="0.25">
      <c r="A112" s="81" t="s">
        <v>869</v>
      </c>
      <c r="B112" s="81"/>
      <c r="C112" s="81" t="s">
        <v>870</v>
      </c>
      <c r="D112" s="81"/>
      <c r="E112" s="81"/>
      <c r="F112" s="81"/>
      <c r="G112" s="81"/>
      <c r="H112" s="81"/>
      <c r="I112" s="81"/>
    </row>
    <row r="113" spans="1:9" x14ac:dyDescent="0.25">
      <c r="A113" s="81" t="s">
        <v>219</v>
      </c>
      <c r="B113" s="81" t="s">
        <v>220</v>
      </c>
      <c r="C113" s="81" t="s">
        <v>221</v>
      </c>
      <c r="D113" s="81"/>
      <c r="E113" s="81"/>
      <c r="F113" s="81"/>
      <c r="G113" s="81" t="s">
        <v>1112</v>
      </c>
      <c r="H113" s="81"/>
      <c r="I113" s="81"/>
    </row>
    <row r="114" spans="1:9" x14ac:dyDescent="0.25">
      <c r="A114" s="263" t="s">
        <v>181</v>
      </c>
      <c r="B114" s="81" t="s">
        <v>182</v>
      </c>
      <c r="C114" s="81" t="s">
        <v>183</v>
      </c>
      <c r="D114" s="81"/>
      <c r="E114" s="81"/>
      <c r="F114" s="81"/>
      <c r="G114" s="81" t="s">
        <v>1113</v>
      </c>
      <c r="H114" s="81"/>
      <c r="I114" s="81"/>
    </row>
    <row r="115" spans="1:9" x14ac:dyDescent="0.25">
      <c r="A115" s="81" t="s">
        <v>80</v>
      </c>
      <c r="B115" s="81" t="s">
        <v>81</v>
      </c>
      <c r="C115" s="81" t="s">
        <v>82</v>
      </c>
      <c r="D115" s="81"/>
      <c r="E115" s="81"/>
      <c r="F115" s="81"/>
      <c r="G115" s="81" t="s">
        <v>1114</v>
      </c>
      <c r="H115" s="81"/>
      <c r="I115" s="81"/>
    </row>
    <row r="116" spans="1:9" x14ac:dyDescent="0.25">
      <c r="A116" s="81" t="s">
        <v>718</v>
      </c>
      <c r="B116" s="81" t="s">
        <v>719</v>
      </c>
      <c r="C116" s="81" t="s">
        <v>720</v>
      </c>
      <c r="D116" s="81"/>
      <c r="E116" s="81"/>
      <c r="F116" s="81" t="s">
        <v>1115</v>
      </c>
      <c r="G116" s="81"/>
      <c r="H116" s="81"/>
      <c r="I116" s="81"/>
    </row>
    <row r="117" spans="1:9" ht="15.75" thickBot="1" x14ac:dyDescent="0.3">
      <c r="A117" s="81" t="s">
        <v>786</v>
      </c>
      <c r="B117" s="81" t="s">
        <v>787</v>
      </c>
      <c r="C117" s="81" t="s">
        <v>720</v>
      </c>
      <c r="D117" s="81"/>
      <c r="E117" s="81"/>
      <c r="F117" s="81"/>
      <c r="G117" s="81" t="s">
        <v>1116</v>
      </c>
      <c r="H117" s="81" t="s">
        <v>1117</v>
      </c>
      <c r="I117" s="81"/>
    </row>
    <row r="118" spans="1:9" ht="15.75" thickBot="1" x14ac:dyDescent="0.3">
      <c r="A118" s="281" t="s">
        <v>74</v>
      </c>
      <c r="B118" s="282"/>
      <c r="C118" s="282" t="s">
        <v>75</v>
      </c>
      <c r="D118" s="283"/>
      <c r="E118" s="283"/>
      <c r="F118" s="282"/>
      <c r="G118" s="282"/>
      <c r="H118" s="284" t="s">
        <v>1016</v>
      </c>
      <c r="I118" s="285" t="s">
        <v>847</v>
      </c>
    </row>
    <row r="119" spans="1:9" x14ac:dyDescent="0.25">
      <c r="A119" s="81" t="s">
        <v>444</v>
      </c>
      <c r="B119" s="81" t="s">
        <v>445</v>
      </c>
      <c r="C119" s="81" t="s">
        <v>75</v>
      </c>
      <c r="D119" s="81"/>
      <c r="E119" s="81"/>
      <c r="F119" s="81" t="s">
        <v>1118</v>
      </c>
      <c r="G119" s="81" t="s">
        <v>1119</v>
      </c>
      <c r="H119" s="81"/>
      <c r="I119" s="81"/>
    </row>
    <row r="120" spans="1:9" x14ac:dyDescent="0.25">
      <c r="A120" s="81" t="s">
        <v>162</v>
      </c>
      <c r="B120" s="81" t="s">
        <v>163</v>
      </c>
      <c r="C120" s="81" t="s">
        <v>164</v>
      </c>
      <c r="D120" s="81"/>
      <c r="E120" s="81"/>
      <c r="F120" s="81" t="s">
        <v>1120</v>
      </c>
      <c r="G120" s="81" t="s">
        <v>1121</v>
      </c>
      <c r="H120" s="81"/>
      <c r="I120" s="81"/>
    </row>
    <row r="121" spans="1:9" x14ac:dyDescent="0.25">
      <c r="A121" s="81" t="s">
        <v>134</v>
      </c>
      <c r="B121" s="81" t="s">
        <v>135</v>
      </c>
      <c r="C121" s="81" t="s">
        <v>136</v>
      </c>
      <c r="D121" s="81"/>
      <c r="E121" s="81"/>
      <c r="F121" s="81"/>
      <c r="G121" s="81" t="s">
        <v>1122</v>
      </c>
      <c r="H121" s="81"/>
      <c r="I121" s="81"/>
    </row>
    <row r="122" spans="1:9" x14ac:dyDescent="0.25">
      <c r="A122" s="81" t="s">
        <v>114</v>
      </c>
      <c r="B122" s="81" t="s">
        <v>115</v>
      </c>
      <c r="C122" s="81" t="s">
        <v>116</v>
      </c>
      <c r="D122" s="81"/>
      <c r="E122" s="81"/>
      <c r="F122" s="81"/>
      <c r="G122" s="81" t="s">
        <v>1123</v>
      </c>
      <c r="H122" s="81"/>
      <c r="I122" s="81"/>
    </row>
    <row r="123" spans="1:9" x14ac:dyDescent="0.25">
      <c r="A123" s="81" t="s">
        <v>138</v>
      </c>
      <c r="B123" s="81" t="s">
        <v>139</v>
      </c>
      <c r="C123" s="81" t="s">
        <v>140</v>
      </c>
      <c r="D123" s="81"/>
      <c r="E123" s="81"/>
      <c r="F123" s="81"/>
      <c r="G123" s="81" t="s">
        <v>1124</v>
      </c>
      <c r="H123" s="81"/>
      <c r="I123" s="81"/>
    </row>
    <row r="124" spans="1:9" x14ac:dyDescent="0.25">
      <c r="A124" s="81" t="s">
        <v>578</v>
      </c>
      <c r="B124" s="81" t="s">
        <v>579</v>
      </c>
      <c r="C124" s="81" t="s">
        <v>580</v>
      </c>
      <c r="D124" s="81"/>
      <c r="E124" s="81"/>
      <c r="F124" s="81"/>
      <c r="G124" s="81"/>
      <c r="H124" s="81"/>
      <c r="I124" s="81"/>
    </row>
    <row r="125" spans="1:9" x14ac:dyDescent="0.25">
      <c r="A125" s="81" t="s">
        <v>167</v>
      </c>
      <c r="B125" s="81" t="s">
        <v>168</v>
      </c>
      <c r="C125" s="81" t="s">
        <v>169</v>
      </c>
      <c r="D125" s="81"/>
      <c r="E125" s="81"/>
      <c r="F125" s="81"/>
      <c r="G125" s="81" t="s">
        <v>1125</v>
      </c>
      <c r="H125" s="81" t="s">
        <v>1126</v>
      </c>
      <c r="I125" s="81"/>
    </row>
    <row r="126" spans="1:9" x14ac:dyDescent="0.25">
      <c r="A126" s="81" t="s">
        <v>873</v>
      </c>
      <c r="B126" s="81" t="s">
        <v>1127</v>
      </c>
      <c r="C126" s="81" t="s">
        <v>874</v>
      </c>
      <c r="D126" s="81"/>
      <c r="E126" s="81"/>
      <c r="F126" s="81"/>
      <c r="G126" s="81"/>
      <c r="H126" s="81"/>
      <c r="I126" s="81"/>
    </row>
    <row r="127" spans="1:9" x14ac:dyDescent="0.25">
      <c r="A127" s="286" t="s">
        <v>875</v>
      </c>
      <c r="B127" s="286" t="s">
        <v>1127</v>
      </c>
      <c r="C127" s="286" t="s">
        <v>874</v>
      </c>
      <c r="D127" s="286"/>
      <c r="E127" s="286"/>
      <c r="F127" s="286"/>
      <c r="G127" s="286"/>
      <c r="H127" s="286"/>
      <c r="I127" s="286"/>
    </row>
  </sheetData>
  <autoFilter ref="A1:I127"/>
  <conditionalFormatting sqref="B2:B34 B38 B59:B62 B73:B115 B122:B127 B64:B71 B120 B117:B118 B42:B56">
    <cfRule type="expression" dxfId="23" priority="13" stopIfTrue="1">
      <formula>ISBLANK(B2)</formula>
    </cfRule>
    <cfRule type="expression" dxfId="22" priority="14">
      <formula>IFERROR(FIND("@",B2),-1)&lt;0</formula>
    </cfRule>
  </conditionalFormatting>
  <conditionalFormatting sqref="B63">
    <cfRule type="expression" dxfId="21" priority="9" stopIfTrue="1">
      <formula>ISBLANK(B63)</formula>
    </cfRule>
    <cfRule type="expression" dxfId="20" priority="10">
      <formula>IFERROR(FIND("@",B63),-1)&lt;0</formula>
    </cfRule>
  </conditionalFormatting>
  <conditionalFormatting sqref="B58">
    <cfRule type="expression" dxfId="19" priority="7" stopIfTrue="1">
      <formula>ISBLANK(B58)</formula>
    </cfRule>
    <cfRule type="expression" dxfId="18" priority="8">
      <formula>IFERROR(FIND("@",B58),-1)&lt;0</formula>
    </cfRule>
  </conditionalFormatting>
  <conditionalFormatting sqref="B119">
    <cfRule type="expression" dxfId="17" priority="5" stopIfTrue="1">
      <formula>ISBLANK(B119)</formula>
    </cfRule>
    <cfRule type="expression" dxfId="16" priority="6">
      <formula>IFERROR(FIND("@",B119),-1)&lt;0</formula>
    </cfRule>
  </conditionalFormatting>
  <conditionalFormatting sqref="B39">
    <cfRule type="expression" dxfId="15" priority="3" stopIfTrue="1">
      <formula>ISBLANK(B39)</formula>
    </cfRule>
    <cfRule type="expression" dxfId="14" priority="4">
      <formula>IFERROR(FIND("@",B39),-1)&lt;0</formula>
    </cfRule>
  </conditionalFormatting>
  <conditionalFormatting sqref="B116">
    <cfRule type="expression" dxfId="13" priority="1" stopIfTrue="1">
      <formula>ISBLANK(B116)</formula>
    </cfRule>
    <cfRule type="expression" dxfId="12" priority="2">
      <formula>IFERROR(FIND("@",B116),-1)&lt;0</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C23"/>
  <sheetViews>
    <sheetView workbookViewId="0">
      <selection activeCell="A3" sqref="A3"/>
    </sheetView>
  </sheetViews>
  <sheetFormatPr baseColWidth="10" defaultColWidth="10.7109375" defaultRowHeight="15" x14ac:dyDescent="0.25"/>
  <cols>
    <col min="1" max="1" width="25.28515625" customWidth="1"/>
    <col min="2" max="2" width="22.42578125" bestFit="1" customWidth="1"/>
    <col min="3" max="3" width="12.5703125" customWidth="1"/>
    <col min="4" max="4" width="9.5703125" customWidth="1"/>
    <col min="5" max="5" width="14.28515625" style="223" bestFit="1" customWidth="1"/>
    <col min="6" max="12" width="11.28515625" style="28" customWidth="1"/>
    <col min="13" max="14" width="11.140625" style="28" bestFit="1" customWidth="1"/>
    <col min="15" max="15" width="11.85546875" bestFit="1" customWidth="1"/>
    <col min="17" max="17" width="14.28515625" bestFit="1" customWidth="1"/>
    <col min="21" max="21" width="3.7109375" customWidth="1"/>
    <col min="28" max="28" width="3.7109375" customWidth="1"/>
  </cols>
  <sheetData>
    <row r="1" spans="1:29" ht="18.75" x14ac:dyDescent="0.3">
      <c r="A1" s="221" t="s">
        <v>1128</v>
      </c>
      <c r="E1" s="37" t="s">
        <v>1129</v>
      </c>
      <c r="F1" s="240" t="s">
        <v>1130</v>
      </c>
      <c r="G1"/>
      <c r="H1"/>
      <c r="I1"/>
      <c r="J1"/>
      <c r="K1"/>
      <c r="L1"/>
      <c r="M1"/>
      <c r="N1" s="235"/>
      <c r="O1" s="235"/>
      <c r="Q1" s="235" t="s">
        <v>1129</v>
      </c>
      <c r="R1" s="235"/>
      <c r="S1" s="241"/>
      <c r="T1" s="235"/>
      <c r="V1" s="235" t="s">
        <v>1131</v>
      </c>
      <c r="W1" s="235"/>
      <c r="X1" s="235"/>
      <c r="Y1" s="235"/>
      <c r="Z1" s="235"/>
      <c r="AA1" s="235"/>
      <c r="AC1" s="235"/>
    </row>
    <row r="2" spans="1:29" ht="30" x14ac:dyDescent="0.25">
      <c r="E2" s="37" t="s">
        <v>1132</v>
      </c>
      <c r="F2" s="224" t="s">
        <v>22</v>
      </c>
      <c r="G2" s="224" t="s">
        <v>673</v>
      </c>
      <c r="H2" s="224" t="s">
        <v>369</v>
      </c>
      <c r="I2" s="224" t="s">
        <v>460</v>
      </c>
      <c r="J2" s="224" t="s">
        <v>453</v>
      </c>
      <c r="K2" s="224" t="s">
        <v>652</v>
      </c>
      <c r="L2" s="224" t="s">
        <v>746</v>
      </c>
      <c r="M2" s="224" t="s">
        <v>1133</v>
      </c>
      <c r="N2" s="236" t="s">
        <v>1134</v>
      </c>
      <c r="O2" s="236" t="s">
        <v>1135</v>
      </c>
      <c r="Q2" s="239" t="s">
        <v>1132</v>
      </c>
      <c r="R2" s="236" t="s">
        <v>1134</v>
      </c>
      <c r="S2" s="236" t="s">
        <v>1136</v>
      </c>
      <c r="T2" s="236" t="s">
        <v>1135</v>
      </c>
      <c r="V2" s="236" t="s">
        <v>1137</v>
      </c>
      <c r="W2" s="236" t="s">
        <v>1138</v>
      </c>
      <c r="X2" s="236" t="s">
        <v>1139</v>
      </c>
      <c r="Y2" s="236" t="s">
        <v>1140</v>
      </c>
      <c r="Z2" s="236" t="s">
        <v>1141</v>
      </c>
      <c r="AA2" s="236" t="s">
        <v>1142</v>
      </c>
      <c r="AC2" s="236" t="s">
        <v>1133</v>
      </c>
    </row>
    <row r="3" spans="1:29" x14ac:dyDescent="0.25">
      <c r="B3" s="37" t="s">
        <v>1143</v>
      </c>
      <c r="E3" s="38">
        <v>42736</v>
      </c>
      <c r="F3" s="28">
        <v>327948</v>
      </c>
      <c r="M3" s="28">
        <v>327948</v>
      </c>
      <c r="N3" s="28">
        <f>HLOOKUP(E3,'RESUMEN VIGILANCIA'!$E$1:$AB$131,131)</f>
        <v>1025500</v>
      </c>
      <c r="O3" s="28">
        <f>N3-F3</f>
        <v>697552</v>
      </c>
      <c r="Q3" s="38">
        <v>42736</v>
      </c>
      <c r="R3" s="28">
        <v>1025500</v>
      </c>
      <c r="S3" s="28">
        <v>327948</v>
      </c>
      <c r="T3" s="28">
        <f t="shared" ref="T3:T20" si="0">R3-S3</f>
        <v>697552</v>
      </c>
      <c r="V3" s="28"/>
      <c r="W3" s="28"/>
      <c r="X3" s="28"/>
      <c r="Y3" s="28"/>
      <c r="Z3" s="28"/>
      <c r="AA3" s="28">
        <f>SUM(V3:Z3)</f>
        <v>0</v>
      </c>
      <c r="AC3" s="28">
        <f>R3-AA3</f>
        <v>1025500</v>
      </c>
    </row>
    <row r="4" spans="1:29" x14ac:dyDescent="0.25">
      <c r="A4" s="37" t="s">
        <v>1144</v>
      </c>
      <c r="B4" t="s">
        <v>58</v>
      </c>
      <c r="C4" t="s">
        <v>1133</v>
      </c>
      <c r="E4" s="38">
        <v>42767</v>
      </c>
      <c r="F4" s="28">
        <v>1184052</v>
      </c>
      <c r="H4" s="28">
        <v>6200</v>
      </c>
      <c r="M4" s="28">
        <v>1190252</v>
      </c>
      <c r="N4" s="28">
        <f>HLOOKUP(E4,'RESUMEN VIGILANCIA'!$E$1:$AB$131,131)</f>
        <v>1062000</v>
      </c>
      <c r="O4" s="28">
        <f t="shared" ref="O4:O20" si="1">N4-F4</f>
        <v>-122052</v>
      </c>
      <c r="Q4" s="38">
        <v>42767</v>
      </c>
      <c r="R4" s="28">
        <v>1062000</v>
      </c>
      <c r="S4" s="28">
        <v>1184052</v>
      </c>
      <c r="T4" s="28">
        <f t="shared" si="0"/>
        <v>-122052</v>
      </c>
      <c r="V4" s="28"/>
      <c r="W4" s="28"/>
      <c r="X4" s="28"/>
      <c r="Y4" s="28"/>
      <c r="Z4" s="28"/>
      <c r="AA4" s="28">
        <f t="shared" ref="AA4:AA21" si="2">SUM(V4:Z4)</f>
        <v>0</v>
      </c>
      <c r="AC4" s="28">
        <f t="shared" ref="AC4:AC21" si="3">R4-AA4</f>
        <v>1062000</v>
      </c>
    </row>
    <row r="5" spans="1:29" x14ac:dyDescent="0.25">
      <c r="A5" s="220" t="s">
        <v>74</v>
      </c>
      <c r="E5" s="38">
        <v>42795</v>
      </c>
      <c r="F5" s="28">
        <v>1061113</v>
      </c>
      <c r="M5" s="28">
        <v>1061113</v>
      </c>
      <c r="N5" s="28">
        <f>HLOOKUP(E5,'RESUMEN VIGILANCIA'!$E$1:$AB$131,131)</f>
        <v>1008500</v>
      </c>
      <c r="O5" s="28">
        <f t="shared" si="1"/>
        <v>-52613</v>
      </c>
      <c r="Q5" s="38">
        <v>42795</v>
      </c>
      <c r="R5" s="28">
        <v>1008500</v>
      </c>
      <c r="S5" s="28">
        <v>1061113</v>
      </c>
      <c r="T5" s="28">
        <f t="shared" si="0"/>
        <v>-52613</v>
      </c>
      <c r="V5" s="28"/>
      <c r="W5" s="28"/>
      <c r="X5" s="28"/>
      <c r="Y5" s="28"/>
      <c r="Z5" s="28"/>
      <c r="AA5" s="28">
        <f t="shared" si="2"/>
        <v>0</v>
      </c>
      <c r="AC5" s="28">
        <f t="shared" si="3"/>
        <v>1008500</v>
      </c>
    </row>
    <row r="6" spans="1:29" x14ac:dyDescent="0.25">
      <c r="A6" s="220" t="s">
        <v>177</v>
      </c>
      <c r="E6" s="38">
        <v>42826</v>
      </c>
      <c r="F6" s="28">
        <v>912000</v>
      </c>
      <c r="M6" s="28">
        <v>912000</v>
      </c>
      <c r="N6" s="28">
        <f>HLOOKUP(E6,'RESUMEN VIGILANCIA'!$E$1:$AB$131,131)</f>
        <v>1047600</v>
      </c>
      <c r="O6" s="28">
        <f t="shared" si="1"/>
        <v>135600</v>
      </c>
      <c r="Q6" s="38">
        <v>42826</v>
      </c>
      <c r="R6" s="28">
        <v>1047600</v>
      </c>
      <c r="S6" s="28">
        <v>912000</v>
      </c>
      <c r="T6" s="28">
        <f t="shared" si="0"/>
        <v>135600</v>
      </c>
      <c r="V6" s="28"/>
      <c r="W6" s="28"/>
      <c r="X6" s="28"/>
      <c r="Y6" s="28"/>
      <c r="Z6" s="28"/>
      <c r="AA6" s="28">
        <f t="shared" si="2"/>
        <v>0</v>
      </c>
      <c r="AC6" s="28">
        <f t="shared" si="3"/>
        <v>1047600</v>
      </c>
    </row>
    <row r="7" spans="1:29" x14ac:dyDescent="0.25">
      <c r="A7" s="220" t="s">
        <v>280</v>
      </c>
      <c r="E7" s="38">
        <v>42856</v>
      </c>
      <c r="F7" s="28">
        <v>1207500</v>
      </c>
      <c r="M7" s="28">
        <v>1207500</v>
      </c>
      <c r="N7" s="28">
        <f>HLOOKUP(E7,'RESUMEN VIGILANCIA'!$E$1:$AB$131,131)</f>
        <v>1508000</v>
      </c>
      <c r="O7" s="28">
        <f t="shared" si="1"/>
        <v>300500</v>
      </c>
      <c r="Q7" s="38">
        <v>42856</v>
      </c>
      <c r="R7" s="28">
        <v>1508000</v>
      </c>
      <c r="S7" s="28">
        <v>1207500</v>
      </c>
      <c r="T7" s="28">
        <f t="shared" si="0"/>
        <v>300500</v>
      </c>
      <c r="V7" s="28"/>
      <c r="W7" s="28"/>
      <c r="X7" s="28"/>
      <c r="Y7" s="28"/>
      <c r="Z7" s="28"/>
      <c r="AA7" s="28">
        <f t="shared" si="2"/>
        <v>0</v>
      </c>
      <c r="AC7" s="28">
        <f t="shared" si="3"/>
        <v>1508000</v>
      </c>
    </row>
    <row r="8" spans="1:29" x14ac:dyDescent="0.25">
      <c r="A8" s="220" t="s">
        <v>480</v>
      </c>
      <c r="E8" s="38">
        <v>42887</v>
      </c>
      <c r="F8" s="28">
        <v>1587000</v>
      </c>
      <c r="I8" s="28">
        <v>1500</v>
      </c>
      <c r="J8" s="28">
        <v>279820</v>
      </c>
      <c r="M8" s="28">
        <v>1868320</v>
      </c>
      <c r="N8" s="28">
        <f>HLOOKUP(E8,'RESUMEN VIGILANCIA'!$E$1:$AB$131,131)</f>
        <v>1565000</v>
      </c>
      <c r="O8" s="28">
        <f t="shared" si="1"/>
        <v>-22000</v>
      </c>
      <c r="Q8" s="38">
        <v>42887</v>
      </c>
      <c r="R8" s="28">
        <v>1565000</v>
      </c>
      <c r="S8" s="28">
        <v>1587000</v>
      </c>
      <c r="T8" s="28">
        <f t="shared" si="0"/>
        <v>-22000</v>
      </c>
      <c r="V8" s="28"/>
      <c r="W8" s="28"/>
      <c r="X8" s="28"/>
      <c r="Y8" s="28"/>
      <c r="Z8" s="28"/>
      <c r="AA8" s="28">
        <f t="shared" si="2"/>
        <v>0</v>
      </c>
      <c r="AC8" s="28">
        <f t="shared" si="3"/>
        <v>1565000</v>
      </c>
    </row>
    <row r="9" spans="1:29" x14ac:dyDescent="0.25">
      <c r="A9" s="220" t="s">
        <v>40</v>
      </c>
      <c r="E9" s="38">
        <v>42917</v>
      </c>
      <c r="F9" s="28">
        <v>1922487</v>
      </c>
      <c r="J9" s="28">
        <v>77000</v>
      </c>
      <c r="M9" s="28">
        <v>1999487</v>
      </c>
      <c r="N9" s="28">
        <f>HLOOKUP(E9,'RESUMEN VIGILANCIA'!$E$1:$AB$131,131)</f>
        <v>2091000</v>
      </c>
      <c r="O9" s="28">
        <f t="shared" si="1"/>
        <v>168513</v>
      </c>
      <c r="Q9" s="38">
        <v>42917</v>
      </c>
      <c r="R9" s="28">
        <v>2091000</v>
      </c>
      <c r="S9" s="28">
        <v>1922487</v>
      </c>
      <c r="T9" s="28">
        <f t="shared" si="0"/>
        <v>168513</v>
      </c>
      <c r="V9" s="28"/>
      <c r="W9" s="28"/>
      <c r="X9" s="28"/>
      <c r="Y9" s="28"/>
      <c r="Z9" s="28"/>
      <c r="AA9" s="28">
        <f t="shared" si="2"/>
        <v>0</v>
      </c>
      <c r="AC9" s="28">
        <f t="shared" si="3"/>
        <v>2091000</v>
      </c>
    </row>
    <row r="10" spans="1:29" x14ac:dyDescent="0.25">
      <c r="A10" s="220" t="s">
        <v>259</v>
      </c>
      <c r="E10" s="38">
        <v>42948</v>
      </c>
      <c r="F10" s="28">
        <v>2038500</v>
      </c>
      <c r="H10" s="28">
        <v>18000</v>
      </c>
      <c r="J10" s="28">
        <v>14000</v>
      </c>
      <c r="M10" s="28">
        <v>2070500</v>
      </c>
      <c r="N10" s="28">
        <f>HLOOKUP(E10,'RESUMEN VIGILANCIA'!$E$1:$AB$131,131)</f>
        <v>2110500</v>
      </c>
      <c r="O10" s="28">
        <f t="shared" si="1"/>
        <v>72000</v>
      </c>
      <c r="Q10" s="38">
        <v>42948</v>
      </c>
      <c r="R10" s="28">
        <v>2110500</v>
      </c>
      <c r="S10" s="28">
        <v>2038500</v>
      </c>
      <c r="T10" s="28">
        <f t="shared" si="0"/>
        <v>72000</v>
      </c>
      <c r="V10" s="28"/>
      <c r="W10" s="28"/>
      <c r="X10" s="28"/>
      <c r="Y10" s="28"/>
      <c r="Z10" s="28"/>
      <c r="AA10" s="28">
        <f t="shared" si="2"/>
        <v>0</v>
      </c>
      <c r="AC10" s="28">
        <f t="shared" si="3"/>
        <v>2110500</v>
      </c>
    </row>
    <row r="11" spans="1:29" x14ac:dyDescent="0.25">
      <c r="A11" s="220" t="s">
        <v>171</v>
      </c>
      <c r="E11" s="38">
        <v>42979</v>
      </c>
      <c r="F11" s="28">
        <v>2008900</v>
      </c>
      <c r="M11" s="28">
        <v>2008900</v>
      </c>
      <c r="N11" s="28">
        <f>HLOOKUP(E11,'RESUMEN VIGILANCIA'!$E$1:$AB$131,131)</f>
        <v>2076900</v>
      </c>
      <c r="O11" s="28">
        <f t="shared" si="1"/>
        <v>68000</v>
      </c>
      <c r="Q11" s="38">
        <v>42979</v>
      </c>
      <c r="R11" s="28">
        <v>2076900</v>
      </c>
      <c r="S11" s="28">
        <v>2008900</v>
      </c>
      <c r="T11" s="28">
        <f t="shared" si="0"/>
        <v>68000</v>
      </c>
      <c r="V11" s="28"/>
      <c r="W11" s="28"/>
      <c r="X11" s="28"/>
      <c r="Y11" s="28"/>
      <c r="Z11" s="28"/>
      <c r="AA11" s="28">
        <f t="shared" si="2"/>
        <v>0</v>
      </c>
      <c r="AC11" s="28">
        <f t="shared" si="3"/>
        <v>2076900</v>
      </c>
    </row>
    <row r="12" spans="1:29" x14ac:dyDescent="0.25">
      <c r="A12" s="220" t="s">
        <v>303</v>
      </c>
      <c r="E12" s="38">
        <v>43009</v>
      </c>
      <c r="F12" s="28">
        <v>1996000</v>
      </c>
      <c r="M12" s="28">
        <v>1996000</v>
      </c>
      <c r="N12" s="28">
        <f>HLOOKUP(E12,'RESUMEN VIGILANCIA'!$E$1:$AB$131,131)</f>
        <v>2142000</v>
      </c>
      <c r="O12" s="28">
        <f t="shared" si="1"/>
        <v>146000</v>
      </c>
      <c r="Q12" s="38">
        <v>43009</v>
      </c>
      <c r="R12" s="28">
        <v>2142000</v>
      </c>
      <c r="S12" s="28">
        <v>1996000</v>
      </c>
      <c r="T12" s="28">
        <f t="shared" si="0"/>
        <v>146000</v>
      </c>
      <c r="V12" s="28"/>
      <c r="W12" s="28"/>
      <c r="X12" s="28"/>
      <c r="Y12" s="28"/>
      <c r="Z12" s="28"/>
      <c r="AA12" s="28">
        <f t="shared" si="2"/>
        <v>0</v>
      </c>
      <c r="AC12" s="28">
        <f t="shared" si="3"/>
        <v>2142000</v>
      </c>
    </row>
    <row r="13" spans="1:29" x14ac:dyDescent="0.25">
      <c r="A13" s="220" t="s">
        <v>398</v>
      </c>
      <c r="E13" s="38">
        <v>43040</v>
      </c>
      <c r="F13" s="28">
        <v>3353000</v>
      </c>
      <c r="M13" s="28">
        <v>3353000</v>
      </c>
      <c r="N13" s="28">
        <f>HLOOKUP(E13,'RESUMEN VIGILANCIA'!$E$1:$AB$131,131)</f>
        <v>3040000</v>
      </c>
      <c r="O13" s="28">
        <f t="shared" si="1"/>
        <v>-313000</v>
      </c>
      <c r="Q13" s="38">
        <v>43040</v>
      </c>
      <c r="R13" s="28">
        <v>3040000</v>
      </c>
      <c r="S13" s="28">
        <v>3353000</v>
      </c>
      <c r="T13" s="28">
        <f t="shared" si="0"/>
        <v>-313000</v>
      </c>
      <c r="V13" s="28"/>
      <c r="W13" s="28"/>
      <c r="X13" s="28"/>
      <c r="Y13" s="28"/>
      <c r="Z13" s="28"/>
      <c r="AA13" s="28">
        <f t="shared" si="2"/>
        <v>0</v>
      </c>
      <c r="AC13" s="28">
        <f t="shared" si="3"/>
        <v>3040000</v>
      </c>
    </row>
    <row r="14" spans="1:29" x14ac:dyDescent="0.25">
      <c r="A14" s="220" t="s">
        <v>492</v>
      </c>
      <c r="E14" s="38">
        <v>43070</v>
      </c>
      <c r="F14" s="28">
        <v>3141000</v>
      </c>
      <c r="M14" s="28">
        <v>3141000</v>
      </c>
      <c r="N14" s="28">
        <f>HLOOKUP(E14,'RESUMEN VIGILANCIA'!$E$1:$AB$131,131)</f>
        <v>3077000</v>
      </c>
      <c r="O14" s="28">
        <f t="shared" si="1"/>
        <v>-64000</v>
      </c>
      <c r="Q14" s="38">
        <v>43070</v>
      </c>
      <c r="R14" s="28">
        <v>3077000</v>
      </c>
      <c r="S14" s="28">
        <v>3141000</v>
      </c>
      <c r="T14" s="28">
        <f t="shared" si="0"/>
        <v>-64000</v>
      </c>
      <c r="V14" s="28"/>
      <c r="W14" s="28"/>
      <c r="X14" s="28"/>
      <c r="Y14" s="28"/>
      <c r="Z14" s="28"/>
      <c r="AA14" s="28">
        <f t="shared" si="2"/>
        <v>0</v>
      </c>
      <c r="AC14" s="28">
        <f t="shared" si="3"/>
        <v>3077000</v>
      </c>
    </row>
    <row r="15" spans="1:29" x14ac:dyDescent="0.25">
      <c r="A15" s="220" t="s">
        <v>319</v>
      </c>
      <c r="E15" s="38">
        <v>43101</v>
      </c>
      <c r="F15" s="28">
        <v>5138850</v>
      </c>
      <c r="M15" s="28">
        <v>5138850</v>
      </c>
      <c r="N15" s="28">
        <f>HLOOKUP(E15,'RESUMEN VIGILANCIA'!$E$1:$AB$131,131)</f>
        <v>5400000</v>
      </c>
      <c r="O15" s="28">
        <f t="shared" si="1"/>
        <v>261150</v>
      </c>
      <c r="Q15" s="38">
        <v>43101</v>
      </c>
      <c r="R15" s="28">
        <v>5400000</v>
      </c>
      <c r="S15" s="28">
        <v>5138850</v>
      </c>
      <c r="T15" s="28">
        <f t="shared" si="0"/>
        <v>261150</v>
      </c>
      <c r="V15" s="28"/>
      <c r="W15" s="28"/>
      <c r="X15" s="28"/>
      <c r="Y15" s="28"/>
      <c r="Z15" s="28"/>
      <c r="AA15" s="28">
        <f t="shared" si="2"/>
        <v>0</v>
      </c>
      <c r="AC15" s="28">
        <f t="shared" si="3"/>
        <v>5400000</v>
      </c>
    </row>
    <row r="16" spans="1:29" x14ac:dyDescent="0.25">
      <c r="A16" s="220" t="s">
        <v>411</v>
      </c>
      <c r="E16" s="38">
        <v>43132</v>
      </c>
      <c r="F16" s="28">
        <v>5838600</v>
      </c>
      <c r="M16" s="28">
        <v>5838600</v>
      </c>
      <c r="N16" s="28">
        <f>HLOOKUP(E16,'RESUMEN VIGILANCIA'!$E$1:$AB$131,131)</f>
        <v>5700000</v>
      </c>
      <c r="O16" s="28">
        <f t="shared" si="1"/>
        <v>-138600</v>
      </c>
      <c r="Q16" s="38">
        <v>43132</v>
      </c>
      <c r="R16" s="28">
        <v>5620000</v>
      </c>
      <c r="S16" s="28">
        <v>5838600</v>
      </c>
      <c r="T16" s="28">
        <f t="shared" si="0"/>
        <v>-218600</v>
      </c>
      <c r="V16" s="28"/>
      <c r="W16" s="28"/>
      <c r="X16" s="28"/>
      <c r="Y16" s="28"/>
      <c r="Z16" s="28"/>
      <c r="AA16" s="28">
        <f t="shared" si="2"/>
        <v>0</v>
      </c>
      <c r="AC16" s="28">
        <f t="shared" si="3"/>
        <v>5620000</v>
      </c>
    </row>
    <row r="17" spans="1:29" x14ac:dyDescent="0.25">
      <c r="A17" s="220" t="s">
        <v>1133</v>
      </c>
      <c r="E17" s="38">
        <v>43160</v>
      </c>
      <c r="F17" s="28">
        <v>8622550</v>
      </c>
      <c r="K17" s="28">
        <v>300000</v>
      </c>
      <c r="M17" s="28">
        <v>8922550</v>
      </c>
      <c r="N17" s="28">
        <f>HLOOKUP(E17,'RESUMEN VIGILANCIA'!$E$1:$AB$131,131)</f>
        <v>9820000</v>
      </c>
      <c r="O17" s="28">
        <f t="shared" si="1"/>
        <v>1197450</v>
      </c>
      <c r="Q17" s="38">
        <v>43160</v>
      </c>
      <c r="R17" s="28">
        <v>9680000</v>
      </c>
      <c r="S17" s="28">
        <v>8622550</v>
      </c>
      <c r="T17" s="28">
        <f t="shared" si="0"/>
        <v>1057450</v>
      </c>
      <c r="V17" s="28"/>
      <c r="W17" s="28"/>
      <c r="X17" s="28"/>
      <c r="Y17" s="28"/>
      <c r="Z17" s="28"/>
      <c r="AA17" s="28">
        <f t="shared" si="2"/>
        <v>0</v>
      </c>
      <c r="AC17" s="28">
        <f t="shared" si="3"/>
        <v>9680000</v>
      </c>
    </row>
    <row r="18" spans="1:29" x14ac:dyDescent="0.25">
      <c r="A18" s="220"/>
      <c r="E18" s="38">
        <v>43191</v>
      </c>
      <c r="F18" s="28">
        <v>9120000</v>
      </c>
      <c r="G18" s="28">
        <v>1270000</v>
      </c>
      <c r="M18" s="28">
        <v>10390000</v>
      </c>
      <c r="N18" s="28">
        <f>HLOOKUP(E18,'RESUMEN VIGILANCIA'!$E$1:$AB$131,131)</f>
        <v>10315000</v>
      </c>
      <c r="O18" s="28">
        <f t="shared" si="1"/>
        <v>1195000</v>
      </c>
      <c r="Q18" s="38">
        <v>43191</v>
      </c>
      <c r="R18" s="28">
        <v>10075000</v>
      </c>
      <c r="S18" s="28">
        <v>9120000</v>
      </c>
      <c r="T18" s="28">
        <f t="shared" si="0"/>
        <v>955000</v>
      </c>
      <c r="V18" s="28">
        <f>1048135+2733890</f>
        <v>3782025</v>
      </c>
      <c r="W18" s="28"/>
      <c r="X18" s="28"/>
      <c r="Y18" s="28"/>
      <c r="Z18" s="28"/>
      <c r="AA18" s="28">
        <f t="shared" si="2"/>
        <v>3782025</v>
      </c>
      <c r="AC18" s="28">
        <f t="shared" si="3"/>
        <v>6292975</v>
      </c>
    </row>
    <row r="19" spans="1:29" x14ac:dyDescent="0.25">
      <c r="A19" s="220"/>
      <c r="E19" s="38">
        <v>43221</v>
      </c>
      <c r="F19" s="28">
        <v>34030000</v>
      </c>
      <c r="G19" s="28">
        <v>13790000</v>
      </c>
      <c r="M19" s="28">
        <v>47820000</v>
      </c>
      <c r="N19" s="28">
        <f>HLOOKUP(E19,'RESUMEN VIGILANCIA'!$E$1:$AB$131,131)</f>
        <v>28010000</v>
      </c>
      <c r="O19" s="28">
        <f t="shared" si="1"/>
        <v>-6020000</v>
      </c>
      <c r="Q19" s="38">
        <v>43221</v>
      </c>
      <c r="R19" s="28">
        <v>26270000</v>
      </c>
      <c r="S19" s="28">
        <v>32555000</v>
      </c>
      <c r="T19" s="28">
        <f t="shared" si="0"/>
        <v>-6285000</v>
      </c>
      <c r="V19" s="28">
        <f>5643300+5491000</f>
        <v>11134300</v>
      </c>
      <c r="W19" s="28"/>
      <c r="X19" s="28"/>
      <c r="Y19" s="28"/>
      <c r="Z19" s="28"/>
      <c r="AA19" s="28">
        <f t="shared" si="2"/>
        <v>11134300</v>
      </c>
      <c r="AC19" s="28">
        <f t="shared" si="3"/>
        <v>15135700</v>
      </c>
    </row>
    <row r="20" spans="1:29" ht="15.75" x14ac:dyDescent="0.25">
      <c r="A20" s="222" t="s">
        <v>1145</v>
      </c>
      <c r="E20" s="38">
        <v>43252</v>
      </c>
      <c r="F20" s="28">
        <v>39145000</v>
      </c>
      <c r="G20" s="28">
        <v>2750000</v>
      </c>
      <c r="L20" s="28">
        <v>2145000</v>
      </c>
      <c r="M20" s="28">
        <v>44040000</v>
      </c>
      <c r="N20" s="28">
        <f>HLOOKUP(E20,'RESUMEN VIGILANCIA'!$E$1:$AB$131,131)</f>
        <v>44810000</v>
      </c>
      <c r="O20" s="28">
        <f t="shared" si="1"/>
        <v>5665000</v>
      </c>
      <c r="Q20" s="38">
        <v>43252</v>
      </c>
      <c r="R20" s="28">
        <v>10650000</v>
      </c>
      <c r="S20" s="28">
        <v>10040000</v>
      </c>
      <c r="T20" s="28">
        <f t="shared" si="0"/>
        <v>610000</v>
      </c>
      <c r="V20" s="28"/>
      <c r="W20" s="28"/>
      <c r="X20" s="28"/>
      <c r="Y20" s="28"/>
      <c r="Z20" s="28"/>
      <c r="AA20" s="28">
        <f t="shared" si="2"/>
        <v>0</v>
      </c>
      <c r="AC20" s="28">
        <f t="shared" si="3"/>
        <v>10650000</v>
      </c>
    </row>
    <row r="21" spans="1:29" x14ac:dyDescent="0.25">
      <c r="E21" s="38">
        <v>43282</v>
      </c>
      <c r="F21" s="28">
        <v>80670000</v>
      </c>
      <c r="G21" s="28">
        <v>700000</v>
      </c>
      <c r="K21" s="28">
        <v>3000000</v>
      </c>
      <c r="L21" s="28">
        <v>45995000</v>
      </c>
      <c r="M21" s="28">
        <v>130365000</v>
      </c>
      <c r="N21" s="28">
        <f>HLOOKUP(E21,'RESUMEN VIGILANCIA'!$E$1:$AB$131,131)</f>
        <v>73625000</v>
      </c>
      <c r="O21" s="28">
        <f t="shared" ref="O21" si="4">N21-F21</f>
        <v>-7045000</v>
      </c>
      <c r="Q21" s="237" t="s">
        <v>1133</v>
      </c>
      <c r="R21" s="238">
        <v>89449000</v>
      </c>
      <c r="S21" s="238">
        <v>92054500</v>
      </c>
      <c r="T21" s="238">
        <f>SUM(T3:T20)</f>
        <v>-2605500</v>
      </c>
      <c r="V21" s="238">
        <f>SUM(V3:V20)</f>
        <v>14916325</v>
      </c>
      <c r="W21" s="238">
        <f>SUM(W3:W20)</f>
        <v>0</v>
      </c>
      <c r="X21" s="238">
        <f>SUM(X3:X20)</f>
        <v>0</v>
      </c>
      <c r="Y21" s="238">
        <f>SUM(Y3:Y20)</f>
        <v>0</v>
      </c>
      <c r="Z21" s="238"/>
      <c r="AA21" s="238">
        <f t="shared" si="2"/>
        <v>14916325</v>
      </c>
      <c r="AC21" s="238">
        <f t="shared" si="3"/>
        <v>74532675</v>
      </c>
    </row>
    <row r="22" spans="1:29" x14ac:dyDescent="0.25">
      <c r="E22" s="38">
        <v>43313</v>
      </c>
      <c r="F22" s="28">
        <v>19580000</v>
      </c>
      <c r="L22" s="28">
        <v>4880000</v>
      </c>
      <c r="M22" s="28">
        <v>24460000</v>
      </c>
      <c r="N22" s="28">
        <f>HLOOKUP(E22,'RESUMEN VIGILANCIA'!$E$1:$AB$131,131)</f>
        <v>55720000</v>
      </c>
      <c r="O22" s="28">
        <f>N22-F21</f>
        <v>-24950000</v>
      </c>
    </row>
    <row r="23" spans="1:29" x14ac:dyDescent="0.25">
      <c r="E23" s="38" t="s">
        <v>1133</v>
      </c>
      <c r="F23" s="28">
        <v>222884500</v>
      </c>
      <c r="G23" s="28">
        <v>18510000</v>
      </c>
      <c r="H23" s="28">
        <v>24200</v>
      </c>
      <c r="I23" s="28">
        <v>1500</v>
      </c>
      <c r="J23" s="28">
        <v>370820</v>
      </c>
      <c r="K23" s="28">
        <v>3300000</v>
      </c>
      <c r="L23" s="28">
        <v>53020000</v>
      </c>
      <c r="M23" s="28">
        <v>298111020</v>
      </c>
      <c r="N23" s="238">
        <f>SUM(N3:N20)</f>
        <v>125809000</v>
      </c>
      <c r="O23" s="238">
        <f>SUM(O3:O20)</f>
        <v>3174500</v>
      </c>
    </row>
  </sheetData>
  <pageMargins left="0.7" right="0.7" top="0.75" bottom="0.75" header="0.3" footer="0.3"/>
  <pageSetup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Vigilancia</vt:lpstr>
      <vt:lpstr>RESUMEN VIGILANCIA</vt:lpstr>
      <vt:lpstr>CUOTAS</vt:lpstr>
      <vt:lpstr>Saldos</vt:lpstr>
      <vt:lpstr>R.VIGILANCIA (reordenado)</vt:lpstr>
      <vt:lpstr>RESUMEN OTROS</vt:lpstr>
      <vt:lpstr>Proyectos</vt:lpstr>
      <vt:lpstr>Vecinos</vt:lpstr>
      <vt:lpstr>Hoja1</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MColosso</cp:lastModifiedBy>
  <cp:revision/>
  <dcterms:created xsi:type="dcterms:W3CDTF">2016-11-17T20:51:53Z</dcterms:created>
  <dcterms:modified xsi:type="dcterms:W3CDTF">2019-12-30T17:52:11Z</dcterms:modified>
  <cp:category/>
  <cp:contentStatus>Final</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arkAsFinal">
    <vt:bool>true</vt:bool>
  </property>
</Properties>
</file>